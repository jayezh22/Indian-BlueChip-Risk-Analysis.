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37BD537-3985-46F1-A6F5-7072796C6E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liance Stock Analysis" sheetId="1" r:id="rId1"/>
    <sheet name="TCS Stock Analysis" sheetId="2" r:id="rId2"/>
    <sheet name="HDFC Stock Analysis" sheetId="3" r:id="rId3"/>
    <sheet name="RISK VS RETUR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D2" i="4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D1098" i="3" s="1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D51" i="2" s="1"/>
  <c r="A2" i="2"/>
  <c r="B1" i="2"/>
  <c r="A1" i="2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C946" i="1" s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" i="1"/>
  <c r="A1" i="1"/>
  <c r="F4" i="1" l="1"/>
  <c r="D559" i="1"/>
  <c r="C688" i="3"/>
  <c r="C711" i="3"/>
  <c r="C698" i="3"/>
  <c r="C1481" i="2"/>
  <c r="C1453" i="2"/>
  <c r="C1407" i="2"/>
  <c r="C1404" i="2"/>
  <c r="C1400" i="2"/>
  <c r="C1386" i="2"/>
  <c r="C1375" i="2"/>
  <c r="C1373" i="2"/>
  <c r="C1371" i="2"/>
  <c r="C1368" i="2"/>
  <c r="C634" i="2"/>
  <c r="C632" i="2"/>
  <c r="C625" i="2"/>
  <c r="C618" i="2"/>
  <c r="C609" i="2"/>
  <c r="C607" i="2"/>
  <c r="C602" i="2"/>
  <c r="C593" i="2"/>
  <c r="C247" i="2"/>
  <c r="C246" i="2"/>
  <c r="C243" i="2"/>
  <c r="C241" i="2"/>
  <c r="C240" i="2"/>
  <c r="C239" i="2"/>
  <c r="C237" i="2"/>
  <c r="C236" i="2"/>
  <c r="C234" i="2"/>
  <c r="C220" i="2"/>
  <c r="C218" i="2"/>
  <c r="C214" i="2"/>
  <c r="C213" i="2"/>
  <c r="C210" i="2"/>
  <c r="C209" i="2"/>
  <c r="C203" i="2"/>
  <c r="C200" i="2"/>
  <c r="C1485" i="1"/>
  <c r="C1484" i="1"/>
  <c r="C1477" i="1"/>
  <c r="C1474" i="1"/>
  <c r="C1473" i="1"/>
  <c r="C1470" i="1"/>
  <c r="C1465" i="1"/>
  <c r="C1462" i="1"/>
  <c r="C1461" i="1"/>
  <c r="C1458" i="1"/>
  <c r="C1457" i="1"/>
  <c r="C1455" i="1"/>
  <c r="C1453" i="1"/>
  <c r="C1450" i="1"/>
  <c r="C1448" i="1"/>
  <c r="C1447" i="1"/>
  <c r="C1444" i="1"/>
  <c r="C1440" i="1"/>
  <c r="C1437" i="1"/>
  <c r="C945" i="1"/>
  <c r="C944" i="1"/>
  <c r="C943" i="1"/>
  <c r="C941" i="1"/>
  <c r="C940" i="1"/>
  <c r="C938" i="1"/>
  <c r="C937" i="1"/>
  <c r="C936" i="1"/>
  <c r="C935" i="1"/>
  <c r="C934" i="1"/>
  <c r="C932" i="1"/>
  <c r="C930" i="1"/>
  <c r="C929" i="1"/>
  <c r="C927" i="1"/>
  <c r="C926" i="1"/>
  <c r="C923" i="1"/>
  <c r="C919" i="1"/>
  <c r="C914" i="1"/>
  <c r="C911" i="1"/>
  <c r="C909" i="1"/>
  <c r="C906" i="1"/>
  <c r="C903" i="1"/>
  <c r="C900" i="1"/>
  <c r="C556" i="1"/>
  <c r="C554" i="1"/>
  <c r="C553" i="1"/>
  <c r="C552" i="1"/>
  <c r="C551" i="1"/>
  <c r="C547" i="1"/>
  <c r="C545" i="1"/>
  <c r="C544" i="1"/>
  <c r="C541" i="1"/>
  <c r="C537" i="1"/>
  <c r="C533" i="1"/>
  <c r="C531" i="1"/>
  <c r="C529" i="1"/>
  <c r="C528" i="1"/>
  <c r="C526" i="1"/>
  <c r="C524" i="1"/>
  <c r="C523" i="1"/>
  <c r="C521" i="1"/>
  <c r="C520" i="1"/>
  <c r="C517" i="1"/>
  <c r="C513" i="1"/>
  <c r="C512" i="1"/>
  <c r="C511" i="1"/>
  <c r="C1087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098" i="3"/>
  <c r="C1097" i="3"/>
  <c r="C1096" i="3"/>
  <c r="C1095" i="3"/>
  <c r="C1094" i="3"/>
  <c r="C1093" i="3"/>
  <c r="C1092" i="3"/>
  <c r="C1091" i="3"/>
  <c r="C1090" i="3"/>
  <c r="C1089" i="3"/>
  <c r="C1088" i="3"/>
  <c r="C710" i="3"/>
  <c r="C708" i="3"/>
  <c r="C706" i="3"/>
  <c r="C705" i="3"/>
  <c r="C703" i="3"/>
  <c r="C702" i="3"/>
  <c r="C701" i="3"/>
  <c r="C697" i="3"/>
  <c r="C696" i="3"/>
  <c r="C695" i="3"/>
  <c r="C694" i="3"/>
  <c r="C693" i="3"/>
  <c r="C689" i="3"/>
  <c r="C1480" i="2"/>
  <c r="C1478" i="2"/>
  <c r="C1477" i="2"/>
  <c r="C1475" i="2"/>
  <c r="C1472" i="2"/>
  <c r="C1465" i="2"/>
  <c r="C1463" i="2"/>
  <c r="C1461" i="2"/>
  <c r="C1459" i="2"/>
  <c r="C1457" i="2"/>
  <c r="C1449" i="2"/>
  <c r="C1406" i="2"/>
  <c r="C1401" i="2"/>
  <c r="C1399" i="2"/>
  <c r="C1398" i="2"/>
  <c r="C1396" i="2"/>
  <c r="C1395" i="2"/>
  <c r="C1391" i="2"/>
  <c r="C1390" i="2"/>
  <c r="C1385" i="2"/>
  <c r="C1384" i="2"/>
  <c r="C1382" i="2"/>
  <c r="C1379" i="2"/>
  <c r="C1378" i="2"/>
  <c r="C1377" i="2"/>
  <c r="C1376" i="2"/>
  <c r="C1372" i="2"/>
  <c r="C1369" i="2"/>
  <c r="C633" i="2"/>
  <c r="C629" i="2"/>
  <c r="C626" i="2"/>
  <c r="C624" i="2"/>
  <c r="C623" i="2"/>
  <c r="C620" i="2"/>
  <c r="C615" i="2"/>
  <c r="C613" i="2"/>
  <c r="C610" i="2"/>
  <c r="C599" i="2"/>
  <c r="C597" i="2"/>
  <c r="C594" i="2"/>
  <c r="C590" i="2"/>
  <c r="C588" i="2"/>
  <c r="C586" i="2"/>
  <c r="C244" i="2"/>
  <c r="C232" i="2"/>
  <c r="C229" i="2"/>
  <c r="C227" i="2"/>
  <c r="C217" i="2"/>
  <c r="C215" i="2"/>
  <c r="C211" i="2"/>
  <c r="C208" i="2"/>
  <c r="C206" i="2"/>
  <c r="C1483" i="1"/>
  <c r="C1481" i="1"/>
  <c r="C1472" i="1"/>
  <c r="C1467" i="1"/>
  <c r="C1464" i="1"/>
  <c r="C1445" i="1"/>
  <c r="C1439" i="1"/>
  <c r="C933" i="1"/>
  <c r="C924" i="1"/>
  <c r="C918" i="1"/>
  <c r="C902" i="1"/>
  <c r="C899" i="1"/>
  <c r="C550" i="1"/>
  <c r="C548" i="1"/>
  <c r="C543" i="1"/>
  <c r="C540" i="1"/>
  <c r="C535" i="1"/>
  <c r="C532" i="1"/>
  <c r="C518" i="1"/>
  <c r="C515" i="1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709" i="3"/>
  <c r="C707" i="3"/>
  <c r="C704" i="3"/>
  <c r="C700" i="3"/>
  <c r="C699" i="3"/>
  <c r="C692" i="3"/>
  <c r="C691" i="3"/>
  <c r="C690" i="3"/>
  <c r="C1482" i="2"/>
  <c r="C1479" i="2"/>
  <c r="C1476" i="2"/>
  <c r="C1474" i="2"/>
  <c r="C1473" i="2"/>
  <c r="C1471" i="2"/>
  <c r="C1470" i="2"/>
  <c r="C1469" i="2"/>
  <c r="C1468" i="2"/>
  <c r="C1467" i="2"/>
  <c r="C1466" i="2"/>
  <c r="C1464" i="2"/>
  <c r="C1462" i="2"/>
  <c r="C1460" i="2"/>
  <c r="C1458" i="2"/>
  <c r="C1456" i="2"/>
  <c r="C1455" i="2"/>
  <c r="C1454" i="2"/>
  <c r="C1452" i="2"/>
  <c r="C1451" i="2"/>
  <c r="C1447" i="2"/>
  <c r="C1446" i="2"/>
  <c r="C1445" i="2"/>
  <c r="C1444" i="2"/>
  <c r="C1442" i="2"/>
  <c r="C1441" i="2"/>
  <c r="C1439" i="2"/>
  <c r="C1438" i="2"/>
  <c r="C1437" i="2"/>
  <c r="C1405" i="2"/>
  <c r="C1403" i="2"/>
  <c r="C1397" i="2"/>
  <c r="C1394" i="2"/>
  <c r="C1393" i="2"/>
  <c r="C1392" i="2"/>
  <c r="C1389" i="2"/>
  <c r="C1388" i="2"/>
  <c r="C1387" i="2"/>
  <c r="C1383" i="2"/>
  <c r="C1381" i="2"/>
  <c r="C1380" i="2"/>
  <c r="C1374" i="2"/>
  <c r="C1370" i="2"/>
  <c r="C630" i="2"/>
  <c r="C627" i="2"/>
  <c r="C622" i="2"/>
  <c r="C619" i="2"/>
  <c r="C617" i="2"/>
  <c r="C616" i="2"/>
  <c r="C612" i="2"/>
  <c r="C608" i="2"/>
  <c r="C606" i="2"/>
  <c r="C605" i="2"/>
  <c r="C603" i="2"/>
  <c r="C601" i="2"/>
  <c r="C600" i="2"/>
  <c r="C596" i="2"/>
  <c r="C592" i="2"/>
  <c r="C587" i="2"/>
  <c r="C238" i="2"/>
  <c r="C233" i="2"/>
  <c r="C231" i="2"/>
  <c r="C226" i="2"/>
  <c r="C224" i="2"/>
  <c r="C222" i="2"/>
  <c r="C219" i="2"/>
  <c r="C212" i="2"/>
  <c r="C202" i="2"/>
  <c r="C1469" i="1"/>
  <c r="C1460" i="1"/>
  <c r="C928" i="1"/>
  <c r="C925" i="1"/>
  <c r="C922" i="1"/>
  <c r="C920" i="1"/>
  <c r="C917" i="1"/>
  <c r="C915" i="1"/>
  <c r="C912" i="1"/>
  <c r="C555" i="1"/>
  <c r="C539" i="1"/>
  <c r="C536" i="1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1483" i="2"/>
  <c r="C1450" i="2"/>
  <c r="C1448" i="2"/>
  <c r="C1443" i="2"/>
  <c r="C1440" i="2"/>
  <c r="C1436" i="2"/>
  <c r="C1408" i="2"/>
  <c r="C1402" i="2"/>
  <c r="C230" i="2"/>
  <c r="C221" i="2"/>
  <c r="C205" i="2"/>
  <c r="C199" i="2"/>
  <c r="C1468" i="1"/>
  <c r="C1454" i="1"/>
  <c r="C1451" i="1"/>
  <c r="C921" i="1"/>
  <c r="C534" i="1"/>
  <c r="C527" i="1"/>
  <c r="C519" i="1"/>
  <c r="C516" i="1"/>
  <c r="C1366" i="2"/>
  <c r="C1365" i="2"/>
  <c r="C1364" i="2"/>
  <c r="C1363" i="2"/>
  <c r="C1362" i="2"/>
  <c r="C1361" i="2"/>
  <c r="C1360" i="2"/>
  <c r="C631" i="2"/>
  <c r="C628" i="2"/>
  <c r="C621" i="2"/>
  <c r="C614" i="2"/>
  <c r="C611" i="2"/>
  <c r="C604" i="2"/>
  <c r="C598" i="2"/>
  <c r="C595" i="2"/>
  <c r="C591" i="2"/>
  <c r="C589" i="2"/>
  <c r="C245" i="2"/>
  <c r="C242" i="2"/>
  <c r="C235" i="2"/>
  <c r="C228" i="2"/>
  <c r="C223" i="2"/>
  <c r="C216" i="2"/>
  <c r="C201" i="2"/>
  <c r="C1482" i="1"/>
  <c r="C1479" i="1"/>
  <c r="C1476" i="1"/>
  <c r="C1459" i="1"/>
  <c r="C1442" i="1"/>
  <c r="C931" i="1"/>
  <c r="C916" i="1"/>
  <c r="C913" i="1"/>
  <c r="C910" i="1"/>
  <c r="C907" i="1"/>
  <c r="C904" i="1"/>
  <c r="C901" i="1"/>
  <c r="C546" i="1"/>
  <c r="C542" i="1"/>
  <c r="C530" i="1"/>
  <c r="C525" i="1"/>
  <c r="C522" i="1"/>
  <c r="C514" i="1"/>
  <c r="C225" i="2"/>
  <c r="C207" i="2"/>
  <c r="C204" i="2"/>
  <c r="C1480" i="1"/>
  <c r="C1478" i="1"/>
  <c r="C1475" i="1"/>
  <c r="C1471" i="1"/>
  <c r="C1466" i="1"/>
  <c r="C1463" i="1"/>
  <c r="C1456" i="1"/>
  <c r="C1452" i="1"/>
  <c r="C1449" i="1"/>
  <c r="C1446" i="1"/>
  <c r="C1443" i="1"/>
  <c r="C1441" i="1"/>
  <c r="C1438" i="1"/>
  <c r="C942" i="1"/>
  <c r="C939" i="1"/>
  <c r="C908" i="1"/>
  <c r="C905" i="1"/>
  <c r="C557" i="1"/>
  <c r="C549" i="1"/>
  <c r="C538" i="1"/>
  <c r="C510" i="1"/>
  <c r="C1367" i="2"/>
  <c r="D1409" i="2"/>
  <c r="D1212" i="2"/>
  <c r="C1163" i="2"/>
  <c r="D1120" i="2"/>
  <c r="C1071" i="2"/>
  <c r="C898" i="1"/>
  <c r="D947" i="1"/>
  <c r="C897" i="1"/>
  <c r="D946" i="1"/>
  <c r="C558" i="1"/>
  <c r="C559" i="1"/>
  <c r="D1484" i="3"/>
  <c r="C1435" i="3"/>
  <c r="D1483" i="3"/>
  <c r="C1434" i="3"/>
  <c r="C1433" i="3"/>
  <c r="D1482" i="3"/>
  <c r="C1432" i="3"/>
  <c r="D1481" i="3"/>
  <c r="C1431" i="3"/>
  <c r="D1480" i="3"/>
  <c r="D1479" i="3"/>
  <c r="C1430" i="3"/>
  <c r="D1478" i="3"/>
  <c r="C1429" i="3"/>
  <c r="D1477" i="3"/>
  <c r="C1428" i="3"/>
  <c r="D1476" i="3"/>
  <c r="C1427" i="3"/>
  <c r="C1426" i="3"/>
  <c r="D1475" i="3"/>
  <c r="C1425" i="3"/>
  <c r="D1474" i="3"/>
  <c r="C1424" i="3"/>
  <c r="D1473" i="3"/>
  <c r="D1472" i="3"/>
  <c r="C1423" i="3"/>
  <c r="D1471" i="3"/>
  <c r="C1422" i="3"/>
  <c r="C1421" i="3"/>
  <c r="D1470" i="3"/>
  <c r="D1469" i="3"/>
  <c r="C1420" i="3"/>
  <c r="D1468" i="3"/>
  <c r="C1419" i="3"/>
  <c r="C1418" i="3"/>
  <c r="D1467" i="3"/>
  <c r="C1417" i="3"/>
  <c r="D1466" i="3"/>
  <c r="C1416" i="3"/>
  <c r="D1465" i="3"/>
  <c r="D1464" i="3"/>
  <c r="C1415" i="3"/>
  <c r="D1463" i="3"/>
  <c r="C1414" i="3"/>
  <c r="D1462" i="3"/>
  <c r="C1413" i="3"/>
  <c r="D1461" i="3"/>
  <c r="C1412" i="3"/>
  <c r="D1460" i="3"/>
  <c r="C1411" i="3"/>
  <c r="D1459" i="3"/>
  <c r="C1410" i="3"/>
  <c r="D1458" i="3"/>
  <c r="C1409" i="3"/>
  <c r="D1457" i="3"/>
  <c r="C1408" i="3"/>
  <c r="D1456" i="3"/>
  <c r="C1407" i="3"/>
  <c r="D1455" i="3"/>
  <c r="C1406" i="3"/>
  <c r="D1454" i="3"/>
  <c r="C1405" i="3"/>
  <c r="D1453" i="3"/>
  <c r="C1404" i="3"/>
  <c r="D1452" i="3"/>
  <c r="C1403" i="3"/>
  <c r="D1451" i="3"/>
  <c r="C1402" i="3"/>
  <c r="D1450" i="3"/>
  <c r="C1401" i="3"/>
  <c r="D1449" i="3"/>
  <c r="C1400" i="3"/>
  <c r="C1399" i="3"/>
  <c r="D1448" i="3"/>
  <c r="C1398" i="3"/>
  <c r="D1447" i="3"/>
  <c r="D1446" i="3"/>
  <c r="C1397" i="3"/>
  <c r="D1445" i="3"/>
  <c r="C1396" i="3"/>
  <c r="D1444" i="3"/>
  <c r="C1395" i="3"/>
  <c r="D1443" i="3"/>
  <c r="C1394" i="3"/>
  <c r="C1393" i="3"/>
  <c r="D1442" i="3"/>
  <c r="D1441" i="3"/>
  <c r="C1392" i="3"/>
  <c r="D1440" i="3"/>
  <c r="C1391" i="3"/>
  <c r="D1439" i="3"/>
  <c r="C1390" i="3"/>
  <c r="C1389" i="3"/>
  <c r="D1438" i="3"/>
  <c r="D1437" i="3"/>
  <c r="C1388" i="3"/>
  <c r="D1436" i="3"/>
  <c r="C1387" i="3"/>
  <c r="C1386" i="3"/>
  <c r="D1435" i="3"/>
  <c r="D1434" i="3"/>
  <c r="C1385" i="3"/>
  <c r="C1384" i="3"/>
  <c r="D1433" i="3"/>
  <c r="C1383" i="3"/>
  <c r="D1432" i="3"/>
  <c r="C1382" i="3"/>
  <c r="D1431" i="3"/>
  <c r="C1381" i="3"/>
  <c r="D1430" i="3"/>
  <c r="C1380" i="3"/>
  <c r="D1429" i="3"/>
  <c r="C1379" i="3"/>
  <c r="D1428" i="3"/>
  <c r="C1378" i="3"/>
  <c r="D1427" i="3"/>
  <c r="C1377" i="3"/>
  <c r="D1426" i="3"/>
  <c r="D1425" i="3"/>
  <c r="C1376" i="3"/>
  <c r="D1424" i="3"/>
  <c r="C1375" i="3"/>
  <c r="D1423" i="3"/>
  <c r="C1374" i="3"/>
  <c r="C1373" i="3"/>
  <c r="D1422" i="3"/>
  <c r="D1421" i="3"/>
  <c r="C1372" i="3"/>
  <c r="D1420" i="3"/>
  <c r="C1371" i="3"/>
  <c r="D1419" i="3"/>
  <c r="C1370" i="3"/>
  <c r="D1418" i="3"/>
  <c r="C1369" i="3"/>
  <c r="D1417" i="3"/>
  <c r="C1368" i="3"/>
  <c r="D1416" i="3"/>
  <c r="C1367" i="3"/>
  <c r="C1366" i="3"/>
  <c r="D1415" i="3"/>
  <c r="C1365" i="3"/>
  <c r="D1414" i="3"/>
  <c r="D1413" i="3"/>
  <c r="C1364" i="3"/>
  <c r="D1412" i="3"/>
  <c r="C1363" i="3"/>
  <c r="C1362" i="3"/>
  <c r="D1411" i="3"/>
  <c r="D1410" i="3"/>
  <c r="C1361" i="3"/>
  <c r="C1360" i="3"/>
  <c r="D1409" i="3"/>
  <c r="C1359" i="3"/>
  <c r="D1408" i="3"/>
  <c r="C1358" i="3"/>
  <c r="D1407" i="3"/>
  <c r="D1406" i="3"/>
  <c r="C1357" i="3"/>
  <c r="C1356" i="3"/>
  <c r="D1405" i="3"/>
  <c r="C1355" i="3"/>
  <c r="D1404" i="3"/>
  <c r="C1354" i="3"/>
  <c r="D1403" i="3"/>
  <c r="D1402" i="3"/>
  <c r="C1353" i="3"/>
  <c r="D1401" i="3"/>
  <c r="C1352" i="3"/>
  <c r="C1351" i="3"/>
  <c r="D1400" i="3"/>
  <c r="D1399" i="3"/>
  <c r="C1350" i="3"/>
  <c r="D1398" i="3"/>
  <c r="C1349" i="3"/>
  <c r="D1397" i="3"/>
  <c r="C1348" i="3"/>
  <c r="D1396" i="3"/>
  <c r="C1347" i="3"/>
  <c r="D1395" i="3"/>
  <c r="C1346" i="3"/>
  <c r="C1345" i="3"/>
  <c r="D1394" i="3"/>
  <c r="D1393" i="3"/>
  <c r="C1344" i="3"/>
  <c r="D1392" i="3"/>
  <c r="C1343" i="3"/>
  <c r="D1391" i="3"/>
  <c r="C1342" i="3"/>
  <c r="C1341" i="3"/>
  <c r="D1390" i="3"/>
  <c r="D1389" i="3"/>
  <c r="C1340" i="3"/>
  <c r="D1388" i="3"/>
  <c r="C1339" i="3"/>
  <c r="D1387" i="3"/>
  <c r="C1338" i="3"/>
  <c r="D1386" i="3"/>
  <c r="C1337" i="3"/>
  <c r="D1385" i="3"/>
  <c r="C1336" i="3"/>
  <c r="D1384" i="3"/>
  <c r="C1335" i="3"/>
  <c r="D1383" i="3"/>
  <c r="C1334" i="3"/>
  <c r="D1382" i="3"/>
  <c r="C1333" i="3"/>
  <c r="D1381" i="3"/>
  <c r="C1332" i="3"/>
  <c r="D1380" i="3"/>
  <c r="C1331" i="3"/>
  <c r="D1379" i="3"/>
  <c r="C1330" i="3"/>
  <c r="D1378" i="3"/>
  <c r="C1329" i="3"/>
  <c r="D1377" i="3"/>
  <c r="C1328" i="3"/>
  <c r="D1376" i="3"/>
  <c r="C1327" i="3"/>
  <c r="D1375" i="3"/>
  <c r="C1326" i="3"/>
  <c r="C1325" i="3"/>
  <c r="D1374" i="3"/>
  <c r="D1373" i="3"/>
  <c r="C1324" i="3"/>
  <c r="D1372" i="3"/>
  <c r="C1323" i="3"/>
  <c r="D1371" i="3"/>
  <c r="C1322" i="3"/>
  <c r="D1370" i="3"/>
  <c r="C1321" i="3"/>
  <c r="D1369" i="3"/>
  <c r="C1320" i="3"/>
  <c r="D1368" i="3"/>
  <c r="C1319" i="3"/>
  <c r="D1367" i="3"/>
  <c r="C1318" i="3"/>
  <c r="D1366" i="3"/>
  <c r="C1317" i="3"/>
  <c r="D1365" i="3"/>
  <c r="C1316" i="3"/>
  <c r="D1364" i="3"/>
  <c r="C1315" i="3"/>
  <c r="D1363" i="3"/>
  <c r="C1314" i="3"/>
  <c r="D1362" i="3"/>
  <c r="C1313" i="3"/>
  <c r="D1361" i="3"/>
  <c r="C1312" i="3"/>
  <c r="C1311" i="3"/>
  <c r="D1360" i="3"/>
  <c r="D1359" i="3"/>
  <c r="C1310" i="3"/>
  <c r="D1358" i="3"/>
  <c r="C1309" i="3"/>
  <c r="D1357" i="3"/>
  <c r="C1308" i="3"/>
  <c r="C1307" i="3"/>
  <c r="D1356" i="3"/>
  <c r="C1306" i="3"/>
  <c r="D1355" i="3"/>
  <c r="D1354" i="3"/>
  <c r="C1305" i="3"/>
  <c r="D1353" i="3"/>
  <c r="C1304" i="3"/>
  <c r="D1352" i="3"/>
  <c r="C1303" i="3"/>
  <c r="C1302" i="3"/>
  <c r="D1351" i="3"/>
  <c r="C1301" i="3"/>
  <c r="D1350" i="3"/>
  <c r="C1300" i="3"/>
  <c r="D1349" i="3"/>
  <c r="C1299" i="3"/>
  <c r="D1348" i="3"/>
  <c r="D1347" i="3"/>
  <c r="C1298" i="3"/>
  <c r="C1297" i="3"/>
  <c r="D1346" i="3"/>
  <c r="C1296" i="3"/>
  <c r="D1345" i="3"/>
  <c r="D1344" i="3"/>
  <c r="C1295" i="3"/>
  <c r="D1343" i="3"/>
  <c r="C1294" i="3"/>
  <c r="D1342" i="3"/>
  <c r="C1293" i="3"/>
  <c r="D1341" i="3"/>
  <c r="C1292" i="3"/>
  <c r="D1340" i="3"/>
  <c r="C1291" i="3"/>
  <c r="D1339" i="3"/>
  <c r="C1290" i="3"/>
  <c r="D1338" i="3"/>
  <c r="C1289" i="3"/>
  <c r="D1337" i="3"/>
  <c r="C1288" i="3"/>
  <c r="D1336" i="3"/>
  <c r="C1287" i="3"/>
  <c r="D1335" i="3"/>
  <c r="C1286" i="3"/>
  <c r="D1334" i="3"/>
  <c r="C1285" i="3"/>
  <c r="D1333" i="3"/>
  <c r="C1284" i="3"/>
  <c r="D1332" i="3"/>
  <c r="C1283" i="3"/>
  <c r="D1331" i="3"/>
  <c r="C1282" i="3"/>
  <c r="D1330" i="3"/>
  <c r="C1281" i="3"/>
  <c r="D1329" i="3"/>
  <c r="C1280" i="3"/>
  <c r="D1328" i="3"/>
  <c r="C1279" i="3"/>
  <c r="C1278" i="3"/>
  <c r="D1327" i="3"/>
  <c r="C1277" i="3"/>
  <c r="D1326" i="3"/>
  <c r="D1325" i="3"/>
  <c r="C1276" i="3"/>
  <c r="D1324" i="3"/>
  <c r="C1275" i="3"/>
  <c r="D1323" i="3"/>
  <c r="C1274" i="3"/>
  <c r="C1273" i="3"/>
  <c r="D1322" i="3"/>
  <c r="D1321" i="3"/>
  <c r="C1272" i="3"/>
  <c r="D1320" i="3"/>
  <c r="C1271" i="3"/>
  <c r="D1319" i="3"/>
  <c r="C1270" i="3"/>
  <c r="D1318" i="3"/>
  <c r="C1269" i="3"/>
  <c r="C1268" i="3"/>
  <c r="D1317" i="3"/>
  <c r="D1316" i="3"/>
  <c r="C1267" i="3"/>
  <c r="C1266" i="3"/>
  <c r="D1315" i="3"/>
  <c r="D1314" i="3"/>
  <c r="C1265" i="3"/>
  <c r="D1313" i="3"/>
  <c r="C1264" i="3"/>
  <c r="C1263" i="3"/>
  <c r="D1312" i="3"/>
  <c r="C1262" i="3"/>
  <c r="D1311" i="3"/>
  <c r="C1261" i="3"/>
  <c r="D1310" i="3"/>
  <c r="C1260" i="3"/>
  <c r="D1309" i="3"/>
  <c r="D1308" i="3"/>
  <c r="C1259" i="3"/>
  <c r="D1307" i="3"/>
  <c r="C1258" i="3"/>
  <c r="C1257" i="3"/>
  <c r="D1306" i="3"/>
  <c r="C1256" i="3"/>
  <c r="D1305" i="3"/>
  <c r="C1255" i="3"/>
  <c r="D1304" i="3"/>
  <c r="C1254" i="3"/>
  <c r="D1303" i="3"/>
  <c r="D1302" i="3"/>
  <c r="C1253" i="3"/>
  <c r="D1301" i="3"/>
  <c r="C1252" i="3"/>
  <c r="D1300" i="3"/>
  <c r="C1251" i="3"/>
  <c r="D1299" i="3"/>
  <c r="C1250" i="3"/>
  <c r="D1298" i="3"/>
  <c r="C1249" i="3"/>
  <c r="D1297" i="3"/>
  <c r="C1248" i="3"/>
  <c r="D1296" i="3"/>
  <c r="C1247" i="3"/>
  <c r="C1246" i="3"/>
  <c r="D1295" i="3"/>
  <c r="C1245" i="3"/>
  <c r="D1294" i="3"/>
  <c r="D1293" i="3"/>
  <c r="C1244" i="3"/>
  <c r="D1292" i="3"/>
  <c r="C1243" i="3"/>
  <c r="D1291" i="3"/>
  <c r="C1242" i="3"/>
  <c r="D1290" i="3"/>
  <c r="C1241" i="3"/>
  <c r="D1289" i="3"/>
  <c r="C1240" i="3"/>
  <c r="C1239" i="3"/>
  <c r="D1288" i="3"/>
  <c r="D1287" i="3"/>
  <c r="C1238" i="3"/>
  <c r="D1286" i="3"/>
  <c r="C1237" i="3"/>
  <c r="C1236" i="3"/>
  <c r="D1285" i="3"/>
  <c r="D1284" i="3"/>
  <c r="C1235" i="3"/>
  <c r="D1283" i="3"/>
  <c r="C1234" i="3"/>
  <c r="D1282" i="3"/>
  <c r="C1233" i="3"/>
  <c r="D1281" i="3"/>
  <c r="C1232" i="3"/>
  <c r="D1280" i="3"/>
  <c r="C1231" i="3"/>
  <c r="D1279" i="3"/>
  <c r="C1230" i="3"/>
  <c r="D1278" i="3"/>
  <c r="C1229" i="3"/>
  <c r="D1277" i="3"/>
  <c r="C1228" i="3"/>
  <c r="D1276" i="3"/>
  <c r="C1227" i="3"/>
  <c r="D1275" i="3"/>
  <c r="C1226" i="3"/>
  <c r="D1274" i="3"/>
  <c r="C1225" i="3"/>
  <c r="D1273" i="3"/>
  <c r="C1224" i="3"/>
  <c r="D1272" i="3"/>
  <c r="C1223" i="3"/>
  <c r="D1271" i="3"/>
  <c r="C1222" i="3"/>
  <c r="D1270" i="3"/>
  <c r="C1221" i="3"/>
  <c r="D1269" i="3"/>
  <c r="C1220" i="3"/>
  <c r="D1268" i="3"/>
  <c r="C1219" i="3"/>
  <c r="D1267" i="3"/>
  <c r="C1218" i="3"/>
  <c r="D1266" i="3"/>
  <c r="C1217" i="3"/>
  <c r="D1265" i="3"/>
  <c r="C1216" i="3"/>
  <c r="D1264" i="3"/>
  <c r="C1215" i="3"/>
  <c r="D1263" i="3"/>
  <c r="C1214" i="3"/>
  <c r="D1262" i="3"/>
  <c r="C1213" i="3"/>
  <c r="D1261" i="3"/>
  <c r="C1212" i="3"/>
  <c r="D1260" i="3"/>
  <c r="C1211" i="3"/>
  <c r="D1259" i="3"/>
  <c r="C1210" i="3"/>
  <c r="D1258" i="3"/>
  <c r="C1209" i="3"/>
  <c r="C1208" i="3"/>
  <c r="D1257" i="3"/>
  <c r="C1207" i="3"/>
  <c r="D1256" i="3"/>
  <c r="C1206" i="3"/>
  <c r="D1255" i="3"/>
  <c r="D1254" i="3"/>
  <c r="C1205" i="3"/>
  <c r="D1253" i="3"/>
  <c r="C1204" i="3"/>
  <c r="D1252" i="3"/>
  <c r="C1203" i="3"/>
  <c r="D1251" i="3"/>
  <c r="C1202" i="3"/>
  <c r="D1250" i="3"/>
  <c r="C1201" i="3"/>
  <c r="D1249" i="3"/>
  <c r="C1200" i="3"/>
  <c r="D1248" i="3"/>
  <c r="C1199" i="3"/>
  <c r="D1247" i="3"/>
  <c r="C1198" i="3"/>
  <c r="D1246" i="3"/>
  <c r="C1197" i="3"/>
  <c r="D1245" i="3"/>
  <c r="C1196" i="3"/>
  <c r="D1244" i="3"/>
  <c r="C1195" i="3"/>
  <c r="D1243" i="3"/>
  <c r="C1194" i="3"/>
  <c r="D1242" i="3"/>
  <c r="C1193" i="3"/>
  <c r="D1241" i="3"/>
  <c r="C1192" i="3"/>
  <c r="D1240" i="3"/>
  <c r="C1191" i="3"/>
  <c r="D1239" i="3"/>
  <c r="C1190" i="3"/>
  <c r="D1238" i="3"/>
  <c r="C1189" i="3"/>
  <c r="D1237" i="3"/>
  <c r="C1188" i="3"/>
  <c r="C1187" i="3"/>
  <c r="D1236" i="3"/>
  <c r="D1235" i="3"/>
  <c r="C1186" i="3"/>
  <c r="D1234" i="3"/>
  <c r="C1185" i="3"/>
  <c r="D1233" i="3"/>
  <c r="C1184" i="3"/>
  <c r="C1183" i="3"/>
  <c r="D1232" i="3"/>
  <c r="C1182" i="3"/>
  <c r="D1231" i="3"/>
  <c r="D1230" i="3"/>
  <c r="C1181" i="3"/>
  <c r="D1229" i="3"/>
  <c r="C1180" i="3"/>
  <c r="C1179" i="3"/>
  <c r="D1228" i="3"/>
  <c r="D1227" i="3"/>
  <c r="C1178" i="3"/>
  <c r="C1177" i="3"/>
  <c r="D1226" i="3"/>
  <c r="C1176" i="3"/>
  <c r="D1225" i="3"/>
  <c r="D1224" i="3"/>
  <c r="C1175" i="3"/>
  <c r="D1223" i="3"/>
  <c r="C1174" i="3"/>
  <c r="D1222" i="3"/>
  <c r="C1173" i="3"/>
  <c r="D1221" i="3"/>
  <c r="C1172" i="3"/>
  <c r="D1220" i="3"/>
  <c r="C1171" i="3"/>
  <c r="D1219" i="3"/>
  <c r="C1170" i="3"/>
  <c r="C1169" i="3"/>
  <c r="D1218" i="3"/>
  <c r="C1168" i="3"/>
  <c r="D1217" i="3"/>
  <c r="C1167" i="3"/>
  <c r="D1216" i="3"/>
  <c r="C1166" i="3"/>
  <c r="D1215" i="3"/>
  <c r="C1165" i="3"/>
  <c r="D1214" i="3"/>
  <c r="C1164" i="3"/>
  <c r="D1213" i="3"/>
  <c r="D1212" i="3"/>
  <c r="C1163" i="3"/>
  <c r="D1211" i="3"/>
  <c r="C1162" i="3"/>
  <c r="D1210" i="3"/>
  <c r="C1161" i="3"/>
  <c r="D1209" i="3"/>
  <c r="C1160" i="3"/>
  <c r="D1208" i="3"/>
  <c r="C1159" i="3"/>
  <c r="D1207" i="3"/>
  <c r="C1158" i="3"/>
  <c r="D1206" i="3"/>
  <c r="C1157" i="3"/>
  <c r="D1205" i="3"/>
  <c r="C1156" i="3"/>
  <c r="D1204" i="3"/>
  <c r="C1155" i="3"/>
  <c r="D1203" i="3"/>
  <c r="C1154" i="3"/>
  <c r="D1202" i="3"/>
  <c r="C1153" i="3"/>
  <c r="D1201" i="3"/>
  <c r="C1152" i="3"/>
  <c r="D1200" i="3"/>
  <c r="C1151" i="3"/>
  <c r="D1199" i="3"/>
  <c r="C1150" i="3"/>
  <c r="D1198" i="3"/>
  <c r="C1149" i="3"/>
  <c r="D1197" i="3"/>
  <c r="C1148" i="3"/>
  <c r="D1196" i="3"/>
  <c r="D1147" i="3"/>
  <c r="C1147" i="3"/>
  <c r="D1195" i="3"/>
  <c r="D1146" i="3"/>
  <c r="C1146" i="3"/>
  <c r="D1145" i="3"/>
  <c r="D1194" i="3"/>
  <c r="C1145" i="3"/>
  <c r="D1144" i="3"/>
  <c r="C1144" i="3"/>
  <c r="D1193" i="3"/>
  <c r="D1143" i="3"/>
  <c r="D1192" i="3"/>
  <c r="C1143" i="3"/>
  <c r="D1191" i="3"/>
  <c r="D1142" i="3"/>
  <c r="C1142" i="3"/>
  <c r="D1141" i="3"/>
  <c r="C1141" i="3"/>
  <c r="D1190" i="3"/>
  <c r="D1189" i="3"/>
  <c r="C1140" i="3"/>
  <c r="D1140" i="3"/>
  <c r="D1188" i="3"/>
  <c r="D1139" i="3"/>
  <c r="C1139" i="3"/>
  <c r="C1138" i="3"/>
  <c r="D1138" i="3"/>
  <c r="D1187" i="3"/>
  <c r="D1186" i="3"/>
  <c r="D1137" i="3"/>
  <c r="C1137" i="3"/>
  <c r="D1185" i="3"/>
  <c r="D1136" i="3"/>
  <c r="C1136" i="3"/>
  <c r="C1135" i="3"/>
  <c r="D1184" i="3"/>
  <c r="D1135" i="3"/>
  <c r="C1134" i="3"/>
  <c r="D1134" i="3"/>
  <c r="D1183" i="3"/>
  <c r="D1182" i="3"/>
  <c r="C1133" i="3"/>
  <c r="D1133" i="3"/>
  <c r="C1132" i="3"/>
  <c r="D1132" i="3"/>
  <c r="D1181" i="3"/>
  <c r="D1180" i="3"/>
  <c r="D1131" i="3"/>
  <c r="C1131" i="3"/>
  <c r="C1130" i="3"/>
  <c r="D1130" i="3"/>
  <c r="D1179" i="3"/>
  <c r="C1129" i="3"/>
  <c r="D1129" i="3"/>
  <c r="D1178" i="3"/>
  <c r="C1128" i="3"/>
  <c r="D1128" i="3"/>
  <c r="D1177" i="3"/>
  <c r="D1127" i="3"/>
  <c r="D1176" i="3"/>
  <c r="C1127" i="3"/>
  <c r="D1175" i="3"/>
  <c r="C1126" i="3"/>
  <c r="D1126" i="3"/>
  <c r="D1174" i="3"/>
  <c r="D1125" i="3"/>
  <c r="C1125" i="3"/>
  <c r="D1173" i="3"/>
  <c r="D1124" i="3"/>
  <c r="C1124" i="3"/>
  <c r="D1172" i="3"/>
  <c r="C1123" i="3"/>
  <c r="D1123" i="3"/>
  <c r="D1171" i="3"/>
  <c r="D1122" i="3"/>
  <c r="C1122" i="3"/>
  <c r="D1121" i="3"/>
  <c r="C1121" i="3"/>
  <c r="D1170" i="3"/>
  <c r="D1169" i="3"/>
  <c r="D1120" i="3"/>
  <c r="C1120" i="3"/>
  <c r="D1168" i="3"/>
  <c r="C1119" i="3"/>
  <c r="D1119" i="3"/>
  <c r="D1167" i="3"/>
  <c r="D1118" i="3"/>
  <c r="C1118" i="3"/>
  <c r="D1166" i="3"/>
  <c r="D1117" i="3"/>
  <c r="C1117" i="3"/>
  <c r="D1165" i="3"/>
  <c r="C1116" i="3"/>
  <c r="D1116" i="3"/>
  <c r="D1164" i="3"/>
  <c r="C1115" i="3"/>
  <c r="D1115" i="3"/>
  <c r="D1163" i="3"/>
  <c r="D1114" i="3"/>
  <c r="C1114" i="3"/>
  <c r="D1162" i="3"/>
  <c r="D1113" i="3"/>
  <c r="C1113" i="3"/>
  <c r="D1161" i="3"/>
  <c r="D1112" i="3"/>
  <c r="C1112" i="3"/>
  <c r="D1160" i="3"/>
  <c r="D1111" i="3"/>
  <c r="C1111" i="3"/>
  <c r="D1159" i="3"/>
  <c r="D1110" i="3"/>
  <c r="C1110" i="3"/>
  <c r="D1158" i="3"/>
  <c r="C1109" i="3"/>
  <c r="D1109" i="3"/>
  <c r="D1157" i="3"/>
  <c r="D1108" i="3"/>
  <c r="C1108" i="3"/>
  <c r="D1156" i="3"/>
  <c r="D1107" i="3"/>
  <c r="C1107" i="3"/>
  <c r="C1106" i="3"/>
  <c r="D1106" i="3"/>
  <c r="D1155" i="3"/>
  <c r="D1154" i="3"/>
  <c r="D1105" i="3"/>
  <c r="C1105" i="3"/>
  <c r="D1153" i="3"/>
  <c r="D1104" i="3"/>
  <c r="C1104" i="3"/>
  <c r="D1152" i="3"/>
  <c r="D1103" i="3"/>
  <c r="C1103" i="3"/>
  <c r="D1151" i="3"/>
  <c r="D1102" i="3"/>
  <c r="C1102" i="3"/>
  <c r="D1150" i="3"/>
  <c r="D1101" i="3"/>
  <c r="C1101" i="3"/>
  <c r="D1149" i="3"/>
  <c r="D1100" i="3"/>
  <c r="C1100" i="3"/>
  <c r="D1148" i="3"/>
  <c r="D1099" i="3"/>
  <c r="C1099" i="3"/>
  <c r="D1097" i="3"/>
  <c r="C1048" i="3"/>
  <c r="D1096" i="3"/>
  <c r="C1047" i="3"/>
  <c r="D1095" i="3"/>
  <c r="C1046" i="3"/>
  <c r="D1094" i="3"/>
  <c r="C1045" i="3"/>
  <c r="D1093" i="3"/>
  <c r="C1044" i="3"/>
  <c r="D1092" i="3"/>
  <c r="C1043" i="3"/>
  <c r="D1091" i="3"/>
  <c r="C1042" i="3"/>
  <c r="C1041" i="3"/>
  <c r="D1090" i="3"/>
  <c r="C1040" i="3"/>
  <c r="D1089" i="3"/>
  <c r="C1039" i="3"/>
  <c r="D1088" i="3"/>
  <c r="C1038" i="3"/>
  <c r="D1087" i="3"/>
  <c r="D1086" i="3"/>
  <c r="C1037" i="3"/>
  <c r="C1036" i="3"/>
  <c r="D1085" i="3"/>
  <c r="D1084" i="3"/>
  <c r="C1035" i="3"/>
  <c r="D1083" i="3"/>
  <c r="C1034" i="3"/>
  <c r="D1082" i="3"/>
  <c r="C1033" i="3"/>
  <c r="C1032" i="3"/>
  <c r="D1081" i="3"/>
  <c r="C1031" i="3"/>
  <c r="D1080" i="3"/>
  <c r="C1030" i="3"/>
  <c r="D1079" i="3"/>
  <c r="D1078" i="3"/>
  <c r="C1029" i="3"/>
  <c r="D1077" i="3"/>
  <c r="C1028" i="3"/>
  <c r="C1027" i="3"/>
  <c r="D1076" i="3"/>
  <c r="C1026" i="3"/>
  <c r="D1075" i="3"/>
  <c r="C1025" i="3"/>
  <c r="D1074" i="3"/>
  <c r="C1024" i="3"/>
  <c r="D1073" i="3"/>
  <c r="C1023" i="3"/>
  <c r="D1072" i="3"/>
  <c r="D1071" i="3"/>
  <c r="C1022" i="3"/>
  <c r="D1070" i="3"/>
  <c r="C1021" i="3"/>
  <c r="D1069" i="3"/>
  <c r="C1020" i="3"/>
  <c r="D1068" i="3"/>
  <c r="C1019" i="3"/>
  <c r="D1067" i="3"/>
  <c r="C1018" i="3"/>
  <c r="C1017" i="3"/>
  <c r="D1066" i="3"/>
  <c r="D1065" i="3"/>
  <c r="C1016" i="3"/>
  <c r="D1064" i="3"/>
  <c r="C1015" i="3"/>
  <c r="C1014" i="3"/>
  <c r="D1063" i="3"/>
  <c r="C1013" i="3"/>
  <c r="D1062" i="3"/>
  <c r="C1012" i="3"/>
  <c r="D1061" i="3"/>
  <c r="D1060" i="3"/>
  <c r="C1011" i="3"/>
  <c r="D1059" i="3"/>
  <c r="C1010" i="3"/>
  <c r="D1058" i="3"/>
  <c r="C1009" i="3"/>
  <c r="D1057" i="3"/>
  <c r="C1008" i="3"/>
  <c r="C1007" i="3"/>
  <c r="D1056" i="3"/>
  <c r="D1055" i="3"/>
  <c r="C1006" i="3"/>
  <c r="D1054" i="3"/>
  <c r="C1005" i="3"/>
  <c r="D1053" i="3"/>
  <c r="C1004" i="3"/>
  <c r="D1052" i="3"/>
  <c r="C1003" i="3"/>
  <c r="C1002" i="3"/>
  <c r="D1051" i="3"/>
  <c r="D1050" i="3"/>
  <c r="C1001" i="3"/>
  <c r="D1049" i="3"/>
  <c r="C1000" i="3"/>
  <c r="D1048" i="3"/>
  <c r="C999" i="3"/>
  <c r="D1047" i="3"/>
  <c r="C998" i="3"/>
  <c r="C997" i="3"/>
  <c r="D1046" i="3"/>
  <c r="C996" i="3"/>
  <c r="D1045" i="3"/>
  <c r="D1044" i="3"/>
  <c r="C995" i="3"/>
  <c r="D1043" i="3"/>
  <c r="C994" i="3"/>
  <c r="C993" i="3"/>
  <c r="D1042" i="3"/>
  <c r="D1041" i="3"/>
  <c r="C992" i="3"/>
  <c r="D1040" i="3"/>
  <c r="C991" i="3"/>
  <c r="D1039" i="3"/>
  <c r="C990" i="3"/>
  <c r="D1038" i="3"/>
  <c r="C989" i="3"/>
  <c r="C988" i="3"/>
  <c r="D1037" i="3"/>
  <c r="C987" i="3"/>
  <c r="D1036" i="3"/>
  <c r="C986" i="3"/>
  <c r="D1035" i="3"/>
  <c r="D1034" i="3"/>
  <c r="C985" i="3"/>
  <c r="C984" i="3"/>
  <c r="D1033" i="3"/>
  <c r="C983" i="3"/>
  <c r="D1032" i="3"/>
  <c r="D1031" i="3"/>
  <c r="C982" i="3"/>
  <c r="D1030" i="3"/>
  <c r="C981" i="3"/>
  <c r="D1029" i="3"/>
  <c r="C980" i="3"/>
  <c r="D1028" i="3"/>
  <c r="C979" i="3"/>
  <c r="D1027" i="3"/>
  <c r="C978" i="3"/>
  <c r="D1026" i="3"/>
  <c r="C977" i="3"/>
  <c r="D1025" i="3"/>
  <c r="C976" i="3"/>
  <c r="D1024" i="3"/>
  <c r="C975" i="3"/>
  <c r="D1023" i="3"/>
  <c r="C974" i="3"/>
  <c r="D1022" i="3"/>
  <c r="C973" i="3"/>
  <c r="D1021" i="3"/>
  <c r="C972" i="3"/>
  <c r="D1020" i="3"/>
  <c r="C971" i="3"/>
  <c r="D1019" i="3"/>
  <c r="C970" i="3"/>
  <c r="C969" i="3"/>
  <c r="D1018" i="3"/>
  <c r="D1017" i="3"/>
  <c r="C968" i="3"/>
  <c r="C967" i="3"/>
  <c r="D1016" i="3"/>
  <c r="C966" i="3"/>
  <c r="D1015" i="3"/>
  <c r="C965" i="3"/>
  <c r="D1014" i="3"/>
  <c r="C964" i="3"/>
  <c r="D1013" i="3"/>
  <c r="D1012" i="3"/>
  <c r="C963" i="3"/>
  <c r="D1011" i="3"/>
  <c r="C962" i="3"/>
  <c r="D1010" i="3"/>
  <c r="C961" i="3"/>
  <c r="D1009" i="3"/>
  <c r="C960" i="3"/>
  <c r="C959" i="3"/>
  <c r="D1008" i="3"/>
  <c r="C958" i="3"/>
  <c r="D1007" i="3"/>
  <c r="D1006" i="3"/>
  <c r="C957" i="3"/>
  <c r="D1005" i="3"/>
  <c r="C956" i="3"/>
  <c r="D1004" i="3"/>
  <c r="C955" i="3"/>
  <c r="C954" i="3"/>
  <c r="D1003" i="3"/>
  <c r="D1002" i="3"/>
  <c r="C953" i="3"/>
  <c r="D1001" i="3"/>
  <c r="C952" i="3"/>
  <c r="D1000" i="3"/>
  <c r="C951" i="3"/>
  <c r="D999" i="3"/>
  <c r="C950" i="3"/>
  <c r="C949" i="3"/>
  <c r="D998" i="3"/>
  <c r="D997" i="3"/>
  <c r="C948" i="3"/>
  <c r="D996" i="3"/>
  <c r="C947" i="3"/>
  <c r="D995" i="3"/>
  <c r="C946" i="3"/>
  <c r="D994" i="3"/>
  <c r="C945" i="3"/>
  <c r="D993" i="3"/>
  <c r="C944" i="3"/>
  <c r="D992" i="3"/>
  <c r="C943" i="3"/>
  <c r="D991" i="3"/>
  <c r="C942" i="3"/>
  <c r="D990" i="3"/>
  <c r="C941" i="3"/>
  <c r="D989" i="3"/>
  <c r="C940" i="3"/>
  <c r="D988" i="3"/>
  <c r="C939" i="3"/>
  <c r="D987" i="3"/>
  <c r="C938" i="3"/>
  <c r="D986" i="3"/>
  <c r="C937" i="3"/>
  <c r="D985" i="3"/>
  <c r="C936" i="3"/>
  <c r="D984" i="3"/>
  <c r="C935" i="3"/>
  <c r="D983" i="3"/>
  <c r="C934" i="3"/>
  <c r="D982" i="3"/>
  <c r="C933" i="3"/>
  <c r="D981" i="3"/>
  <c r="C932" i="3"/>
  <c r="D980" i="3"/>
  <c r="C931" i="3"/>
  <c r="D979" i="3"/>
  <c r="C930" i="3"/>
  <c r="C929" i="3"/>
  <c r="D978" i="3"/>
  <c r="D977" i="3"/>
  <c r="C928" i="3"/>
  <c r="C927" i="3"/>
  <c r="D976" i="3"/>
  <c r="D975" i="3"/>
  <c r="C926" i="3"/>
  <c r="D974" i="3"/>
  <c r="C925" i="3"/>
  <c r="C924" i="3"/>
  <c r="D973" i="3"/>
  <c r="D972" i="3"/>
  <c r="C923" i="3"/>
  <c r="D971" i="3"/>
  <c r="C922" i="3"/>
  <c r="D970" i="3"/>
  <c r="C921" i="3"/>
  <c r="C920" i="3"/>
  <c r="D969" i="3"/>
  <c r="C919" i="3"/>
  <c r="D968" i="3"/>
  <c r="D967" i="3"/>
  <c r="C918" i="3"/>
  <c r="D966" i="3"/>
  <c r="C917" i="3"/>
  <c r="C916" i="3"/>
  <c r="D965" i="3"/>
  <c r="D964" i="3"/>
  <c r="C915" i="3"/>
  <c r="D963" i="3"/>
  <c r="C914" i="3"/>
  <c r="D962" i="3"/>
  <c r="C913" i="3"/>
  <c r="C912" i="3"/>
  <c r="D961" i="3"/>
  <c r="C911" i="3"/>
  <c r="D960" i="3"/>
  <c r="C910" i="3"/>
  <c r="D959" i="3"/>
  <c r="D958" i="3"/>
  <c r="C909" i="3"/>
  <c r="D957" i="3"/>
  <c r="C908" i="3"/>
  <c r="D956" i="3"/>
  <c r="C907" i="3"/>
  <c r="D955" i="3"/>
  <c r="C906" i="3"/>
  <c r="D954" i="3"/>
  <c r="C905" i="3"/>
  <c r="D953" i="3"/>
  <c r="C904" i="3"/>
  <c r="D952" i="3"/>
  <c r="C903" i="3"/>
  <c r="D951" i="3"/>
  <c r="C902" i="3"/>
  <c r="D950" i="3"/>
  <c r="C901" i="3"/>
  <c r="D949" i="3"/>
  <c r="C900" i="3"/>
  <c r="D948" i="3"/>
  <c r="C899" i="3"/>
  <c r="D947" i="3"/>
  <c r="C898" i="3"/>
  <c r="D946" i="3"/>
  <c r="C897" i="3"/>
  <c r="D945" i="3"/>
  <c r="C896" i="3"/>
  <c r="D944" i="3"/>
  <c r="C895" i="3"/>
  <c r="D943" i="3"/>
  <c r="C894" i="3"/>
  <c r="D942" i="3"/>
  <c r="C893" i="3"/>
  <c r="D941" i="3"/>
  <c r="C892" i="3"/>
  <c r="D940" i="3"/>
  <c r="C891" i="3"/>
  <c r="D939" i="3"/>
  <c r="C890" i="3"/>
  <c r="D938" i="3"/>
  <c r="C889" i="3"/>
  <c r="D937" i="3"/>
  <c r="C888" i="3"/>
  <c r="D936" i="3"/>
  <c r="C887" i="3"/>
  <c r="D935" i="3"/>
  <c r="C886" i="3"/>
  <c r="D934" i="3"/>
  <c r="C885" i="3"/>
  <c r="D933" i="3"/>
  <c r="C884" i="3"/>
  <c r="D932" i="3"/>
  <c r="C883" i="3"/>
  <c r="C882" i="3"/>
  <c r="D931" i="3"/>
  <c r="C881" i="3"/>
  <c r="D930" i="3"/>
  <c r="C880" i="3"/>
  <c r="D929" i="3"/>
  <c r="C879" i="3"/>
  <c r="D928" i="3"/>
  <c r="C878" i="3"/>
  <c r="D927" i="3"/>
  <c r="C877" i="3"/>
  <c r="D926" i="3"/>
  <c r="D925" i="3"/>
  <c r="C876" i="3"/>
  <c r="D924" i="3"/>
  <c r="C875" i="3"/>
  <c r="D923" i="3"/>
  <c r="C874" i="3"/>
  <c r="C873" i="3"/>
  <c r="D922" i="3"/>
  <c r="D921" i="3"/>
  <c r="C872" i="3"/>
  <c r="D920" i="3"/>
  <c r="C871" i="3"/>
  <c r="D919" i="3"/>
  <c r="C870" i="3"/>
  <c r="C869" i="3"/>
  <c r="D918" i="3"/>
  <c r="D917" i="3"/>
  <c r="C868" i="3"/>
  <c r="C867" i="3"/>
  <c r="D916" i="3"/>
  <c r="D915" i="3"/>
  <c r="C866" i="3"/>
  <c r="D914" i="3"/>
  <c r="C865" i="3"/>
  <c r="D913" i="3"/>
  <c r="C864" i="3"/>
  <c r="D912" i="3"/>
  <c r="C863" i="3"/>
  <c r="D911" i="3"/>
  <c r="C862" i="3"/>
  <c r="D910" i="3"/>
  <c r="C861" i="3"/>
  <c r="C860" i="3"/>
  <c r="D909" i="3"/>
  <c r="D908" i="3"/>
  <c r="C859" i="3"/>
  <c r="D907" i="3"/>
  <c r="C858" i="3"/>
  <c r="D906" i="3"/>
  <c r="C857" i="3"/>
  <c r="C856" i="3"/>
  <c r="D905" i="3"/>
  <c r="C855" i="3"/>
  <c r="D904" i="3"/>
  <c r="D903" i="3"/>
  <c r="C854" i="3"/>
  <c r="C853" i="3"/>
  <c r="D902" i="3"/>
  <c r="C852" i="3"/>
  <c r="D901" i="3"/>
  <c r="C851" i="3"/>
  <c r="D900" i="3"/>
  <c r="C850" i="3"/>
  <c r="D899" i="3"/>
  <c r="C849" i="3"/>
  <c r="D898" i="3"/>
  <c r="C848" i="3"/>
  <c r="D897" i="3"/>
  <c r="C847" i="3"/>
  <c r="D896" i="3"/>
  <c r="D895" i="3"/>
  <c r="C846" i="3"/>
  <c r="D894" i="3"/>
  <c r="C845" i="3"/>
  <c r="D893" i="3"/>
  <c r="C844" i="3"/>
  <c r="D892" i="3"/>
  <c r="C843" i="3"/>
  <c r="D891" i="3"/>
  <c r="C842" i="3"/>
  <c r="D890" i="3"/>
  <c r="C841" i="3"/>
  <c r="D889" i="3"/>
  <c r="C840" i="3"/>
  <c r="D888" i="3"/>
  <c r="C839" i="3"/>
  <c r="C838" i="3"/>
  <c r="D887" i="3"/>
  <c r="C837" i="3"/>
  <c r="D886" i="3"/>
  <c r="C836" i="3"/>
  <c r="D885" i="3"/>
  <c r="C835" i="3"/>
  <c r="D884" i="3"/>
  <c r="C834" i="3"/>
  <c r="D883" i="3"/>
  <c r="D882" i="3"/>
  <c r="C833" i="3"/>
  <c r="D881" i="3"/>
  <c r="C832" i="3"/>
  <c r="D880" i="3"/>
  <c r="C831" i="3"/>
  <c r="D879" i="3"/>
  <c r="C830" i="3"/>
  <c r="C829" i="3"/>
  <c r="D878" i="3"/>
  <c r="C828" i="3"/>
  <c r="D877" i="3"/>
  <c r="C827" i="3"/>
  <c r="D876" i="3"/>
  <c r="C826" i="3"/>
  <c r="D875" i="3"/>
  <c r="C825" i="3"/>
  <c r="D874" i="3"/>
  <c r="D873" i="3"/>
  <c r="C824" i="3"/>
  <c r="D872" i="3"/>
  <c r="C823" i="3"/>
  <c r="D871" i="3"/>
  <c r="C822" i="3"/>
  <c r="D870" i="3"/>
  <c r="C821" i="3"/>
  <c r="C820" i="3"/>
  <c r="D869" i="3"/>
  <c r="C819" i="3"/>
  <c r="D868" i="3"/>
  <c r="C818" i="3"/>
  <c r="D867" i="3"/>
  <c r="D866" i="3"/>
  <c r="C817" i="3"/>
  <c r="D865" i="3"/>
  <c r="C816" i="3"/>
  <c r="C815" i="3"/>
  <c r="D864" i="3"/>
  <c r="C814" i="3"/>
  <c r="D863" i="3"/>
  <c r="C813" i="3"/>
  <c r="D862" i="3"/>
  <c r="C812" i="3"/>
  <c r="D861" i="3"/>
  <c r="D860" i="3"/>
  <c r="C811" i="3"/>
  <c r="C810" i="3"/>
  <c r="D859" i="3"/>
  <c r="C809" i="3"/>
  <c r="D858" i="3"/>
  <c r="D857" i="3"/>
  <c r="C808" i="3"/>
  <c r="C807" i="3"/>
  <c r="D856" i="3"/>
  <c r="C806" i="3"/>
  <c r="D855" i="3"/>
  <c r="C805" i="3"/>
  <c r="D854" i="3"/>
  <c r="C804" i="3"/>
  <c r="D853" i="3"/>
  <c r="C803" i="3"/>
  <c r="D852" i="3"/>
  <c r="C802" i="3"/>
  <c r="D851" i="3"/>
  <c r="D850" i="3"/>
  <c r="C801" i="3"/>
  <c r="D849" i="3"/>
  <c r="C800" i="3"/>
  <c r="D848" i="3"/>
  <c r="C799" i="3"/>
  <c r="C798" i="3"/>
  <c r="D847" i="3"/>
  <c r="D846" i="3"/>
  <c r="C797" i="3"/>
  <c r="C796" i="3"/>
  <c r="D845" i="3"/>
  <c r="D844" i="3"/>
  <c r="C795" i="3"/>
  <c r="C794" i="3"/>
  <c r="D843" i="3"/>
  <c r="C793" i="3"/>
  <c r="D842" i="3"/>
  <c r="D841" i="3"/>
  <c r="C792" i="3"/>
  <c r="D840" i="3"/>
  <c r="C791" i="3"/>
  <c r="C790" i="3"/>
  <c r="D839" i="3"/>
  <c r="D838" i="3"/>
  <c r="C789" i="3"/>
  <c r="C788" i="3"/>
  <c r="D837" i="3"/>
  <c r="C787" i="3"/>
  <c r="D836" i="3"/>
  <c r="C786" i="3"/>
  <c r="D835" i="3"/>
  <c r="C785" i="3"/>
  <c r="D834" i="3"/>
  <c r="C784" i="3"/>
  <c r="D833" i="3"/>
  <c r="D832" i="3"/>
  <c r="C783" i="3"/>
  <c r="D831" i="3"/>
  <c r="C782" i="3"/>
  <c r="D830" i="3"/>
  <c r="C781" i="3"/>
  <c r="C780" i="3"/>
  <c r="D829" i="3"/>
  <c r="D828" i="3"/>
  <c r="C779" i="3"/>
  <c r="C778" i="3"/>
  <c r="D827" i="3"/>
  <c r="D826" i="3"/>
  <c r="C777" i="3"/>
  <c r="D825" i="3"/>
  <c r="C776" i="3"/>
  <c r="D824" i="3"/>
  <c r="C775" i="3"/>
  <c r="D823" i="3"/>
  <c r="C774" i="3"/>
  <c r="C773" i="3"/>
  <c r="D822" i="3"/>
  <c r="D821" i="3"/>
  <c r="C772" i="3"/>
  <c r="C771" i="3"/>
  <c r="D820" i="3"/>
  <c r="D819" i="3"/>
  <c r="C770" i="3"/>
  <c r="C769" i="3"/>
  <c r="D818" i="3"/>
  <c r="D817" i="3"/>
  <c r="C768" i="3"/>
  <c r="D816" i="3"/>
  <c r="C767" i="3"/>
  <c r="D815" i="3"/>
  <c r="C766" i="3"/>
  <c r="D814" i="3"/>
  <c r="C765" i="3"/>
  <c r="D813" i="3"/>
  <c r="C764" i="3"/>
  <c r="D812" i="3"/>
  <c r="C763" i="3"/>
  <c r="D811" i="3"/>
  <c r="C762" i="3"/>
  <c r="D810" i="3"/>
  <c r="C761" i="3"/>
  <c r="D809" i="3"/>
  <c r="D760" i="3"/>
  <c r="C760" i="3"/>
  <c r="C759" i="3"/>
  <c r="D808" i="3"/>
  <c r="D759" i="3"/>
  <c r="D807" i="3"/>
  <c r="D758" i="3"/>
  <c r="C758" i="3"/>
  <c r="D757" i="3"/>
  <c r="D806" i="3"/>
  <c r="C757" i="3"/>
  <c r="D805" i="3"/>
  <c r="C756" i="3"/>
  <c r="D756" i="3"/>
  <c r="C755" i="3"/>
  <c r="D755" i="3"/>
  <c r="D804" i="3"/>
  <c r="D803" i="3"/>
  <c r="C754" i="3"/>
  <c r="D754" i="3"/>
  <c r="D753" i="3"/>
  <c r="C753" i="3"/>
  <c r="D802" i="3"/>
  <c r="C752" i="3"/>
  <c r="D752" i="3"/>
  <c r="D801" i="3"/>
  <c r="D751" i="3"/>
  <c r="D800" i="3"/>
  <c r="C751" i="3"/>
  <c r="D750" i="3"/>
  <c r="D799" i="3"/>
  <c r="C750" i="3"/>
  <c r="C749" i="3"/>
  <c r="D749" i="3"/>
  <c r="D798" i="3"/>
  <c r="C748" i="3"/>
  <c r="D748" i="3"/>
  <c r="D797" i="3"/>
  <c r="C747" i="3"/>
  <c r="D796" i="3"/>
  <c r="D747" i="3"/>
  <c r="D795" i="3"/>
  <c r="C746" i="3"/>
  <c r="D746" i="3"/>
  <c r="D745" i="3"/>
  <c r="C745" i="3"/>
  <c r="D794" i="3"/>
  <c r="D793" i="3"/>
  <c r="D744" i="3"/>
  <c r="C744" i="3"/>
  <c r="C743" i="3"/>
  <c r="D743" i="3"/>
  <c r="D792" i="3"/>
  <c r="D791" i="3"/>
  <c r="C742" i="3"/>
  <c r="D742" i="3"/>
  <c r="D790" i="3"/>
  <c r="C741" i="3"/>
  <c r="D741" i="3"/>
  <c r="D789" i="3"/>
  <c r="C740" i="3"/>
  <c r="D740" i="3"/>
  <c r="D739" i="3"/>
  <c r="C739" i="3"/>
  <c r="D788" i="3"/>
  <c r="C738" i="3"/>
  <c r="D787" i="3"/>
  <c r="D738" i="3"/>
  <c r="D737" i="3"/>
  <c r="D786" i="3"/>
  <c r="C737" i="3"/>
  <c r="D736" i="3"/>
  <c r="D785" i="3"/>
  <c r="C736" i="3"/>
  <c r="C735" i="3"/>
  <c r="D735" i="3"/>
  <c r="D784" i="3"/>
  <c r="D734" i="3"/>
  <c r="D783" i="3"/>
  <c r="C734" i="3"/>
  <c r="D782" i="3"/>
  <c r="D733" i="3"/>
  <c r="C733" i="3"/>
  <c r="D781" i="3"/>
  <c r="D732" i="3"/>
  <c r="C732" i="3"/>
  <c r="D780" i="3"/>
  <c r="D731" i="3"/>
  <c r="C731" i="3"/>
  <c r="D779" i="3"/>
  <c r="C730" i="3"/>
  <c r="D730" i="3"/>
  <c r="D778" i="3"/>
  <c r="C729" i="3"/>
  <c r="D729" i="3"/>
  <c r="D728" i="3"/>
  <c r="D777" i="3"/>
  <c r="C728" i="3"/>
  <c r="D776" i="3"/>
  <c r="D727" i="3"/>
  <c r="C727" i="3"/>
  <c r="D726" i="3"/>
  <c r="C726" i="3"/>
  <c r="D775" i="3"/>
  <c r="D774" i="3"/>
  <c r="D725" i="3"/>
  <c r="C725" i="3"/>
  <c r="D724" i="3"/>
  <c r="C724" i="3"/>
  <c r="D773" i="3"/>
  <c r="D772" i="3"/>
  <c r="C723" i="3"/>
  <c r="D723" i="3"/>
  <c r="D771" i="3"/>
  <c r="C722" i="3"/>
  <c r="D722" i="3"/>
  <c r="D721" i="3"/>
  <c r="D770" i="3"/>
  <c r="C721" i="3"/>
  <c r="D769" i="3"/>
  <c r="C720" i="3"/>
  <c r="D720" i="3"/>
  <c r="D768" i="3"/>
  <c r="C719" i="3"/>
  <c r="D719" i="3"/>
  <c r="D767" i="3"/>
  <c r="C718" i="3"/>
  <c r="D766" i="3"/>
  <c r="C717" i="3"/>
  <c r="D765" i="3"/>
  <c r="C716" i="3"/>
  <c r="C715" i="3"/>
  <c r="D764" i="3"/>
  <c r="C714" i="3"/>
  <c r="D763" i="3"/>
  <c r="D762" i="3"/>
  <c r="C713" i="3"/>
  <c r="D761" i="3"/>
  <c r="C712" i="3"/>
  <c r="C669" i="3"/>
  <c r="D718" i="3"/>
  <c r="D717" i="3"/>
  <c r="C668" i="3"/>
  <c r="C667" i="3"/>
  <c r="D716" i="3"/>
  <c r="C666" i="3"/>
  <c r="D715" i="3"/>
  <c r="C665" i="3"/>
  <c r="D714" i="3"/>
  <c r="C664" i="3"/>
  <c r="D713" i="3"/>
  <c r="C663" i="3"/>
  <c r="D712" i="3"/>
  <c r="C662" i="3"/>
  <c r="D711" i="3"/>
  <c r="C661" i="3"/>
  <c r="D710" i="3"/>
  <c r="C660" i="3"/>
  <c r="D709" i="3"/>
  <c r="C659" i="3"/>
  <c r="D708" i="3"/>
  <c r="D707" i="3"/>
  <c r="C658" i="3"/>
  <c r="D706" i="3"/>
  <c r="C657" i="3"/>
  <c r="D705" i="3"/>
  <c r="C656" i="3"/>
  <c r="C655" i="3"/>
  <c r="D704" i="3"/>
  <c r="D703" i="3"/>
  <c r="C654" i="3"/>
  <c r="D702" i="3"/>
  <c r="C653" i="3"/>
  <c r="D701" i="3"/>
  <c r="C652" i="3"/>
  <c r="D700" i="3"/>
  <c r="C651" i="3"/>
  <c r="D699" i="3"/>
  <c r="C650" i="3"/>
  <c r="D698" i="3"/>
  <c r="C649" i="3"/>
  <c r="D697" i="3"/>
  <c r="C648" i="3"/>
  <c r="D696" i="3"/>
  <c r="C647" i="3"/>
  <c r="D695" i="3"/>
  <c r="C646" i="3"/>
  <c r="C645" i="3"/>
  <c r="D694" i="3"/>
  <c r="D693" i="3"/>
  <c r="C644" i="3"/>
  <c r="C643" i="3"/>
  <c r="D692" i="3"/>
  <c r="C642" i="3"/>
  <c r="D691" i="3"/>
  <c r="C641" i="3"/>
  <c r="D690" i="3"/>
  <c r="D689" i="3"/>
  <c r="C640" i="3"/>
  <c r="C639" i="3"/>
  <c r="D688" i="3"/>
  <c r="D687" i="3"/>
  <c r="C638" i="3"/>
  <c r="C637" i="3"/>
  <c r="D686" i="3"/>
  <c r="D685" i="3"/>
  <c r="C636" i="3"/>
  <c r="C635" i="3"/>
  <c r="D684" i="3"/>
  <c r="C634" i="3"/>
  <c r="D683" i="3"/>
  <c r="D682" i="3"/>
  <c r="C633" i="3"/>
  <c r="D681" i="3"/>
  <c r="C632" i="3"/>
  <c r="C631" i="3"/>
  <c r="D680" i="3"/>
  <c r="D679" i="3"/>
  <c r="C630" i="3"/>
  <c r="D678" i="3"/>
  <c r="C629" i="3"/>
  <c r="C628" i="3"/>
  <c r="D677" i="3"/>
  <c r="C627" i="3"/>
  <c r="D676" i="3"/>
  <c r="C626" i="3"/>
  <c r="D675" i="3"/>
  <c r="C625" i="3"/>
  <c r="D674" i="3"/>
  <c r="C624" i="3"/>
  <c r="D673" i="3"/>
  <c r="D672" i="3"/>
  <c r="C623" i="3"/>
  <c r="C622" i="3"/>
  <c r="D671" i="3"/>
  <c r="D670" i="3"/>
  <c r="C621" i="3"/>
  <c r="D669" i="3"/>
  <c r="C620" i="3"/>
  <c r="D668" i="3"/>
  <c r="C619" i="3"/>
  <c r="C618" i="3"/>
  <c r="D667" i="3"/>
  <c r="C617" i="3"/>
  <c r="D666" i="3"/>
  <c r="D665" i="3"/>
  <c r="C616" i="3"/>
  <c r="D664" i="3"/>
  <c r="C615" i="3"/>
  <c r="D663" i="3"/>
  <c r="C614" i="3"/>
  <c r="C613" i="3"/>
  <c r="D662" i="3"/>
  <c r="D661" i="3"/>
  <c r="C612" i="3"/>
  <c r="D660" i="3"/>
  <c r="C611" i="3"/>
  <c r="C610" i="3"/>
  <c r="D659" i="3"/>
  <c r="D658" i="3"/>
  <c r="C609" i="3"/>
  <c r="D657" i="3"/>
  <c r="C608" i="3"/>
  <c r="D656" i="3"/>
  <c r="C607" i="3"/>
  <c r="C606" i="3"/>
  <c r="D655" i="3"/>
  <c r="D654" i="3"/>
  <c r="C605" i="3"/>
  <c r="D653" i="3"/>
  <c r="C604" i="3"/>
  <c r="D652" i="3"/>
  <c r="C603" i="3"/>
  <c r="D651" i="3"/>
  <c r="C602" i="3"/>
  <c r="D650" i="3"/>
  <c r="C601" i="3"/>
  <c r="C600" i="3"/>
  <c r="D649" i="3"/>
  <c r="D648" i="3"/>
  <c r="C599" i="3"/>
  <c r="D647" i="3"/>
  <c r="C598" i="3"/>
  <c r="C597" i="3"/>
  <c r="D646" i="3"/>
  <c r="C596" i="3"/>
  <c r="D645" i="3"/>
  <c r="D644" i="3"/>
  <c r="C595" i="3"/>
  <c r="C594" i="3"/>
  <c r="D643" i="3"/>
  <c r="D642" i="3"/>
  <c r="C593" i="3"/>
  <c r="D641" i="3"/>
  <c r="C592" i="3"/>
  <c r="C591" i="3"/>
  <c r="D640" i="3"/>
  <c r="C590" i="3"/>
  <c r="D639" i="3"/>
  <c r="C589" i="3"/>
  <c r="D638" i="3"/>
  <c r="D637" i="3"/>
  <c r="C588" i="3"/>
  <c r="C587" i="3"/>
  <c r="D636" i="3"/>
  <c r="C586" i="3"/>
  <c r="D635" i="3"/>
  <c r="C585" i="3"/>
  <c r="D634" i="3"/>
  <c r="C584" i="3"/>
  <c r="D633" i="3"/>
  <c r="C583" i="3"/>
  <c r="D632" i="3"/>
  <c r="D631" i="3"/>
  <c r="C582" i="3"/>
  <c r="D630" i="3"/>
  <c r="C581" i="3"/>
  <c r="C580" i="3"/>
  <c r="D629" i="3"/>
  <c r="D628" i="3"/>
  <c r="C579" i="3"/>
  <c r="C578" i="3"/>
  <c r="D627" i="3"/>
  <c r="D626" i="3"/>
  <c r="C577" i="3"/>
  <c r="D625" i="3"/>
  <c r="C576" i="3"/>
  <c r="C575" i="3"/>
  <c r="D624" i="3"/>
  <c r="C574" i="3"/>
  <c r="D623" i="3"/>
  <c r="D622" i="3"/>
  <c r="C573" i="3"/>
  <c r="C572" i="3"/>
  <c r="D621" i="3"/>
  <c r="D620" i="3"/>
  <c r="C571" i="3"/>
  <c r="C570" i="3"/>
  <c r="D619" i="3"/>
  <c r="C569" i="3"/>
  <c r="D618" i="3"/>
  <c r="C568" i="3"/>
  <c r="D617" i="3"/>
  <c r="C567" i="3"/>
  <c r="D616" i="3"/>
  <c r="D615" i="3"/>
  <c r="C566" i="3"/>
  <c r="D614" i="3"/>
  <c r="C565" i="3"/>
  <c r="D613" i="3"/>
  <c r="C564" i="3"/>
  <c r="D612" i="3"/>
  <c r="C563" i="3"/>
  <c r="C562" i="3"/>
  <c r="D611" i="3"/>
  <c r="D610" i="3"/>
  <c r="C561" i="3"/>
  <c r="C560" i="3"/>
  <c r="D609" i="3"/>
  <c r="D608" i="3"/>
  <c r="C559" i="3"/>
  <c r="C558" i="3"/>
  <c r="D607" i="3"/>
  <c r="C557" i="3"/>
  <c r="D606" i="3"/>
  <c r="D605" i="3"/>
  <c r="C556" i="3"/>
  <c r="D604" i="3"/>
  <c r="C555" i="3"/>
  <c r="C554" i="3"/>
  <c r="D603" i="3"/>
  <c r="C553" i="3"/>
  <c r="D602" i="3"/>
  <c r="C552" i="3"/>
  <c r="D601" i="3"/>
  <c r="C551" i="3"/>
  <c r="D600" i="3"/>
  <c r="C550" i="3"/>
  <c r="D599" i="3"/>
  <c r="D598" i="3"/>
  <c r="C549" i="3"/>
  <c r="D597" i="3"/>
  <c r="C548" i="3"/>
  <c r="D596" i="3"/>
  <c r="C547" i="3"/>
  <c r="C546" i="3"/>
  <c r="D595" i="3"/>
  <c r="D594" i="3"/>
  <c r="C545" i="3"/>
  <c r="C544" i="3"/>
  <c r="D593" i="3"/>
  <c r="C543" i="3"/>
  <c r="D592" i="3"/>
  <c r="D591" i="3"/>
  <c r="C542" i="3"/>
  <c r="D590" i="3"/>
  <c r="C541" i="3"/>
  <c r="C540" i="3"/>
  <c r="D589" i="3"/>
  <c r="C539" i="3"/>
  <c r="D588" i="3"/>
  <c r="D587" i="3"/>
  <c r="C538" i="3"/>
  <c r="C537" i="3"/>
  <c r="D586" i="3"/>
  <c r="C536" i="3"/>
  <c r="D585" i="3"/>
  <c r="D584" i="3"/>
  <c r="C535" i="3"/>
  <c r="D583" i="3"/>
  <c r="C534" i="3"/>
  <c r="C533" i="3"/>
  <c r="D582" i="3"/>
  <c r="C532" i="3"/>
  <c r="D581" i="3"/>
  <c r="D580" i="3"/>
  <c r="C531" i="3"/>
  <c r="D579" i="3"/>
  <c r="C530" i="3"/>
  <c r="D578" i="3"/>
  <c r="C529" i="3"/>
  <c r="D577" i="3"/>
  <c r="C528" i="3"/>
  <c r="C527" i="3"/>
  <c r="D576" i="3"/>
  <c r="C526" i="3"/>
  <c r="D575" i="3"/>
  <c r="C525" i="3"/>
  <c r="D574" i="3"/>
  <c r="C524" i="3"/>
  <c r="D573" i="3"/>
  <c r="C523" i="3"/>
  <c r="D572" i="3"/>
  <c r="D571" i="3"/>
  <c r="C522" i="3"/>
  <c r="C521" i="3"/>
  <c r="D570" i="3"/>
  <c r="C520" i="3"/>
  <c r="D569" i="3"/>
  <c r="D568" i="3"/>
  <c r="C519" i="3"/>
  <c r="C518" i="3"/>
  <c r="D567" i="3"/>
  <c r="C517" i="3"/>
  <c r="D566" i="3"/>
  <c r="C516" i="3"/>
  <c r="D565" i="3"/>
  <c r="D564" i="3"/>
  <c r="C515" i="3"/>
  <c r="D563" i="3"/>
  <c r="C514" i="3"/>
  <c r="C513" i="3"/>
  <c r="D562" i="3"/>
  <c r="D561" i="3"/>
  <c r="C512" i="3"/>
  <c r="D560" i="3"/>
  <c r="C511" i="3"/>
  <c r="D559" i="3"/>
  <c r="C510" i="3"/>
  <c r="D558" i="3"/>
  <c r="C509" i="3"/>
  <c r="D557" i="3"/>
  <c r="C508" i="3"/>
  <c r="C507" i="3"/>
  <c r="D556" i="3"/>
  <c r="C506" i="3"/>
  <c r="D555" i="3"/>
  <c r="C505" i="3"/>
  <c r="D554" i="3"/>
  <c r="C504" i="3"/>
  <c r="D553" i="3"/>
  <c r="C503" i="3"/>
  <c r="D552" i="3"/>
  <c r="C502" i="3"/>
  <c r="D551" i="3"/>
  <c r="C501" i="3"/>
  <c r="D550" i="3"/>
  <c r="C500" i="3"/>
  <c r="D549" i="3"/>
  <c r="C499" i="3"/>
  <c r="D548" i="3"/>
  <c r="D547" i="3"/>
  <c r="C498" i="3"/>
  <c r="C497" i="3"/>
  <c r="D546" i="3"/>
  <c r="C496" i="3"/>
  <c r="D545" i="3"/>
  <c r="C495" i="3"/>
  <c r="D544" i="3"/>
  <c r="D543" i="3"/>
  <c r="C494" i="3"/>
  <c r="C493" i="3"/>
  <c r="D542" i="3"/>
  <c r="C492" i="3"/>
  <c r="D541" i="3"/>
  <c r="C491" i="3"/>
  <c r="D540" i="3"/>
  <c r="C490" i="3"/>
  <c r="D539" i="3"/>
  <c r="C489" i="3"/>
  <c r="D538" i="3"/>
  <c r="D537" i="3"/>
  <c r="C488" i="3"/>
  <c r="C487" i="3"/>
  <c r="D536" i="3"/>
  <c r="D535" i="3"/>
  <c r="C486" i="3"/>
  <c r="D534" i="3"/>
  <c r="C485" i="3"/>
  <c r="D533" i="3"/>
  <c r="C484" i="3"/>
  <c r="C483" i="3"/>
  <c r="D532" i="3"/>
  <c r="D531" i="3"/>
  <c r="C482" i="3"/>
  <c r="D530" i="3"/>
  <c r="C481" i="3"/>
  <c r="D529" i="3"/>
  <c r="C480" i="3"/>
  <c r="D528" i="3"/>
  <c r="C479" i="3"/>
  <c r="D527" i="3"/>
  <c r="C478" i="3"/>
  <c r="D526" i="3"/>
  <c r="C477" i="3"/>
  <c r="D525" i="3"/>
  <c r="C476" i="3"/>
  <c r="D524" i="3"/>
  <c r="C475" i="3"/>
  <c r="C474" i="3"/>
  <c r="D523" i="3"/>
  <c r="D522" i="3"/>
  <c r="C473" i="3"/>
  <c r="C472" i="3"/>
  <c r="D521" i="3"/>
  <c r="D520" i="3"/>
  <c r="C471" i="3"/>
  <c r="C470" i="3"/>
  <c r="D519" i="3"/>
  <c r="C469" i="3"/>
  <c r="D518" i="3"/>
  <c r="D517" i="3"/>
  <c r="C468" i="3"/>
  <c r="D516" i="3"/>
  <c r="C467" i="3"/>
  <c r="D515" i="3"/>
  <c r="C466" i="3"/>
  <c r="C465" i="3"/>
  <c r="D514" i="3"/>
  <c r="C464" i="3"/>
  <c r="D513" i="3"/>
  <c r="C463" i="3"/>
  <c r="D512" i="3"/>
  <c r="C462" i="3"/>
  <c r="D511" i="3"/>
  <c r="C461" i="3"/>
  <c r="D510" i="3"/>
  <c r="C460" i="3"/>
  <c r="D509" i="3"/>
  <c r="C459" i="3"/>
  <c r="D508" i="3"/>
  <c r="C458" i="3"/>
  <c r="D507" i="3"/>
  <c r="D506" i="3"/>
  <c r="C457" i="3"/>
  <c r="D505" i="3"/>
  <c r="C456" i="3"/>
  <c r="D504" i="3"/>
  <c r="C455" i="3"/>
  <c r="C454" i="3"/>
  <c r="D503" i="3"/>
  <c r="C453" i="3"/>
  <c r="D502" i="3"/>
  <c r="C452" i="3"/>
  <c r="D501" i="3"/>
  <c r="C451" i="3"/>
  <c r="D500" i="3"/>
  <c r="C450" i="3"/>
  <c r="D499" i="3"/>
  <c r="C449" i="3"/>
  <c r="D498" i="3"/>
  <c r="D497" i="3"/>
  <c r="C448" i="3"/>
  <c r="C447" i="3"/>
  <c r="D496" i="3"/>
  <c r="D495" i="3"/>
  <c r="C446" i="3"/>
  <c r="D494" i="3"/>
  <c r="C445" i="3"/>
  <c r="D493" i="3"/>
  <c r="C444" i="3"/>
  <c r="D492" i="3"/>
  <c r="C443" i="3"/>
  <c r="D491" i="3"/>
  <c r="C442" i="3"/>
  <c r="D490" i="3"/>
  <c r="C441" i="3"/>
  <c r="D489" i="3"/>
  <c r="C440" i="3"/>
  <c r="D488" i="3"/>
  <c r="C439" i="3"/>
  <c r="D487" i="3"/>
  <c r="C438" i="3"/>
  <c r="D486" i="3"/>
  <c r="C437" i="3"/>
  <c r="D485" i="3"/>
  <c r="C436" i="3"/>
  <c r="D484" i="3"/>
  <c r="C435" i="3"/>
  <c r="D483" i="3"/>
  <c r="C434" i="3"/>
  <c r="D482" i="3"/>
  <c r="C433" i="3"/>
  <c r="D481" i="3"/>
  <c r="C432" i="3"/>
  <c r="C431" i="3"/>
  <c r="D480" i="3"/>
  <c r="D479" i="3"/>
  <c r="C430" i="3"/>
  <c r="D478" i="3"/>
  <c r="C429" i="3"/>
  <c r="C428" i="3"/>
  <c r="D477" i="3"/>
  <c r="D476" i="3"/>
  <c r="C427" i="3"/>
  <c r="D475" i="3"/>
  <c r="C426" i="3"/>
  <c r="D474" i="3"/>
  <c r="C425" i="3"/>
  <c r="D473" i="3"/>
  <c r="C424" i="3"/>
  <c r="C423" i="3"/>
  <c r="D472" i="3"/>
  <c r="D471" i="3"/>
  <c r="C422" i="3"/>
  <c r="D470" i="3"/>
  <c r="C421" i="3"/>
  <c r="D469" i="3"/>
  <c r="C420" i="3"/>
  <c r="D468" i="3"/>
  <c r="C419" i="3"/>
  <c r="D467" i="3"/>
  <c r="C418" i="3"/>
  <c r="D466" i="3"/>
  <c r="C417" i="3"/>
  <c r="D465" i="3"/>
  <c r="C416" i="3"/>
  <c r="D464" i="3"/>
  <c r="C415" i="3"/>
  <c r="C414" i="3"/>
  <c r="D463" i="3"/>
  <c r="D462" i="3"/>
  <c r="C413" i="3"/>
  <c r="D461" i="3"/>
  <c r="C412" i="3"/>
  <c r="D460" i="3"/>
  <c r="C411" i="3"/>
  <c r="C410" i="3"/>
  <c r="D459" i="3"/>
  <c r="D458" i="3"/>
  <c r="C409" i="3"/>
  <c r="D457" i="3"/>
  <c r="C408" i="3"/>
  <c r="D456" i="3"/>
  <c r="C407" i="3"/>
  <c r="C406" i="3"/>
  <c r="D455" i="3"/>
  <c r="C405" i="3"/>
  <c r="D454" i="3"/>
  <c r="C404" i="3"/>
  <c r="D453" i="3"/>
  <c r="C403" i="3"/>
  <c r="D452" i="3"/>
  <c r="C402" i="3"/>
  <c r="D451" i="3"/>
  <c r="C401" i="3"/>
  <c r="D450" i="3"/>
  <c r="C400" i="3"/>
  <c r="D449" i="3"/>
  <c r="D448" i="3"/>
  <c r="C399" i="3"/>
  <c r="D447" i="3"/>
  <c r="C398" i="3"/>
  <c r="C397" i="3"/>
  <c r="D446" i="3"/>
  <c r="C396" i="3"/>
  <c r="D445" i="3"/>
  <c r="D444" i="3"/>
  <c r="C395" i="3"/>
  <c r="C394" i="3"/>
  <c r="D443" i="3"/>
  <c r="C393" i="3"/>
  <c r="D442" i="3"/>
  <c r="D441" i="3"/>
  <c r="C392" i="3"/>
  <c r="D440" i="3"/>
  <c r="C391" i="3"/>
  <c r="D439" i="3"/>
  <c r="C390" i="3"/>
  <c r="D438" i="3"/>
  <c r="C389" i="3"/>
  <c r="D437" i="3"/>
  <c r="C388" i="3"/>
  <c r="D436" i="3"/>
  <c r="C387" i="3"/>
  <c r="C386" i="3"/>
  <c r="D435" i="3"/>
  <c r="D434" i="3"/>
  <c r="C385" i="3"/>
  <c r="C384" i="3"/>
  <c r="D433" i="3"/>
  <c r="C383" i="3"/>
  <c r="D432" i="3"/>
  <c r="D431" i="3"/>
  <c r="C382" i="3"/>
  <c r="D430" i="3"/>
  <c r="C381" i="3"/>
  <c r="C380" i="3"/>
  <c r="D429" i="3"/>
  <c r="D428" i="3"/>
  <c r="C379" i="3"/>
  <c r="D427" i="3"/>
  <c r="C378" i="3"/>
  <c r="C377" i="3"/>
  <c r="D426" i="3"/>
  <c r="C376" i="3"/>
  <c r="D425" i="3"/>
  <c r="C375" i="3"/>
  <c r="D424" i="3"/>
  <c r="D423" i="3"/>
  <c r="C374" i="3"/>
  <c r="D422" i="3"/>
  <c r="C373" i="3"/>
  <c r="C372" i="3"/>
  <c r="D421" i="3"/>
  <c r="C371" i="3"/>
  <c r="D420" i="3"/>
  <c r="C370" i="3"/>
  <c r="D419" i="3"/>
  <c r="D418" i="3"/>
  <c r="C369" i="3"/>
  <c r="C368" i="3"/>
  <c r="D417" i="3"/>
  <c r="C367" i="3"/>
  <c r="D416" i="3"/>
  <c r="C366" i="3"/>
  <c r="D415" i="3"/>
  <c r="C365" i="3"/>
  <c r="D414" i="3"/>
  <c r="D413" i="3"/>
  <c r="C364" i="3"/>
  <c r="C363" i="3"/>
  <c r="D412" i="3"/>
  <c r="D411" i="3"/>
  <c r="C362" i="3"/>
  <c r="D410" i="3"/>
  <c r="C361" i="3"/>
  <c r="C360" i="3"/>
  <c r="D409" i="3"/>
  <c r="D408" i="3"/>
  <c r="C359" i="3"/>
  <c r="D407" i="3"/>
  <c r="C358" i="3"/>
  <c r="D406" i="3"/>
  <c r="C357" i="3"/>
  <c r="D405" i="3"/>
  <c r="C356" i="3"/>
  <c r="C355" i="3"/>
  <c r="D404" i="3"/>
  <c r="C354" i="3"/>
  <c r="D403" i="3"/>
  <c r="D402" i="3"/>
  <c r="C353" i="3"/>
  <c r="D401" i="3"/>
  <c r="C352" i="3"/>
  <c r="C351" i="3"/>
  <c r="D400" i="3"/>
  <c r="C350" i="3"/>
  <c r="D399" i="3"/>
  <c r="C349" i="3"/>
  <c r="D398" i="3"/>
  <c r="D397" i="3"/>
  <c r="C348" i="3"/>
  <c r="C347" i="3"/>
  <c r="D396" i="3"/>
  <c r="C346" i="3"/>
  <c r="D395" i="3"/>
  <c r="D394" i="3"/>
  <c r="C345" i="3"/>
  <c r="C344" i="3"/>
  <c r="D393" i="3"/>
  <c r="D392" i="3"/>
  <c r="C343" i="3"/>
  <c r="C342" i="3"/>
  <c r="D391" i="3"/>
  <c r="D390" i="3"/>
  <c r="C341" i="3"/>
  <c r="D389" i="3"/>
  <c r="C340" i="3"/>
  <c r="D388" i="3"/>
  <c r="C339" i="3"/>
  <c r="D387" i="3"/>
  <c r="C338" i="3"/>
  <c r="D386" i="3"/>
  <c r="C337" i="3"/>
  <c r="C336" i="3"/>
  <c r="D385" i="3"/>
  <c r="C335" i="3"/>
  <c r="D384" i="3"/>
  <c r="D383" i="3"/>
  <c r="C334" i="3"/>
  <c r="D382" i="3"/>
  <c r="C333" i="3"/>
  <c r="D381" i="3"/>
  <c r="C332" i="3"/>
  <c r="C331" i="3"/>
  <c r="D380" i="3"/>
  <c r="D379" i="3"/>
  <c r="C330" i="3"/>
  <c r="C329" i="3"/>
  <c r="D378" i="3"/>
  <c r="D377" i="3"/>
  <c r="C328" i="3"/>
  <c r="D376" i="3"/>
  <c r="C327" i="3"/>
  <c r="C326" i="3"/>
  <c r="D375" i="3"/>
  <c r="C325" i="3"/>
  <c r="D374" i="3"/>
  <c r="D373" i="3"/>
  <c r="C324" i="3"/>
  <c r="D372" i="3"/>
  <c r="C323" i="3"/>
  <c r="D371" i="3"/>
  <c r="C322" i="3"/>
  <c r="D370" i="3"/>
  <c r="C321" i="3"/>
  <c r="C320" i="3"/>
  <c r="D369" i="3"/>
  <c r="D368" i="3"/>
  <c r="C319" i="3"/>
  <c r="D367" i="3"/>
  <c r="C318" i="3"/>
  <c r="C317" i="3"/>
  <c r="D366" i="3"/>
  <c r="C316" i="3"/>
  <c r="D365" i="3"/>
  <c r="C315" i="3"/>
  <c r="D364" i="3"/>
  <c r="C314" i="3"/>
  <c r="D363" i="3"/>
  <c r="C313" i="3"/>
  <c r="D362" i="3"/>
  <c r="C312" i="3"/>
  <c r="D361" i="3"/>
  <c r="C311" i="3"/>
  <c r="D360" i="3"/>
  <c r="C310" i="3"/>
  <c r="D359" i="3"/>
  <c r="C309" i="3"/>
  <c r="D358" i="3"/>
  <c r="C308" i="3"/>
  <c r="D357" i="3"/>
  <c r="C307" i="3"/>
  <c r="D356" i="3"/>
  <c r="D355" i="3"/>
  <c r="C306" i="3"/>
  <c r="D354" i="3"/>
  <c r="C305" i="3"/>
  <c r="D353" i="3"/>
  <c r="C304" i="3"/>
  <c r="C303" i="3"/>
  <c r="D352" i="3"/>
  <c r="C302" i="3"/>
  <c r="D351" i="3"/>
  <c r="C301" i="3"/>
  <c r="D350" i="3"/>
  <c r="D349" i="3"/>
  <c r="C300" i="3"/>
  <c r="C299" i="3"/>
  <c r="D348" i="3"/>
  <c r="C298" i="3"/>
  <c r="D347" i="3"/>
  <c r="C297" i="3"/>
  <c r="D346" i="3"/>
  <c r="D345" i="3"/>
  <c r="C296" i="3"/>
  <c r="D344" i="3"/>
  <c r="C295" i="3"/>
  <c r="D343" i="3"/>
  <c r="C294" i="3"/>
  <c r="D342" i="3"/>
  <c r="C293" i="3"/>
  <c r="D341" i="3"/>
  <c r="C292" i="3"/>
  <c r="D340" i="3"/>
  <c r="C291" i="3"/>
  <c r="C290" i="3"/>
  <c r="D339" i="3"/>
  <c r="D338" i="3"/>
  <c r="C289" i="3"/>
  <c r="D337" i="3"/>
  <c r="C288" i="3"/>
  <c r="C287" i="3"/>
  <c r="D336" i="3"/>
  <c r="C286" i="3"/>
  <c r="D335" i="3"/>
  <c r="D334" i="3"/>
  <c r="C285" i="3"/>
  <c r="C284" i="3"/>
  <c r="D333" i="3"/>
  <c r="D332" i="3"/>
  <c r="C283" i="3"/>
  <c r="C282" i="3"/>
  <c r="D331" i="3"/>
  <c r="C281" i="3"/>
  <c r="D330" i="3"/>
  <c r="C280" i="3"/>
  <c r="D329" i="3"/>
  <c r="C279" i="3"/>
  <c r="D328" i="3"/>
  <c r="C278" i="3"/>
  <c r="D327" i="3"/>
  <c r="C277" i="3"/>
  <c r="D326" i="3"/>
  <c r="C276" i="3"/>
  <c r="D325" i="3"/>
  <c r="C275" i="3"/>
  <c r="D324" i="3"/>
  <c r="C274" i="3"/>
  <c r="D323" i="3"/>
  <c r="C273" i="3"/>
  <c r="D322" i="3"/>
  <c r="C272" i="3"/>
  <c r="D321" i="3"/>
  <c r="C271" i="3"/>
  <c r="D320" i="3"/>
  <c r="C270" i="3"/>
  <c r="D319" i="3"/>
  <c r="C269" i="3"/>
  <c r="D318" i="3"/>
  <c r="C268" i="3"/>
  <c r="D317" i="3"/>
  <c r="C267" i="3"/>
  <c r="D316" i="3"/>
  <c r="D315" i="3"/>
  <c r="C266" i="3"/>
  <c r="D314" i="3"/>
  <c r="C265" i="3"/>
  <c r="C264" i="3"/>
  <c r="D313" i="3"/>
  <c r="D312" i="3"/>
  <c r="C263" i="3"/>
  <c r="C262" i="3"/>
  <c r="D311" i="3"/>
  <c r="D310" i="3"/>
  <c r="C261" i="3"/>
  <c r="C260" i="3"/>
  <c r="D309" i="3"/>
  <c r="C259" i="3"/>
  <c r="D308" i="3"/>
  <c r="D307" i="3"/>
  <c r="C258" i="3"/>
  <c r="D306" i="3"/>
  <c r="C257" i="3"/>
  <c r="D305" i="3"/>
  <c r="C256" i="3"/>
  <c r="C255" i="3"/>
  <c r="D304" i="3"/>
  <c r="C254" i="3"/>
  <c r="D303" i="3"/>
  <c r="D302" i="3"/>
  <c r="C253" i="3"/>
  <c r="D301" i="3"/>
  <c r="C252" i="3"/>
  <c r="D300" i="3"/>
  <c r="C251" i="3"/>
  <c r="C250" i="3"/>
  <c r="D299" i="3"/>
  <c r="D298" i="3"/>
  <c r="C249" i="3"/>
  <c r="D297" i="3"/>
  <c r="C248" i="3"/>
  <c r="D296" i="3"/>
  <c r="C247" i="3"/>
  <c r="D295" i="3"/>
  <c r="C246" i="3"/>
  <c r="C245" i="3"/>
  <c r="D294" i="3"/>
  <c r="C244" i="3"/>
  <c r="D293" i="3"/>
  <c r="C243" i="3"/>
  <c r="D292" i="3"/>
  <c r="D291" i="3"/>
  <c r="C242" i="3"/>
  <c r="D290" i="3"/>
  <c r="C241" i="3"/>
  <c r="D289" i="3"/>
  <c r="C240" i="3"/>
  <c r="D288" i="3"/>
  <c r="C239" i="3"/>
  <c r="D287" i="3"/>
  <c r="C238" i="3"/>
  <c r="D286" i="3"/>
  <c r="C237" i="3"/>
  <c r="D285" i="3"/>
  <c r="C236" i="3"/>
  <c r="D284" i="3"/>
  <c r="C235" i="3"/>
  <c r="D283" i="3"/>
  <c r="C234" i="3"/>
  <c r="C233" i="3"/>
  <c r="D282" i="3"/>
  <c r="D281" i="3"/>
  <c r="C232" i="3"/>
  <c r="C231" i="3"/>
  <c r="D280" i="3"/>
  <c r="C230" i="3"/>
  <c r="D279" i="3"/>
  <c r="C229" i="3"/>
  <c r="D278" i="3"/>
  <c r="D277" i="3"/>
  <c r="C228" i="3"/>
  <c r="C227" i="3"/>
  <c r="D276" i="3"/>
  <c r="D275" i="3"/>
  <c r="C226" i="3"/>
  <c r="C225" i="3"/>
  <c r="D274" i="3"/>
  <c r="D273" i="3"/>
  <c r="C224" i="3"/>
  <c r="C223" i="3"/>
  <c r="D272" i="3"/>
  <c r="C222" i="3"/>
  <c r="D271" i="3"/>
  <c r="D270" i="3"/>
  <c r="C221" i="3"/>
  <c r="D269" i="3"/>
  <c r="C220" i="3"/>
  <c r="D268" i="3"/>
  <c r="C219" i="3"/>
  <c r="D267" i="3"/>
  <c r="C218" i="3"/>
  <c r="C217" i="3"/>
  <c r="D266" i="3"/>
  <c r="D265" i="3"/>
  <c r="C216" i="3"/>
  <c r="C215" i="3"/>
  <c r="D264" i="3"/>
  <c r="D263" i="3"/>
  <c r="C214" i="3"/>
  <c r="D262" i="3"/>
  <c r="C213" i="3"/>
  <c r="C212" i="3"/>
  <c r="D261" i="3"/>
  <c r="C211" i="3"/>
  <c r="D260" i="3"/>
  <c r="D259" i="3"/>
  <c r="C210" i="3"/>
  <c r="D258" i="3"/>
  <c r="C209" i="3"/>
  <c r="C208" i="3"/>
  <c r="D257" i="3"/>
  <c r="D256" i="3"/>
  <c r="C207" i="3"/>
  <c r="D255" i="3"/>
  <c r="C206" i="3"/>
  <c r="D254" i="3"/>
  <c r="C205" i="3"/>
  <c r="D253" i="3"/>
  <c r="C204" i="3"/>
  <c r="D252" i="3"/>
  <c r="C203" i="3"/>
  <c r="D251" i="3"/>
  <c r="C202" i="3"/>
  <c r="D250" i="3"/>
  <c r="C201" i="3"/>
  <c r="D249" i="3"/>
  <c r="C200" i="3"/>
  <c r="D248" i="3"/>
  <c r="C199" i="3"/>
  <c r="D247" i="3"/>
  <c r="C198" i="3"/>
  <c r="D246" i="3"/>
  <c r="C197" i="3"/>
  <c r="D245" i="3"/>
  <c r="C196" i="3"/>
  <c r="D244" i="3"/>
  <c r="C195" i="3"/>
  <c r="D243" i="3"/>
  <c r="C194" i="3"/>
  <c r="C193" i="3"/>
  <c r="D242" i="3"/>
  <c r="D241" i="3"/>
  <c r="C192" i="3"/>
  <c r="C191" i="3"/>
  <c r="D240" i="3"/>
  <c r="D239" i="3"/>
  <c r="C190" i="3"/>
  <c r="C189" i="3"/>
  <c r="D238" i="3"/>
  <c r="D237" i="3"/>
  <c r="C188" i="3"/>
  <c r="D236" i="3"/>
  <c r="C187" i="3"/>
  <c r="D235" i="3"/>
  <c r="C186" i="3"/>
  <c r="D234" i="3"/>
  <c r="C185" i="3"/>
  <c r="D233" i="3"/>
  <c r="C184" i="3"/>
  <c r="D232" i="3"/>
  <c r="C183" i="3"/>
  <c r="D231" i="3"/>
  <c r="C182" i="3"/>
  <c r="C181" i="3"/>
  <c r="D230" i="3"/>
  <c r="D229" i="3"/>
  <c r="C180" i="3"/>
  <c r="D228" i="3"/>
  <c r="C179" i="3"/>
  <c r="C178" i="3"/>
  <c r="D227" i="3"/>
  <c r="C177" i="3"/>
  <c r="D226" i="3"/>
  <c r="C176" i="3"/>
  <c r="D225" i="3"/>
  <c r="D224" i="3"/>
  <c r="C175" i="3"/>
  <c r="D223" i="3"/>
  <c r="C174" i="3"/>
  <c r="C173" i="3"/>
  <c r="D222" i="3"/>
  <c r="D221" i="3"/>
  <c r="C172" i="3"/>
  <c r="D220" i="3"/>
  <c r="C171" i="3"/>
  <c r="C170" i="3"/>
  <c r="D219" i="3"/>
  <c r="D218" i="3"/>
  <c r="C169" i="3"/>
  <c r="C168" i="3"/>
  <c r="D217" i="3"/>
  <c r="C167" i="3"/>
  <c r="D216" i="3"/>
  <c r="D215" i="3"/>
  <c r="C166" i="3"/>
  <c r="D214" i="3"/>
  <c r="C165" i="3"/>
  <c r="D213" i="3"/>
  <c r="C164" i="3"/>
  <c r="D212" i="3"/>
  <c r="C163" i="3"/>
  <c r="D211" i="3"/>
  <c r="C162" i="3"/>
  <c r="C161" i="3"/>
  <c r="D210" i="3"/>
  <c r="D209" i="3"/>
  <c r="C160" i="3"/>
  <c r="D208" i="3"/>
  <c r="C159" i="3"/>
  <c r="D207" i="3"/>
  <c r="C158" i="3"/>
  <c r="D206" i="3"/>
  <c r="C157" i="3"/>
  <c r="D205" i="3"/>
  <c r="C156" i="3"/>
  <c r="D204" i="3"/>
  <c r="C155" i="3"/>
  <c r="D203" i="3"/>
  <c r="C154" i="3"/>
  <c r="C153" i="3"/>
  <c r="D202" i="3"/>
  <c r="D201" i="3"/>
  <c r="C152" i="3"/>
  <c r="D200" i="3"/>
  <c r="C151" i="3"/>
  <c r="D199" i="3"/>
  <c r="C150" i="3"/>
  <c r="D198" i="3"/>
  <c r="C149" i="3"/>
  <c r="D197" i="3"/>
  <c r="C148" i="3"/>
  <c r="D196" i="3"/>
  <c r="C147" i="3"/>
  <c r="C146" i="3"/>
  <c r="D195" i="3"/>
  <c r="C145" i="3"/>
  <c r="D194" i="3"/>
  <c r="D193" i="3"/>
  <c r="C144" i="3"/>
  <c r="D192" i="3"/>
  <c r="C143" i="3"/>
  <c r="D191" i="3"/>
  <c r="C142" i="3"/>
  <c r="D190" i="3"/>
  <c r="C141" i="3"/>
  <c r="D189" i="3"/>
  <c r="C140" i="3"/>
  <c r="D188" i="3"/>
  <c r="C139" i="3"/>
  <c r="C138" i="3"/>
  <c r="D187" i="3"/>
  <c r="C137" i="3"/>
  <c r="D186" i="3"/>
  <c r="D185" i="3"/>
  <c r="C136" i="3"/>
  <c r="C135" i="3"/>
  <c r="D184" i="3"/>
  <c r="D183" i="3"/>
  <c r="C134" i="3"/>
  <c r="D182" i="3"/>
  <c r="C133" i="3"/>
  <c r="D181" i="3"/>
  <c r="C132" i="3"/>
  <c r="C131" i="3"/>
  <c r="D180" i="3"/>
  <c r="D179" i="3"/>
  <c r="C130" i="3"/>
  <c r="D178" i="3"/>
  <c r="C129" i="3"/>
  <c r="D177" i="3"/>
  <c r="C128" i="3"/>
  <c r="D176" i="3"/>
  <c r="C127" i="3"/>
  <c r="C126" i="3"/>
  <c r="D175" i="3"/>
  <c r="C125" i="3"/>
  <c r="D174" i="3"/>
  <c r="D173" i="3"/>
  <c r="C124" i="3"/>
  <c r="D172" i="3"/>
  <c r="C123" i="3"/>
  <c r="D171" i="3"/>
  <c r="C122" i="3"/>
  <c r="C121" i="3"/>
  <c r="D170" i="3"/>
  <c r="D169" i="3"/>
  <c r="C120" i="3"/>
  <c r="D168" i="3"/>
  <c r="C119" i="3"/>
  <c r="D167" i="3"/>
  <c r="C118" i="3"/>
  <c r="C117" i="3"/>
  <c r="D166" i="3"/>
  <c r="C116" i="3"/>
  <c r="D165" i="3"/>
  <c r="C115" i="3"/>
  <c r="D164" i="3"/>
  <c r="C114" i="3"/>
  <c r="D163" i="3"/>
  <c r="C113" i="3"/>
  <c r="D162" i="3"/>
  <c r="D161" i="3"/>
  <c r="C112" i="3"/>
  <c r="C111" i="3"/>
  <c r="D160" i="3"/>
  <c r="D159" i="3"/>
  <c r="C110" i="3"/>
  <c r="C109" i="3"/>
  <c r="D158" i="3"/>
  <c r="D157" i="3"/>
  <c r="C108" i="3"/>
  <c r="C107" i="3"/>
  <c r="D156" i="3"/>
  <c r="D155" i="3"/>
  <c r="C106" i="3"/>
  <c r="C105" i="3"/>
  <c r="D154" i="3"/>
  <c r="D153" i="3"/>
  <c r="C104" i="3"/>
  <c r="D152" i="3"/>
  <c r="C103" i="3"/>
  <c r="C102" i="3"/>
  <c r="D151" i="3"/>
  <c r="D150" i="3"/>
  <c r="C101" i="3"/>
  <c r="C100" i="3"/>
  <c r="D149" i="3"/>
  <c r="C99" i="3"/>
  <c r="D148" i="3"/>
  <c r="D147" i="3"/>
  <c r="C98" i="3"/>
  <c r="C97" i="3"/>
  <c r="D146" i="3"/>
  <c r="C96" i="3"/>
  <c r="D145" i="3"/>
  <c r="D144" i="3"/>
  <c r="C95" i="3"/>
  <c r="C94" i="3"/>
  <c r="D143" i="3"/>
  <c r="C93" i="3"/>
  <c r="D142" i="3"/>
  <c r="C92" i="3"/>
  <c r="D141" i="3"/>
  <c r="D140" i="3"/>
  <c r="C91" i="3"/>
  <c r="C90" i="3"/>
  <c r="D139" i="3"/>
  <c r="D138" i="3"/>
  <c r="C89" i="3"/>
  <c r="C88" i="3"/>
  <c r="D137" i="3"/>
  <c r="D136" i="3"/>
  <c r="C87" i="3"/>
  <c r="D135" i="3"/>
  <c r="C86" i="3"/>
  <c r="C85" i="3"/>
  <c r="D134" i="3"/>
  <c r="C84" i="3"/>
  <c r="D133" i="3"/>
  <c r="C83" i="3"/>
  <c r="D132" i="3"/>
  <c r="C82" i="3"/>
  <c r="D131" i="3"/>
  <c r="C81" i="3"/>
  <c r="D130" i="3"/>
  <c r="D129" i="3"/>
  <c r="C80" i="3"/>
  <c r="C79" i="3"/>
  <c r="D128" i="3"/>
  <c r="C78" i="3"/>
  <c r="D127" i="3"/>
  <c r="D126" i="3"/>
  <c r="C77" i="3"/>
  <c r="C76" i="3"/>
  <c r="D125" i="3"/>
  <c r="C75" i="3"/>
  <c r="D124" i="3"/>
  <c r="D123" i="3"/>
  <c r="C74" i="3"/>
  <c r="C73" i="3"/>
  <c r="D122" i="3"/>
  <c r="C72" i="3"/>
  <c r="D121" i="3"/>
  <c r="D120" i="3"/>
  <c r="C71" i="3"/>
  <c r="C70" i="3"/>
  <c r="D119" i="3"/>
  <c r="D118" i="3"/>
  <c r="C69" i="3"/>
  <c r="C68" i="3"/>
  <c r="D117" i="3"/>
  <c r="D116" i="3"/>
  <c r="C67" i="3"/>
  <c r="D115" i="3"/>
  <c r="C66" i="3"/>
  <c r="D114" i="3"/>
  <c r="C65" i="3"/>
  <c r="D113" i="3"/>
  <c r="C64" i="3"/>
  <c r="D112" i="3"/>
  <c r="C63" i="3"/>
  <c r="D111" i="3"/>
  <c r="C62" i="3"/>
  <c r="D110" i="3"/>
  <c r="C61" i="3"/>
  <c r="C60" i="3"/>
  <c r="D109" i="3"/>
  <c r="D108" i="3"/>
  <c r="C59" i="3"/>
  <c r="D107" i="3"/>
  <c r="C58" i="3"/>
  <c r="C57" i="3"/>
  <c r="D106" i="3"/>
  <c r="C56" i="3"/>
  <c r="D105" i="3"/>
  <c r="D104" i="3"/>
  <c r="C55" i="3"/>
  <c r="D103" i="3"/>
  <c r="C54" i="3"/>
  <c r="D102" i="3"/>
  <c r="C53" i="3"/>
  <c r="C52" i="3"/>
  <c r="D101" i="3"/>
  <c r="C51" i="3"/>
  <c r="D100" i="3"/>
  <c r="D99" i="3"/>
  <c r="C50" i="3"/>
  <c r="D98" i="3"/>
  <c r="C49" i="3"/>
  <c r="C48" i="3"/>
  <c r="D97" i="3"/>
  <c r="D96" i="3"/>
  <c r="C47" i="3"/>
  <c r="D95" i="3"/>
  <c r="C46" i="3"/>
  <c r="D94" i="3"/>
  <c r="C45" i="3"/>
  <c r="D93" i="3"/>
  <c r="C44" i="3"/>
  <c r="D92" i="3"/>
  <c r="C43" i="3"/>
  <c r="C42" i="3"/>
  <c r="D91" i="3"/>
  <c r="D90" i="3"/>
  <c r="C41" i="3"/>
  <c r="D89" i="3"/>
  <c r="C40" i="3"/>
  <c r="D88" i="3"/>
  <c r="C39" i="3"/>
  <c r="D87" i="3"/>
  <c r="C38" i="3"/>
  <c r="D86" i="3"/>
  <c r="C37" i="3"/>
  <c r="C36" i="3"/>
  <c r="D85" i="3"/>
  <c r="C35" i="3"/>
  <c r="D84" i="3"/>
  <c r="C34" i="3"/>
  <c r="D83" i="3"/>
  <c r="C33" i="3"/>
  <c r="D82" i="3"/>
  <c r="C32" i="3"/>
  <c r="D81" i="3"/>
  <c r="D80" i="3"/>
  <c r="C31" i="3"/>
  <c r="C30" i="3"/>
  <c r="D79" i="3"/>
  <c r="C29" i="3"/>
  <c r="D78" i="3"/>
  <c r="D77" i="3"/>
  <c r="C28" i="3"/>
  <c r="D76" i="3"/>
  <c r="C27" i="3"/>
  <c r="C26" i="3"/>
  <c r="D75" i="3"/>
  <c r="D74" i="3"/>
  <c r="C25" i="3"/>
  <c r="D73" i="3"/>
  <c r="C24" i="3"/>
  <c r="D72" i="3"/>
  <c r="C23" i="3"/>
  <c r="D71" i="3"/>
  <c r="C22" i="3"/>
  <c r="D70" i="3"/>
  <c r="C21" i="3"/>
  <c r="C20" i="3"/>
  <c r="D69" i="3"/>
  <c r="D68" i="3"/>
  <c r="C19" i="3"/>
  <c r="D67" i="3"/>
  <c r="C18" i="3"/>
  <c r="C17" i="3"/>
  <c r="D66" i="3"/>
  <c r="C16" i="3"/>
  <c r="D65" i="3"/>
  <c r="D64" i="3"/>
  <c r="C15" i="3"/>
  <c r="C14" i="3"/>
  <c r="D63" i="3"/>
  <c r="D62" i="3"/>
  <c r="C13" i="3"/>
  <c r="D61" i="3"/>
  <c r="C12" i="3"/>
  <c r="C11" i="3"/>
  <c r="D60" i="3"/>
  <c r="C10" i="3"/>
  <c r="D59" i="3"/>
  <c r="C9" i="3"/>
  <c r="D58" i="3"/>
  <c r="D57" i="3"/>
  <c r="C8" i="3"/>
  <c r="C7" i="3"/>
  <c r="D56" i="3"/>
  <c r="C6" i="3"/>
  <c r="D55" i="3"/>
  <c r="C5" i="3"/>
  <c r="D54" i="3"/>
  <c r="D53" i="3"/>
  <c r="C4" i="3"/>
  <c r="C3" i="3"/>
  <c r="D52" i="3"/>
  <c r="D51" i="3"/>
  <c r="F4" i="3"/>
  <c r="C1484" i="2"/>
  <c r="F4" i="2"/>
  <c r="D1484" i="2"/>
  <c r="C1435" i="2"/>
  <c r="D1483" i="2"/>
  <c r="C1434" i="2"/>
  <c r="D1482" i="2"/>
  <c r="C1433" i="2"/>
  <c r="D1481" i="2"/>
  <c r="C1432" i="2"/>
  <c r="C1431" i="2"/>
  <c r="D1480" i="2"/>
  <c r="C1430" i="2"/>
  <c r="D1479" i="2"/>
  <c r="C1429" i="2"/>
  <c r="D1478" i="2"/>
  <c r="C1428" i="2"/>
  <c r="D1477" i="2"/>
  <c r="C1427" i="2"/>
  <c r="D1476" i="2"/>
  <c r="C1426" i="2"/>
  <c r="D1475" i="2"/>
  <c r="D1474" i="2"/>
  <c r="C1425" i="2"/>
  <c r="D1473" i="2"/>
  <c r="C1424" i="2"/>
  <c r="D1472" i="2"/>
  <c r="C1423" i="2"/>
  <c r="C1422" i="2"/>
  <c r="D1471" i="2"/>
  <c r="D1470" i="2"/>
  <c r="C1421" i="2"/>
  <c r="C1420" i="2"/>
  <c r="D1469" i="2"/>
  <c r="D1468" i="2"/>
  <c r="C1419" i="2"/>
  <c r="D1467" i="2"/>
  <c r="C1418" i="2"/>
  <c r="C1417" i="2"/>
  <c r="D1466" i="2"/>
  <c r="C1416" i="2"/>
  <c r="D1465" i="2"/>
  <c r="C1415" i="2"/>
  <c r="D1464" i="2"/>
  <c r="D1463" i="2"/>
  <c r="C1414" i="2"/>
  <c r="C1413" i="2"/>
  <c r="D1462" i="2"/>
  <c r="C1412" i="2"/>
  <c r="D1461" i="2"/>
  <c r="C1411" i="2"/>
  <c r="D1460" i="2"/>
  <c r="C1410" i="2"/>
  <c r="D1459" i="2"/>
  <c r="D1441" i="2"/>
  <c r="D1432" i="2"/>
  <c r="D1428" i="2"/>
  <c r="D1425" i="2"/>
  <c r="D1422" i="2"/>
  <c r="D1420" i="2"/>
  <c r="D1417" i="2"/>
  <c r="D1413" i="2"/>
  <c r="D1415" i="2"/>
  <c r="D1418" i="2"/>
  <c r="D1424" i="2"/>
  <c r="D1427" i="2"/>
  <c r="D1429" i="2"/>
  <c r="D1430" i="2"/>
  <c r="D1412" i="2"/>
  <c r="D1454" i="2"/>
  <c r="D1452" i="2"/>
  <c r="D1442" i="2"/>
  <c r="D1449" i="2"/>
  <c r="D1431" i="2"/>
  <c r="D1440" i="2"/>
  <c r="D1433" i="2"/>
  <c r="D1435" i="2"/>
  <c r="D1421" i="2"/>
  <c r="D1444" i="2"/>
  <c r="D1410" i="2"/>
  <c r="D1458" i="2"/>
  <c r="D1450" i="2"/>
  <c r="D1455" i="2"/>
  <c r="D1426" i="2"/>
  <c r="D1456" i="2"/>
  <c r="D1457" i="2"/>
  <c r="D1453" i="2"/>
  <c r="D1423" i="2"/>
  <c r="D1448" i="2"/>
  <c r="D1447" i="2"/>
  <c r="D1446" i="2"/>
  <c r="D1419" i="2"/>
  <c r="D1451" i="2"/>
  <c r="D1439" i="2"/>
  <c r="D1443" i="2"/>
  <c r="D1416" i="2"/>
  <c r="D1438" i="2"/>
  <c r="D1414" i="2"/>
  <c r="D1445" i="2"/>
  <c r="D1411" i="2"/>
  <c r="C1409" i="2"/>
  <c r="D1437" i="2"/>
  <c r="D1436" i="2"/>
  <c r="D1434" i="2"/>
  <c r="D1408" i="2"/>
  <c r="C1359" i="2"/>
  <c r="C1358" i="2"/>
  <c r="D1407" i="2"/>
  <c r="D1406" i="2"/>
  <c r="C1357" i="2"/>
  <c r="D1405" i="2"/>
  <c r="C1356" i="2"/>
  <c r="C1355" i="2"/>
  <c r="D1404" i="2"/>
  <c r="C1354" i="2"/>
  <c r="D1403" i="2"/>
  <c r="C1353" i="2"/>
  <c r="D1402" i="2"/>
  <c r="D1401" i="2"/>
  <c r="C1352" i="2"/>
  <c r="D1400" i="2"/>
  <c r="C1351" i="2"/>
  <c r="D1399" i="2"/>
  <c r="C1350" i="2"/>
  <c r="C1349" i="2"/>
  <c r="D1398" i="2"/>
  <c r="C1348" i="2"/>
  <c r="D1397" i="2"/>
  <c r="D1396" i="2"/>
  <c r="C1347" i="2"/>
  <c r="C1346" i="2"/>
  <c r="D1395" i="2"/>
  <c r="D1394" i="2"/>
  <c r="C1345" i="2"/>
  <c r="C1344" i="2"/>
  <c r="D1393" i="2"/>
  <c r="C1343" i="2"/>
  <c r="D1392" i="2"/>
  <c r="C1342" i="2"/>
  <c r="D1391" i="2"/>
  <c r="D1390" i="2"/>
  <c r="C1341" i="2"/>
  <c r="D1389" i="2"/>
  <c r="C1340" i="2"/>
  <c r="C1339" i="2"/>
  <c r="D1388" i="2"/>
  <c r="D1387" i="2"/>
  <c r="C1338" i="2"/>
  <c r="C1337" i="2"/>
  <c r="D1386" i="2"/>
  <c r="D1385" i="2"/>
  <c r="C1336" i="2"/>
  <c r="D1384" i="2"/>
  <c r="C1335" i="2"/>
  <c r="C1334" i="2"/>
  <c r="D1383" i="2"/>
  <c r="D1382" i="2"/>
  <c r="C1333" i="2"/>
  <c r="D1381" i="2"/>
  <c r="C1332" i="2"/>
  <c r="D1380" i="2"/>
  <c r="C1331" i="2"/>
  <c r="D1379" i="2"/>
  <c r="C1330" i="2"/>
  <c r="D1378" i="2"/>
  <c r="C1329" i="2"/>
  <c r="C1328" i="2"/>
  <c r="D1377" i="2"/>
  <c r="D1376" i="2"/>
  <c r="C1327" i="2"/>
  <c r="C1326" i="2"/>
  <c r="D1375" i="2"/>
  <c r="D1374" i="2"/>
  <c r="C1325" i="2"/>
  <c r="D1373" i="2"/>
  <c r="C1324" i="2"/>
  <c r="D1372" i="2"/>
  <c r="C1323" i="2"/>
  <c r="D1371" i="2"/>
  <c r="C1322" i="2"/>
  <c r="C1321" i="2"/>
  <c r="D1370" i="2"/>
  <c r="C1320" i="2"/>
  <c r="D1369" i="2"/>
  <c r="D1368" i="2"/>
  <c r="C1319" i="2"/>
  <c r="D1367" i="2"/>
  <c r="C1318" i="2"/>
  <c r="C1317" i="2"/>
  <c r="D1366" i="2"/>
  <c r="D1365" i="2"/>
  <c r="C1316" i="2"/>
  <c r="D1364" i="2"/>
  <c r="C1315" i="2"/>
  <c r="C1314" i="2"/>
  <c r="D1363" i="2"/>
  <c r="D1362" i="2"/>
  <c r="C1313" i="2"/>
  <c r="D1361" i="2"/>
  <c r="C1312" i="2"/>
  <c r="C1311" i="2"/>
  <c r="D1360" i="2"/>
  <c r="C1310" i="2"/>
  <c r="D1359" i="2"/>
  <c r="D1358" i="2"/>
  <c r="C1309" i="2"/>
  <c r="C1308" i="2"/>
  <c r="D1357" i="2"/>
  <c r="D1356" i="2"/>
  <c r="C1307" i="2"/>
  <c r="C1306" i="2"/>
  <c r="D1355" i="2"/>
  <c r="D1354" i="2"/>
  <c r="C1305" i="2"/>
  <c r="D1353" i="2"/>
  <c r="C1304" i="2"/>
  <c r="D1352" i="2"/>
  <c r="C1303" i="2"/>
  <c r="D1351" i="2"/>
  <c r="C1302" i="2"/>
  <c r="D1350" i="2"/>
  <c r="C1301" i="2"/>
  <c r="D1349" i="2"/>
  <c r="C1300" i="2"/>
  <c r="D1348" i="2"/>
  <c r="C1299" i="2"/>
  <c r="D1347" i="2"/>
  <c r="C1298" i="2"/>
  <c r="C1297" i="2"/>
  <c r="D1346" i="2"/>
  <c r="C1296" i="2"/>
  <c r="D1345" i="2"/>
  <c r="C1295" i="2"/>
  <c r="D1344" i="2"/>
  <c r="C1294" i="2"/>
  <c r="D1343" i="2"/>
  <c r="C1293" i="2"/>
  <c r="D1342" i="2"/>
  <c r="D1341" i="2"/>
  <c r="C1292" i="2"/>
  <c r="C1291" i="2"/>
  <c r="D1340" i="2"/>
  <c r="C1290" i="2"/>
  <c r="D1339" i="2"/>
  <c r="D1338" i="2"/>
  <c r="C1289" i="2"/>
  <c r="D1337" i="2"/>
  <c r="C1288" i="2"/>
  <c r="C1287" i="2"/>
  <c r="D1336" i="2"/>
  <c r="D1335" i="2"/>
  <c r="C1286" i="2"/>
  <c r="C1285" i="2"/>
  <c r="D1334" i="2"/>
  <c r="D1333" i="2"/>
  <c r="C1284" i="2"/>
  <c r="D1332" i="2"/>
  <c r="C1283" i="2"/>
  <c r="C1282" i="2"/>
  <c r="D1331" i="2"/>
  <c r="D1330" i="2"/>
  <c r="C1281" i="2"/>
  <c r="D1329" i="2"/>
  <c r="C1280" i="2"/>
  <c r="D1328" i="2"/>
  <c r="C1279" i="2"/>
  <c r="D1327" i="2"/>
  <c r="C1278" i="2"/>
  <c r="C1277" i="2"/>
  <c r="D1326" i="2"/>
  <c r="D1325" i="2"/>
  <c r="C1276" i="2"/>
  <c r="D1324" i="2"/>
  <c r="C1275" i="2"/>
  <c r="D1323" i="2"/>
  <c r="C1274" i="2"/>
  <c r="D1322" i="2"/>
  <c r="C1273" i="2"/>
  <c r="D1321" i="2"/>
  <c r="C1272" i="2"/>
  <c r="C1271" i="2"/>
  <c r="D1320" i="2"/>
  <c r="D1319" i="2"/>
  <c r="C1270" i="2"/>
  <c r="D1318" i="2"/>
  <c r="C1269" i="2"/>
  <c r="D1317" i="2"/>
  <c r="C1268" i="2"/>
  <c r="C1267" i="2"/>
  <c r="D1316" i="2"/>
  <c r="D1315" i="2"/>
  <c r="C1266" i="2"/>
  <c r="C1265" i="2"/>
  <c r="D1314" i="2"/>
  <c r="D1313" i="2"/>
  <c r="C1264" i="2"/>
  <c r="D1312" i="2"/>
  <c r="C1263" i="2"/>
  <c r="C1262" i="2"/>
  <c r="D1311" i="2"/>
  <c r="D1310" i="2"/>
  <c r="C1261" i="2"/>
  <c r="D1309" i="2"/>
  <c r="C1260" i="2"/>
  <c r="D1308" i="2"/>
  <c r="C1259" i="2"/>
  <c r="C1258" i="2"/>
  <c r="D1307" i="2"/>
  <c r="C1257" i="2"/>
  <c r="D1306" i="2"/>
  <c r="D1305" i="2"/>
  <c r="C1256" i="2"/>
  <c r="C1255" i="2"/>
  <c r="D1304" i="2"/>
  <c r="D1303" i="2"/>
  <c r="C1254" i="2"/>
  <c r="D1302" i="2"/>
  <c r="C1253" i="2"/>
  <c r="C1252" i="2"/>
  <c r="D1301" i="2"/>
  <c r="D1300" i="2"/>
  <c r="C1251" i="2"/>
  <c r="D1299" i="2"/>
  <c r="C1250" i="2"/>
  <c r="D1298" i="2"/>
  <c r="C1249" i="2"/>
  <c r="D1297" i="2"/>
  <c r="C1248" i="2"/>
  <c r="D1296" i="2"/>
  <c r="C1247" i="2"/>
  <c r="C1246" i="2"/>
  <c r="D1295" i="2"/>
  <c r="D1294" i="2"/>
  <c r="C1245" i="2"/>
  <c r="C1244" i="2"/>
  <c r="D1293" i="2"/>
  <c r="D1292" i="2"/>
  <c r="C1243" i="2"/>
  <c r="D1291" i="2"/>
  <c r="C1242" i="2"/>
  <c r="D1290" i="2"/>
  <c r="C1241" i="2"/>
  <c r="D1289" i="2"/>
  <c r="C1240" i="2"/>
  <c r="C1239" i="2"/>
  <c r="D1288" i="2"/>
  <c r="D1287" i="2"/>
  <c r="C1238" i="2"/>
  <c r="C1237" i="2"/>
  <c r="D1286" i="2"/>
  <c r="D1285" i="2"/>
  <c r="C1236" i="2"/>
  <c r="C1235" i="2"/>
  <c r="D1284" i="2"/>
  <c r="D1283" i="2"/>
  <c r="C1234" i="2"/>
  <c r="D1282" i="2"/>
  <c r="C1233" i="2"/>
  <c r="D1281" i="2"/>
  <c r="C1232" i="2"/>
  <c r="C1231" i="2"/>
  <c r="D1280" i="2"/>
  <c r="D1279" i="2"/>
  <c r="C1230" i="2"/>
  <c r="C1229" i="2"/>
  <c r="D1278" i="2"/>
  <c r="C1228" i="2"/>
  <c r="D1277" i="2"/>
  <c r="D1276" i="2"/>
  <c r="C1227" i="2"/>
  <c r="D1275" i="2"/>
  <c r="C1226" i="2"/>
  <c r="D1274" i="2"/>
  <c r="C1225" i="2"/>
  <c r="D1273" i="2"/>
  <c r="C1224" i="2"/>
  <c r="C1223" i="2"/>
  <c r="D1272" i="2"/>
  <c r="C1222" i="2"/>
  <c r="D1271" i="2"/>
  <c r="D1270" i="2"/>
  <c r="C1221" i="2"/>
  <c r="D1269" i="2"/>
  <c r="C1220" i="2"/>
  <c r="D1268" i="2"/>
  <c r="C1219" i="2"/>
  <c r="D1267" i="2"/>
  <c r="C1218" i="2"/>
  <c r="D1266" i="2"/>
  <c r="C1217" i="2"/>
  <c r="D1265" i="2"/>
  <c r="C1216" i="2"/>
  <c r="D1264" i="2"/>
  <c r="C1215" i="2"/>
  <c r="D1263" i="2"/>
  <c r="C1214" i="2"/>
  <c r="C1213" i="2"/>
  <c r="D1262" i="2"/>
  <c r="D1261" i="2"/>
  <c r="C1212" i="2"/>
  <c r="D1260" i="2"/>
  <c r="C1211" i="2"/>
  <c r="D1259" i="2"/>
  <c r="C1210" i="2"/>
  <c r="C1209" i="2"/>
  <c r="D1258" i="2"/>
  <c r="D1257" i="2"/>
  <c r="C1208" i="2"/>
  <c r="C1207" i="2"/>
  <c r="D1256" i="2"/>
  <c r="D1255" i="2"/>
  <c r="C1206" i="2"/>
  <c r="C1205" i="2"/>
  <c r="D1254" i="2"/>
  <c r="C1204" i="2"/>
  <c r="D1253" i="2"/>
  <c r="C1203" i="2"/>
  <c r="D1252" i="2"/>
  <c r="C1202" i="2"/>
  <c r="D1251" i="2"/>
  <c r="D1250" i="2"/>
  <c r="C1201" i="2"/>
  <c r="C1200" i="2"/>
  <c r="D1249" i="2"/>
  <c r="D1248" i="2"/>
  <c r="C1199" i="2"/>
  <c r="D1247" i="2"/>
  <c r="C1198" i="2"/>
  <c r="D1246" i="2"/>
  <c r="C1197" i="2"/>
  <c r="D1245" i="2"/>
  <c r="C1196" i="2"/>
  <c r="D1244" i="2"/>
  <c r="C1195" i="2"/>
  <c r="C1194" i="2"/>
  <c r="D1243" i="2"/>
  <c r="D1242" i="2"/>
  <c r="C1193" i="2"/>
  <c r="C1192" i="2"/>
  <c r="D1241" i="2"/>
  <c r="C1191" i="2"/>
  <c r="D1240" i="2"/>
  <c r="C1190" i="2"/>
  <c r="D1239" i="2"/>
  <c r="C1189" i="2"/>
  <c r="D1238" i="2"/>
  <c r="D1237" i="2"/>
  <c r="C1188" i="2"/>
  <c r="C1187" i="2"/>
  <c r="D1236" i="2"/>
  <c r="C1186" i="2"/>
  <c r="D1235" i="2"/>
  <c r="C1185" i="2"/>
  <c r="D1234" i="2"/>
  <c r="C1184" i="2"/>
  <c r="D1233" i="2"/>
  <c r="C1183" i="2"/>
  <c r="D1232" i="2"/>
  <c r="C1182" i="2"/>
  <c r="D1231" i="2"/>
  <c r="C1181" i="2"/>
  <c r="D1230" i="2"/>
  <c r="C1180" i="2"/>
  <c r="D1229" i="2"/>
  <c r="C1179" i="2"/>
  <c r="D1228" i="2"/>
  <c r="C1178" i="2"/>
  <c r="D1227" i="2"/>
  <c r="D1226" i="2"/>
  <c r="C1177" i="2"/>
  <c r="C1176" i="2"/>
  <c r="D1225" i="2"/>
  <c r="D1224" i="2"/>
  <c r="C1175" i="2"/>
  <c r="D1223" i="2"/>
  <c r="C1174" i="2"/>
  <c r="D1222" i="2"/>
  <c r="C1173" i="2"/>
  <c r="D1221" i="2"/>
  <c r="C1172" i="2"/>
  <c r="D1220" i="2"/>
  <c r="C1171" i="2"/>
  <c r="D1219" i="2"/>
  <c r="C1170" i="2"/>
  <c r="D1218" i="2"/>
  <c r="C1169" i="2"/>
  <c r="D1217" i="2"/>
  <c r="C1168" i="2"/>
  <c r="D1216" i="2"/>
  <c r="C1167" i="2"/>
  <c r="D1215" i="2"/>
  <c r="C1166" i="2"/>
  <c r="C1165" i="2"/>
  <c r="D1214" i="2"/>
  <c r="D1213" i="2"/>
  <c r="C1164" i="2"/>
  <c r="C1162" i="2"/>
  <c r="D1211" i="2"/>
  <c r="D1210" i="2"/>
  <c r="C1161" i="2"/>
  <c r="D1209" i="2"/>
  <c r="C1160" i="2"/>
  <c r="C1159" i="2"/>
  <c r="D1208" i="2"/>
  <c r="D1207" i="2"/>
  <c r="C1158" i="2"/>
  <c r="C1157" i="2"/>
  <c r="D1206" i="2"/>
  <c r="C1156" i="2"/>
  <c r="D1205" i="2"/>
  <c r="C1155" i="2"/>
  <c r="D1204" i="2"/>
  <c r="C1154" i="2"/>
  <c r="D1203" i="2"/>
  <c r="C1153" i="2"/>
  <c r="D1202" i="2"/>
  <c r="D1201" i="2"/>
  <c r="C1152" i="2"/>
  <c r="D1200" i="2"/>
  <c r="C1151" i="2"/>
  <c r="C1150" i="2"/>
  <c r="D1199" i="2"/>
  <c r="D1198" i="2"/>
  <c r="C1149" i="2"/>
  <c r="D1197" i="2"/>
  <c r="C1148" i="2"/>
  <c r="C1147" i="2"/>
  <c r="D1196" i="2"/>
  <c r="D1195" i="2"/>
  <c r="C1146" i="2"/>
  <c r="D1194" i="2"/>
  <c r="C1145" i="2"/>
  <c r="D1193" i="2"/>
  <c r="C1144" i="2"/>
  <c r="D1192" i="2"/>
  <c r="C1143" i="2"/>
  <c r="C1142" i="2"/>
  <c r="D1191" i="2"/>
  <c r="D1190" i="2"/>
  <c r="C1141" i="2"/>
  <c r="D1189" i="2"/>
  <c r="C1140" i="2"/>
  <c r="D1188" i="2"/>
  <c r="C1139" i="2"/>
  <c r="D1187" i="2"/>
  <c r="C1138" i="2"/>
  <c r="D1186" i="2"/>
  <c r="C1137" i="2"/>
  <c r="C1136" i="2"/>
  <c r="D1185" i="2"/>
  <c r="D1184" i="2"/>
  <c r="C1135" i="2"/>
  <c r="C1134" i="2"/>
  <c r="D1183" i="2"/>
  <c r="D1182" i="2"/>
  <c r="C1133" i="2"/>
  <c r="D1181" i="2"/>
  <c r="C1132" i="2"/>
  <c r="D1180" i="2"/>
  <c r="C1131" i="2"/>
  <c r="C1130" i="2"/>
  <c r="D1179" i="2"/>
  <c r="D1178" i="2"/>
  <c r="C1129" i="2"/>
  <c r="C1128" i="2"/>
  <c r="D1177" i="2"/>
  <c r="C1127" i="2"/>
  <c r="D1176" i="2"/>
  <c r="C1126" i="2"/>
  <c r="D1175" i="2"/>
  <c r="C1125" i="2"/>
  <c r="D1174" i="2"/>
  <c r="D1173" i="2"/>
  <c r="C1124" i="2"/>
  <c r="D1172" i="2"/>
  <c r="C1123" i="2"/>
  <c r="D1171" i="2"/>
  <c r="C1122" i="2"/>
  <c r="C1121" i="2"/>
  <c r="D1170" i="2"/>
  <c r="D1169" i="2"/>
  <c r="C1120" i="2"/>
  <c r="D1168" i="2"/>
  <c r="C1119" i="2"/>
  <c r="D1167" i="2"/>
  <c r="C1118" i="2"/>
  <c r="D1166" i="2"/>
  <c r="C1117" i="2"/>
  <c r="C1116" i="2"/>
  <c r="D1165" i="2"/>
  <c r="D1164" i="2"/>
  <c r="C1115" i="2"/>
  <c r="C1114" i="2"/>
  <c r="D1163" i="2"/>
  <c r="D1162" i="2"/>
  <c r="C1113" i="2"/>
  <c r="D1161" i="2"/>
  <c r="C1112" i="2"/>
  <c r="C1111" i="2"/>
  <c r="D1160" i="2"/>
  <c r="C1110" i="2"/>
  <c r="D1159" i="2"/>
  <c r="C1109" i="2"/>
  <c r="D1158" i="2"/>
  <c r="D1157" i="2"/>
  <c r="C1108" i="2"/>
  <c r="C1107" i="2"/>
  <c r="D1156" i="2"/>
  <c r="D1155" i="2"/>
  <c r="C1106" i="2"/>
  <c r="C1105" i="2"/>
  <c r="D1154" i="2"/>
  <c r="C1104" i="2"/>
  <c r="D1153" i="2"/>
  <c r="C1103" i="2"/>
  <c r="D1152" i="2"/>
  <c r="D1151" i="2"/>
  <c r="C1102" i="2"/>
  <c r="D1150" i="2"/>
  <c r="C1101" i="2"/>
  <c r="D1149" i="2"/>
  <c r="C1100" i="2"/>
  <c r="C1099" i="2"/>
  <c r="D1148" i="2"/>
  <c r="D1147" i="2"/>
  <c r="C1098" i="2"/>
  <c r="C1097" i="2"/>
  <c r="D1146" i="2"/>
  <c r="C1096" i="2"/>
  <c r="D1145" i="2"/>
  <c r="C1095" i="2"/>
  <c r="D1144" i="2"/>
  <c r="C1094" i="2"/>
  <c r="D1143" i="2"/>
  <c r="C1093" i="2"/>
  <c r="D1142" i="2"/>
  <c r="C1092" i="2"/>
  <c r="D1141" i="2"/>
  <c r="D1140" i="2"/>
  <c r="C1091" i="2"/>
  <c r="C1090" i="2"/>
  <c r="D1139" i="2"/>
  <c r="D1138" i="2"/>
  <c r="C1089" i="2"/>
  <c r="D1137" i="2"/>
  <c r="C1088" i="2"/>
  <c r="C1087" i="2"/>
  <c r="D1136" i="2"/>
  <c r="D1135" i="2"/>
  <c r="C1086" i="2"/>
  <c r="D1134" i="2"/>
  <c r="C1085" i="2"/>
  <c r="C1084" i="2"/>
  <c r="D1133" i="2"/>
  <c r="C1083" i="2"/>
  <c r="D1132" i="2"/>
  <c r="D1131" i="2"/>
  <c r="C1082" i="2"/>
  <c r="D1130" i="2"/>
  <c r="C1081" i="2"/>
  <c r="C1080" i="2"/>
  <c r="D1129" i="2"/>
  <c r="C1079" i="2"/>
  <c r="D1128" i="2"/>
  <c r="D1127" i="2"/>
  <c r="C1078" i="2"/>
  <c r="D1126" i="2"/>
  <c r="C1077" i="2"/>
  <c r="C1076" i="2"/>
  <c r="D1125" i="2"/>
  <c r="C1075" i="2"/>
  <c r="D1124" i="2"/>
  <c r="D1123" i="2"/>
  <c r="C1074" i="2"/>
  <c r="D1122" i="2"/>
  <c r="C1073" i="2"/>
  <c r="C1072" i="2"/>
  <c r="D1121" i="2"/>
  <c r="D1119" i="2"/>
  <c r="C1070" i="2"/>
  <c r="C1069" i="2"/>
  <c r="D1118" i="2"/>
  <c r="D1117" i="2"/>
  <c r="C1068" i="2"/>
  <c r="C1067" i="2"/>
  <c r="D1116" i="2"/>
  <c r="C1066" i="2"/>
  <c r="D1115" i="2"/>
  <c r="D1114" i="2"/>
  <c r="C1065" i="2"/>
  <c r="D1113" i="2"/>
  <c r="C1064" i="2"/>
  <c r="D1112" i="2"/>
  <c r="C1063" i="2"/>
  <c r="C1062" i="2"/>
  <c r="D1111" i="2"/>
  <c r="D1110" i="2"/>
  <c r="C1061" i="2"/>
  <c r="C1060" i="2"/>
  <c r="D1109" i="2"/>
  <c r="D1108" i="2"/>
  <c r="C1059" i="2"/>
  <c r="D1107" i="2"/>
  <c r="C1058" i="2"/>
  <c r="D1106" i="2"/>
  <c r="C1057" i="2"/>
  <c r="D1105" i="2"/>
  <c r="C1056" i="2"/>
  <c r="D1104" i="2"/>
  <c r="C1055" i="2"/>
  <c r="D1103" i="2"/>
  <c r="C1054" i="2"/>
  <c r="D1102" i="2"/>
  <c r="C1053" i="2"/>
  <c r="D1101" i="2"/>
  <c r="C1052" i="2"/>
  <c r="D1100" i="2"/>
  <c r="C1051" i="2"/>
  <c r="D1099" i="2"/>
  <c r="C1050" i="2"/>
  <c r="D1098" i="2"/>
  <c r="C1049" i="2"/>
  <c r="C1048" i="2"/>
  <c r="D1097" i="2"/>
  <c r="D1096" i="2"/>
  <c r="C1047" i="2"/>
  <c r="D1095" i="2"/>
  <c r="C1046" i="2"/>
  <c r="C1045" i="2"/>
  <c r="D1094" i="2"/>
  <c r="D1093" i="2"/>
  <c r="C1044" i="2"/>
  <c r="D1092" i="2"/>
  <c r="C1043" i="2"/>
  <c r="D1091" i="2"/>
  <c r="C1042" i="2"/>
  <c r="D1090" i="2"/>
  <c r="C1041" i="2"/>
  <c r="D1089" i="2"/>
  <c r="C1040" i="2"/>
  <c r="C1039" i="2"/>
  <c r="D1088" i="2"/>
  <c r="C1038" i="2"/>
  <c r="D1087" i="2"/>
  <c r="C1037" i="2"/>
  <c r="D1086" i="2"/>
  <c r="C1036" i="2"/>
  <c r="D1085" i="2"/>
  <c r="C1035" i="2"/>
  <c r="D1084" i="2"/>
  <c r="D1083" i="2"/>
  <c r="C1034" i="2"/>
  <c r="C1033" i="2"/>
  <c r="D1082" i="2"/>
  <c r="C1032" i="2"/>
  <c r="D1081" i="2"/>
  <c r="C1031" i="2"/>
  <c r="D1080" i="2"/>
  <c r="D1079" i="2"/>
  <c r="C1030" i="2"/>
  <c r="C1029" i="2"/>
  <c r="D1078" i="2"/>
  <c r="C1028" i="2"/>
  <c r="D1077" i="2"/>
  <c r="C1027" i="2"/>
  <c r="D1076" i="2"/>
  <c r="C1026" i="2"/>
  <c r="D1075" i="2"/>
  <c r="C1025" i="2"/>
  <c r="D1074" i="2"/>
  <c r="D1073" i="2"/>
  <c r="C1024" i="2"/>
  <c r="D1072" i="2"/>
  <c r="C1023" i="2"/>
  <c r="D1071" i="2"/>
  <c r="C1022" i="2"/>
  <c r="D1070" i="2"/>
  <c r="C1021" i="2"/>
  <c r="D1069" i="2"/>
  <c r="C1020" i="2"/>
  <c r="D1068" i="2"/>
  <c r="C1019" i="2"/>
  <c r="C1018" i="2"/>
  <c r="D1067" i="2"/>
  <c r="C1017" i="2"/>
  <c r="D1066" i="2"/>
  <c r="C1016" i="2"/>
  <c r="D1065" i="2"/>
  <c r="D1064" i="2"/>
  <c r="C1015" i="2"/>
  <c r="C1014" i="2"/>
  <c r="D1063" i="2"/>
  <c r="D1062" i="2"/>
  <c r="C1013" i="2"/>
  <c r="D1061" i="2"/>
  <c r="C1012" i="2"/>
  <c r="C1011" i="2"/>
  <c r="D1060" i="2"/>
  <c r="D1059" i="2"/>
  <c r="C1010" i="2"/>
  <c r="C1009" i="2"/>
  <c r="D1058" i="2"/>
  <c r="C1008" i="2"/>
  <c r="D1057" i="2"/>
  <c r="C1007" i="2"/>
  <c r="D1056" i="2"/>
  <c r="C1006" i="2"/>
  <c r="D1055" i="2"/>
  <c r="D1054" i="2"/>
  <c r="C1005" i="2"/>
  <c r="D1053" i="2"/>
  <c r="C1004" i="2"/>
  <c r="C1003" i="2"/>
  <c r="D1052" i="2"/>
  <c r="C1002" i="2"/>
  <c r="D1051" i="2"/>
  <c r="C1001" i="2"/>
  <c r="D1050" i="2"/>
  <c r="C1000" i="2"/>
  <c r="D1049" i="2"/>
  <c r="C999" i="2"/>
  <c r="D1048" i="2"/>
  <c r="C998" i="2"/>
  <c r="D1047" i="2"/>
  <c r="C997" i="2"/>
  <c r="D1046" i="2"/>
  <c r="D1045" i="2"/>
  <c r="C996" i="2"/>
  <c r="D1044" i="2"/>
  <c r="C995" i="2"/>
  <c r="D1043" i="2"/>
  <c r="C994" i="2"/>
  <c r="D1042" i="2"/>
  <c r="C993" i="2"/>
  <c r="D1041" i="2"/>
  <c r="C992" i="2"/>
  <c r="D1040" i="2"/>
  <c r="C991" i="2"/>
  <c r="C990" i="2"/>
  <c r="D1039" i="2"/>
  <c r="D1038" i="2"/>
  <c r="C989" i="2"/>
  <c r="D1037" i="2"/>
  <c r="C988" i="2"/>
  <c r="C987" i="2"/>
  <c r="D1036" i="2"/>
  <c r="D1035" i="2"/>
  <c r="C986" i="2"/>
  <c r="D1034" i="2"/>
  <c r="C985" i="2"/>
  <c r="D1033" i="2"/>
  <c r="C984" i="2"/>
  <c r="D1032" i="2"/>
  <c r="C983" i="2"/>
  <c r="D1031" i="2"/>
  <c r="C982" i="2"/>
  <c r="C981" i="2"/>
  <c r="D1030" i="2"/>
  <c r="C980" i="2"/>
  <c r="D1029" i="2"/>
  <c r="C979" i="2"/>
  <c r="D1028" i="2"/>
  <c r="D1027" i="2"/>
  <c r="C978" i="2"/>
  <c r="D1026" i="2"/>
  <c r="C977" i="2"/>
  <c r="D1025" i="2"/>
  <c r="C976" i="2"/>
  <c r="D1024" i="2"/>
  <c r="C975" i="2"/>
  <c r="D1023" i="2"/>
  <c r="C974" i="2"/>
  <c r="D1022" i="2"/>
  <c r="C973" i="2"/>
  <c r="C972" i="2"/>
  <c r="D1021" i="2"/>
  <c r="C971" i="2"/>
  <c r="D1020" i="2"/>
  <c r="C970" i="2"/>
  <c r="D1019" i="2"/>
  <c r="D1018" i="2"/>
  <c r="C969" i="2"/>
  <c r="D1017" i="2"/>
  <c r="C968" i="2"/>
  <c r="C967" i="2"/>
  <c r="D1016" i="2"/>
  <c r="C966" i="2"/>
  <c r="D1015" i="2"/>
  <c r="C965" i="2"/>
  <c r="D1014" i="2"/>
  <c r="D1013" i="2"/>
  <c r="C964" i="2"/>
  <c r="D1012" i="2"/>
  <c r="C963" i="2"/>
  <c r="C962" i="2"/>
  <c r="D1011" i="2"/>
  <c r="C961" i="2"/>
  <c r="D1010" i="2"/>
  <c r="D1009" i="2"/>
  <c r="C960" i="2"/>
  <c r="C959" i="2"/>
  <c r="D1008" i="2"/>
  <c r="D1007" i="2"/>
  <c r="C958" i="2"/>
  <c r="C957" i="2"/>
  <c r="D1006" i="2"/>
  <c r="D1005" i="2"/>
  <c r="C956" i="2"/>
  <c r="D1004" i="2"/>
  <c r="C955" i="2"/>
  <c r="C954" i="2"/>
  <c r="D1003" i="2"/>
  <c r="C953" i="2"/>
  <c r="D1002" i="2"/>
  <c r="D1001" i="2"/>
  <c r="C952" i="2"/>
  <c r="D1000" i="2"/>
  <c r="C951" i="2"/>
  <c r="C950" i="2"/>
  <c r="D999" i="2"/>
  <c r="D998" i="2"/>
  <c r="C949" i="2"/>
  <c r="D997" i="2"/>
  <c r="C948" i="2"/>
  <c r="C947" i="2"/>
  <c r="D996" i="2"/>
  <c r="C946" i="2"/>
  <c r="D995" i="2"/>
  <c r="D994" i="2"/>
  <c r="C945" i="2"/>
  <c r="C944" i="2"/>
  <c r="D993" i="2"/>
  <c r="D992" i="2"/>
  <c r="C943" i="2"/>
  <c r="D991" i="2"/>
  <c r="C942" i="2"/>
  <c r="D990" i="2"/>
  <c r="C941" i="2"/>
  <c r="C940" i="2"/>
  <c r="D989" i="2"/>
  <c r="D988" i="2"/>
  <c r="C939" i="2"/>
  <c r="D987" i="2"/>
  <c r="C938" i="2"/>
  <c r="D986" i="2"/>
  <c r="C937" i="2"/>
  <c r="D985" i="2"/>
  <c r="C936" i="2"/>
  <c r="C935" i="2"/>
  <c r="D984" i="2"/>
  <c r="D983" i="2"/>
  <c r="C934" i="2"/>
  <c r="D982" i="2"/>
  <c r="C933" i="2"/>
  <c r="D981" i="2"/>
  <c r="C932" i="2"/>
  <c r="C931" i="2"/>
  <c r="D980" i="2"/>
  <c r="C930" i="2"/>
  <c r="D979" i="2"/>
  <c r="C929" i="2"/>
  <c r="D978" i="2"/>
  <c r="D977" i="2"/>
  <c r="C928" i="2"/>
  <c r="C927" i="2"/>
  <c r="D976" i="2"/>
  <c r="C926" i="2"/>
  <c r="D975" i="2"/>
  <c r="C925" i="2"/>
  <c r="D974" i="2"/>
  <c r="D973" i="2"/>
  <c r="C924" i="2"/>
  <c r="D972" i="2"/>
  <c r="C923" i="2"/>
  <c r="C922" i="2"/>
  <c r="D971" i="2"/>
  <c r="D970" i="2"/>
  <c r="C921" i="2"/>
  <c r="D969" i="2"/>
  <c r="C920" i="2"/>
  <c r="C919" i="2"/>
  <c r="D968" i="2"/>
  <c r="D967" i="2"/>
  <c r="C918" i="2"/>
  <c r="D966" i="2"/>
  <c r="C917" i="2"/>
  <c r="C916" i="2"/>
  <c r="D965" i="2"/>
  <c r="C915" i="2"/>
  <c r="D964" i="2"/>
  <c r="D963" i="2"/>
  <c r="C914" i="2"/>
  <c r="D962" i="2"/>
  <c r="C913" i="2"/>
  <c r="D961" i="2"/>
  <c r="C912" i="2"/>
  <c r="C911" i="2"/>
  <c r="D960" i="2"/>
  <c r="D959" i="2"/>
  <c r="C910" i="2"/>
  <c r="C909" i="2"/>
  <c r="D958" i="2"/>
  <c r="D957" i="2"/>
  <c r="C908" i="2"/>
  <c r="D956" i="2"/>
  <c r="C907" i="2"/>
  <c r="C906" i="2"/>
  <c r="D955" i="2"/>
  <c r="D954" i="2"/>
  <c r="C905" i="2"/>
  <c r="C904" i="2"/>
  <c r="D953" i="2"/>
  <c r="D952" i="2"/>
  <c r="C903" i="2"/>
  <c r="D951" i="2"/>
  <c r="C902" i="2"/>
  <c r="D950" i="2"/>
  <c r="C901" i="2"/>
  <c r="D949" i="2"/>
  <c r="C900" i="2"/>
  <c r="D948" i="2"/>
  <c r="C899" i="2"/>
  <c r="C898" i="2"/>
  <c r="D947" i="2"/>
  <c r="D946" i="2"/>
  <c r="C897" i="2"/>
  <c r="C896" i="2"/>
  <c r="D945" i="2"/>
  <c r="D944" i="2"/>
  <c r="C895" i="2"/>
  <c r="D943" i="2"/>
  <c r="C894" i="2"/>
  <c r="D942" i="2"/>
  <c r="C893" i="2"/>
  <c r="C892" i="2"/>
  <c r="D941" i="2"/>
  <c r="C891" i="2"/>
  <c r="D940" i="2"/>
  <c r="D939" i="2"/>
  <c r="C890" i="2"/>
  <c r="D938" i="2"/>
  <c r="C889" i="2"/>
  <c r="D937" i="2"/>
  <c r="C888" i="2"/>
  <c r="D936" i="2"/>
  <c r="C887" i="2"/>
  <c r="D935" i="2"/>
  <c r="C886" i="2"/>
  <c r="D934" i="2"/>
  <c r="C885" i="2"/>
  <c r="D933" i="2"/>
  <c r="C884" i="2"/>
  <c r="C883" i="2"/>
  <c r="D932" i="2"/>
  <c r="D931" i="2"/>
  <c r="C882" i="2"/>
  <c r="D930" i="2"/>
  <c r="C881" i="2"/>
  <c r="D929" i="2"/>
  <c r="C880" i="2"/>
  <c r="C879" i="2"/>
  <c r="D928" i="2"/>
  <c r="D927" i="2"/>
  <c r="C878" i="2"/>
  <c r="D926" i="2"/>
  <c r="C877" i="2"/>
  <c r="C876" i="2"/>
  <c r="D925" i="2"/>
  <c r="C875" i="2"/>
  <c r="D924" i="2"/>
  <c r="C874" i="2"/>
  <c r="D923" i="2"/>
  <c r="D922" i="2"/>
  <c r="C873" i="2"/>
  <c r="C872" i="2"/>
  <c r="D921" i="2"/>
  <c r="D920" i="2"/>
  <c r="C871" i="2"/>
  <c r="C870" i="2"/>
  <c r="D919" i="2"/>
  <c r="C869" i="2"/>
  <c r="D918" i="2"/>
  <c r="D917" i="2"/>
  <c r="C868" i="2"/>
  <c r="D916" i="2"/>
  <c r="C867" i="2"/>
  <c r="D915" i="2"/>
  <c r="C866" i="2"/>
  <c r="C865" i="2"/>
  <c r="D914" i="2"/>
  <c r="D913" i="2"/>
  <c r="C864" i="2"/>
  <c r="D912" i="2"/>
  <c r="C863" i="2"/>
  <c r="D911" i="2"/>
  <c r="C862" i="2"/>
  <c r="D910" i="2"/>
  <c r="C861" i="2"/>
  <c r="C860" i="2"/>
  <c r="D909" i="2"/>
  <c r="D908" i="2"/>
  <c r="C859" i="2"/>
  <c r="D907" i="2"/>
  <c r="C858" i="2"/>
  <c r="C857" i="2"/>
  <c r="D906" i="2"/>
  <c r="C856" i="2"/>
  <c r="D905" i="2"/>
  <c r="C855" i="2"/>
  <c r="D904" i="2"/>
  <c r="C854" i="2"/>
  <c r="D903" i="2"/>
  <c r="C853" i="2"/>
  <c r="D902" i="2"/>
  <c r="C852" i="2"/>
  <c r="D901" i="2"/>
  <c r="D900" i="2"/>
  <c r="C851" i="2"/>
  <c r="C850" i="2"/>
  <c r="D899" i="2"/>
  <c r="D898" i="2"/>
  <c r="C849" i="2"/>
  <c r="C848" i="2"/>
  <c r="D897" i="2"/>
  <c r="C847" i="2"/>
  <c r="D896" i="2"/>
  <c r="D895" i="2"/>
  <c r="C846" i="2"/>
  <c r="D894" i="2"/>
  <c r="C845" i="2"/>
  <c r="D893" i="2"/>
  <c r="C844" i="2"/>
  <c r="C843" i="2"/>
  <c r="D892" i="2"/>
  <c r="D891" i="2"/>
  <c r="C842" i="2"/>
  <c r="C841" i="2"/>
  <c r="D890" i="2"/>
  <c r="C840" i="2"/>
  <c r="D889" i="2"/>
  <c r="D888" i="2"/>
  <c r="C839" i="2"/>
  <c r="C838" i="2"/>
  <c r="D887" i="2"/>
  <c r="D886" i="2"/>
  <c r="C837" i="2"/>
  <c r="C836" i="2"/>
  <c r="D885" i="2"/>
  <c r="D884" i="2"/>
  <c r="C835" i="2"/>
  <c r="C834" i="2"/>
  <c r="D883" i="2"/>
  <c r="C833" i="2"/>
  <c r="D882" i="2"/>
  <c r="C832" i="2"/>
  <c r="D881" i="2"/>
  <c r="D880" i="2"/>
  <c r="C831" i="2"/>
  <c r="D879" i="2"/>
  <c r="C830" i="2"/>
  <c r="D878" i="2"/>
  <c r="C829" i="2"/>
  <c r="D877" i="2"/>
  <c r="C828" i="2"/>
  <c r="C827" i="2"/>
  <c r="D876" i="2"/>
  <c r="D875" i="2"/>
  <c r="C826" i="2"/>
  <c r="D874" i="2"/>
  <c r="C825" i="2"/>
  <c r="D873" i="2"/>
  <c r="C824" i="2"/>
  <c r="C823" i="2"/>
  <c r="D872" i="2"/>
  <c r="D871" i="2"/>
  <c r="C822" i="2"/>
  <c r="D870" i="2"/>
  <c r="C821" i="2"/>
  <c r="D869" i="2"/>
  <c r="C820" i="2"/>
  <c r="C819" i="2"/>
  <c r="D868" i="2"/>
  <c r="D867" i="2"/>
  <c r="C818" i="2"/>
  <c r="C817" i="2"/>
  <c r="D866" i="2"/>
  <c r="C816" i="2"/>
  <c r="D865" i="2"/>
  <c r="D864" i="2"/>
  <c r="C815" i="2"/>
  <c r="C814" i="2"/>
  <c r="D863" i="2"/>
  <c r="C813" i="2"/>
  <c r="D862" i="2"/>
  <c r="D861" i="2"/>
  <c r="C812" i="2"/>
  <c r="D860" i="2"/>
  <c r="C811" i="2"/>
  <c r="D859" i="2"/>
  <c r="C810" i="2"/>
  <c r="C809" i="2"/>
  <c r="D858" i="2"/>
  <c r="D857" i="2"/>
  <c r="C808" i="2"/>
  <c r="D856" i="2"/>
  <c r="C807" i="2"/>
  <c r="D855" i="2"/>
  <c r="C806" i="2"/>
  <c r="D854" i="2"/>
  <c r="C805" i="2"/>
  <c r="D853" i="2"/>
  <c r="C804" i="2"/>
  <c r="C803" i="2"/>
  <c r="D852" i="2"/>
  <c r="D851" i="2"/>
  <c r="C802" i="2"/>
  <c r="C801" i="2"/>
  <c r="D850" i="2"/>
  <c r="D849" i="2"/>
  <c r="C800" i="2"/>
  <c r="D848" i="2"/>
  <c r="C799" i="2"/>
  <c r="C798" i="2"/>
  <c r="D847" i="2"/>
  <c r="C797" i="2"/>
  <c r="D846" i="2"/>
  <c r="D845" i="2"/>
  <c r="C796" i="2"/>
  <c r="C795" i="2"/>
  <c r="D844" i="2"/>
  <c r="C794" i="2"/>
  <c r="D843" i="2"/>
  <c r="D842" i="2"/>
  <c r="C793" i="2"/>
  <c r="D841" i="2"/>
  <c r="C792" i="2"/>
  <c r="C791" i="2"/>
  <c r="D840" i="2"/>
  <c r="D839" i="2"/>
  <c r="C790" i="2"/>
  <c r="C789" i="2"/>
  <c r="D838" i="2"/>
  <c r="D837" i="2"/>
  <c r="C788" i="2"/>
  <c r="D836" i="2"/>
  <c r="C787" i="2"/>
  <c r="D835" i="2"/>
  <c r="C786" i="2"/>
  <c r="D834" i="2"/>
  <c r="C785" i="2"/>
  <c r="C784" i="2"/>
  <c r="D833" i="2"/>
  <c r="D832" i="2"/>
  <c r="C783" i="2"/>
  <c r="D831" i="2"/>
  <c r="C782" i="2"/>
  <c r="C781" i="2"/>
  <c r="D830" i="2"/>
  <c r="D829" i="2"/>
  <c r="C780" i="2"/>
  <c r="D828" i="2"/>
  <c r="C779" i="2"/>
  <c r="C778" i="2"/>
  <c r="D827" i="2"/>
  <c r="D826" i="2"/>
  <c r="C777" i="2"/>
  <c r="D825" i="2"/>
  <c r="C776" i="2"/>
  <c r="C775" i="2"/>
  <c r="D824" i="2"/>
  <c r="D823" i="2"/>
  <c r="C774" i="2"/>
  <c r="D822" i="2"/>
  <c r="C773" i="2"/>
  <c r="D821" i="2"/>
  <c r="C772" i="2"/>
  <c r="D820" i="2"/>
  <c r="C771" i="2"/>
  <c r="D819" i="2"/>
  <c r="C770" i="2"/>
  <c r="C769" i="2"/>
  <c r="D818" i="2"/>
  <c r="C768" i="2"/>
  <c r="D817" i="2"/>
  <c r="C767" i="2"/>
  <c r="D816" i="2"/>
  <c r="D815" i="2"/>
  <c r="C766" i="2"/>
  <c r="D814" i="2"/>
  <c r="C765" i="2"/>
  <c r="C764" i="2"/>
  <c r="D813" i="2"/>
  <c r="C763" i="2"/>
  <c r="D812" i="2"/>
  <c r="D811" i="2"/>
  <c r="C762" i="2"/>
  <c r="D810" i="2"/>
  <c r="C761" i="2"/>
  <c r="D809" i="2"/>
  <c r="C760" i="2"/>
  <c r="C759" i="2"/>
  <c r="D808" i="2"/>
  <c r="D807" i="2"/>
  <c r="C758" i="2"/>
  <c r="C757" i="2"/>
  <c r="D806" i="2"/>
  <c r="C756" i="2"/>
  <c r="D805" i="2"/>
  <c r="C755" i="2"/>
  <c r="D804" i="2"/>
  <c r="C754" i="2"/>
  <c r="D803" i="2"/>
  <c r="C753" i="2"/>
  <c r="D802" i="2"/>
  <c r="D801" i="2"/>
  <c r="C752" i="2"/>
  <c r="D800" i="2"/>
  <c r="C751" i="2"/>
  <c r="C750" i="2"/>
  <c r="D799" i="2"/>
  <c r="C749" i="2"/>
  <c r="D798" i="2"/>
  <c r="C748" i="2"/>
  <c r="D797" i="2"/>
  <c r="C747" i="2"/>
  <c r="D796" i="2"/>
  <c r="C746" i="2"/>
  <c r="D795" i="2"/>
  <c r="C745" i="2"/>
  <c r="D794" i="2"/>
  <c r="D793" i="2"/>
  <c r="C744" i="2"/>
  <c r="C743" i="2"/>
  <c r="D792" i="2"/>
  <c r="D791" i="2"/>
  <c r="C742" i="2"/>
  <c r="C741" i="2"/>
  <c r="D790" i="2"/>
  <c r="C740" i="2"/>
  <c r="D789" i="2"/>
  <c r="D788" i="2"/>
  <c r="C739" i="2"/>
  <c r="D787" i="2"/>
  <c r="C738" i="2"/>
  <c r="C737" i="2"/>
  <c r="D786" i="2"/>
  <c r="C736" i="2"/>
  <c r="D785" i="2"/>
  <c r="D784" i="2"/>
  <c r="C735" i="2"/>
  <c r="D783" i="2"/>
  <c r="C734" i="2"/>
  <c r="D782" i="2"/>
  <c r="C733" i="2"/>
  <c r="D781" i="2"/>
  <c r="C732" i="2"/>
  <c r="D780" i="2"/>
  <c r="C731" i="2"/>
  <c r="C730" i="2"/>
  <c r="D779" i="2"/>
  <c r="D778" i="2"/>
  <c r="C729" i="2"/>
  <c r="D777" i="2"/>
  <c r="C728" i="2"/>
  <c r="D776" i="2"/>
  <c r="C727" i="2"/>
  <c r="C726" i="2"/>
  <c r="D775" i="2"/>
  <c r="D774" i="2"/>
  <c r="C725" i="2"/>
  <c r="D773" i="2"/>
  <c r="C724" i="2"/>
  <c r="D772" i="2"/>
  <c r="C723" i="2"/>
  <c r="C722" i="2"/>
  <c r="D771" i="2"/>
  <c r="C721" i="2"/>
  <c r="D770" i="2"/>
  <c r="D769" i="2"/>
  <c r="C720" i="2"/>
  <c r="D768" i="2"/>
  <c r="C719" i="2"/>
  <c r="D767" i="2"/>
  <c r="C718" i="2"/>
  <c r="C717" i="2"/>
  <c r="D766" i="2"/>
  <c r="D765" i="2"/>
  <c r="C716" i="2"/>
  <c r="D764" i="2"/>
  <c r="C715" i="2"/>
  <c r="D763" i="2"/>
  <c r="C714" i="2"/>
  <c r="C713" i="2"/>
  <c r="D762" i="2"/>
  <c r="C712" i="2"/>
  <c r="D761" i="2"/>
  <c r="D760" i="2"/>
  <c r="C711" i="2"/>
  <c r="D759" i="2"/>
  <c r="C710" i="2"/>
  <c r="D758" i="2"/>
  <c r="C709" i="2"/>
  <c r="D757" i="2"/>
  <c r="C708" i="2"/>
  <c r="D756" i="2"/>
  <c r="C707" i="2"/>
  <c r="C706" i="2"/>
  <c r="D755" i="2"/>
  <c r="D754" i="2"/>
  <c r="C705" i="2"/>
  <c r="D753" i="2"/>
  <c r="C704" i="2"/>
  <c r="D752" i="2"/>
  <c r="C703" i="2"/>
  <c r="C702" i="2"/>
  <c r="D751" i="2"/>
  <c r="D750" i="2"/>
  <c r="C701" i="2"/>
  <c r="C700" i="2"/>
  <c r="D749" i="2"/>
  <c r="C699" i="2"/>
  <c r="D748" i="2"/>
  <c r="D747" i="2"/>
  <c r="C698" i="2"/>
  <c r="D746" i="2"/>
  <c r="C697" i="2"/>
  <c r="D745" i="2"/>
  <c r="C696" i="2"/>
  <c r="C695" i="2"/>
  <c r="D744" i="2"/>
  <c r="C694" i="2"/>
  <c r="D743" i="2"/>
  <c r="C693" i="2"/>
  <c r="D742" i="2"/>
  <c r="D741" i="2"/>
  <c r="C692" i="2"/>
  <c r="D740" i="2"/>
  <c r="C691" i="2"/>
  <c r="C690" i="2"/>
  <c r="D739" i="2"/>
  <c r="C689" i="2"/>
  <c r="D738" i="2"/>
  <c r="D737" i="2"/>
  <c r="C688" i="2"/>
  <c r="C687" i="2"/>
  <c r="D736" i="2"/>
  <c r="C686" i="2"/>
  <c r="D735" i="2"/>
  <c r="D734" i="2"/>
  <c r="C685" i="2"/>
  <c r="D733" i="2"/>
  <c r="C684" i="2"/>
  <c r="C683" i="2"/>
  <c r="D732" i="2"/>
  <c r="D731" i="2"/>
  <c r="C682" i="2"/>
  <c r="D730" i="2"/>
  <c r="C681" i="2"/>
  <c r="C680" i="2"/>
  <c r="D729" i="2"/>
  <c r="C679" i="2"/>
  <c r="D728" i="2"/>
  <c r="C678" i="2"/>
  <c r="D727" i="2"/>
  <c r="D726" i="2"/>
  <c r="C677" i="2"/>
  <c r="D725" i="2"/>
  <c r="C676" i="2"/>
  <c r="D724" i="2"/>
  <c r="C675" i="2"/>
  <c r="C674" i="2"/>
  <c r="D723" i="2"/>
  <c r="D722" i="2"/>
  <c r="C673" i="2"/>
  <c r="C672" i="2"/>
  <c r="D721" i="2"/>
  <c r="C671" i="2"/>
  <c r="D720" i="2"/>
  <c r="D719" i="2"/>
  <c r="C670" i="2"/>
  <c r="C669" i="2"/>
  <c r="D718" i="2"/>
  <c r="C668" i="2"/>
  <c r="D717" i="2"/>
  <c r="D716" i="2"/>
  <c r="C667" i="2"/>
  <c r="C666" i="2"/>
  <c r="D715" i="2"/>
  <c r="D714" i="2"/>
  <c r="C665" i="2"/>
  <c r="C664" i="2"/>
  <c r="D713" i="2"/>
  <c r="D712" i="2"/>
  <c r="C663" i="2"/>
  <c r="D711" i="2"/>
  <c r="C662" i="2"/>
  <c r="C661" i="2"/>
  <c r="D710" i="2"/>
  <c r="D709" i="2"/>
  <c r="C660" i="2"/>
  <c r="C659" i="2"/>
  <c r="D708" i="2"/>
  <c r="D707" i="2"/>
  <c r="C658" i="2"/>
  <c r="D706" i="2"/>
  <c r="C657" i="2"/>
  <c r="D705" i="2"/>
  <c r="C656" i="2"/>
  <c r="C655" i="2"/>
  <c r="D704" i="2"/>
  <c r="C654" i="2"/>
  <c r="D703" i="2"/>
  <c r="D702" i="2"/>
  <c r="C653" i="2"/>
  <c r="D701" i="2"/>
  <c r="C652" i="2"/>
  <c r="D700" i="2"/>
  <c r="C651" i="2"/>
  <c r="C650" i="2"/>
  <c r="D699" i="2"/>
  <c r="D698" i="2"/>
  <c r="C649" i="2"/>
  <c r="D697" i="2"/>
  <c r="C648" i="2"/>
  <c r="C647" i="2"/>
  <c r="D696" i="2"/>
  <c r="D695" i="2"/>
  <c r="C646" i="2"/>
  <c r="D694" i="2"/>
  <c r="C645" i="2"/>
  <c r="D693" i="2"/>
  <c r="C644" i="2"/>
  <c r="D692" i="2"/>
  <c r="C643" i="2"/>
  <c r="C642" i="2"/>
  <c r="D691" i="2"/>
  <c r="D690" i="2"/>
  <c r="C641" i="2"/>
  <c r="C640" i="2"/>
  <c r="D689" i="2"/>
  <c r="D688" i="2"/>
  <c r="C639" i="2"/>
  <c r="C638" i="2"/>
  <c r="D687" i="2"/>
  <c r="C637" i="2"/>
  <c r="D686" i="2"/>
  <c r="D685" i="2"/>
  <c r="C636" i="2"/>
  <c r="D677" i="2"/>
  <c r="D642" i="2"/>
  <c r="D671" i="2"/>
  <c r="D675" i="2"/>
  <c r="D666" i="2"/>
  <c r="D650" i="2"/>
  <c r="D673" i="2"/>
  <c r="D662" i="2"/>
  <c r="D655" i="2"/>
  <c r="D669" i="2"/>
  <c r="D661" i="2"/>
  <c r="D657" i="2"/>
  <c r="D667" i="2"/>
  <c r="D664" i="2"/>
  <c r="D663" i="2"/>
  <c r="D659" i="2"/>
  <c r="D656" i="2"/>
  <c r="D670" i="2"/>
  <c r="D653" i="2"/>
  <c r="D648" i="2"/>
  <c r="D654" i="2"/>
  <c r="D645" i="2"/>
  <c r="D646" i="2"/>
  <c r="D651" i="2"/>
  <c r="D676" i="2"/>
  <c r="D637" i="2"/>
  <c r="D649" i="2"/>
  <c r="D647" i="2"/>
  <c r="D680" i="2"/>
  <c r="C635" i="2"/>
  <c r="D640" i="2"/>
  <c r="D683" i="2"/>
  <c r="D643" i="2"/>
  <c r="D674" i="2"/>
  <c r="D682" i="2"/>
  <c r="D672" i="2"/>
  <c r="D679" i="2"/>
  <c r="D668" i="2"/>
  <c r="D641" i="2"/>
  <c r="D684" i="2"/>
  <c r="D665" i="2"/>
  <c r="D639" i="2"/>
  <c r="D660" i="2"/>
  <c r="D678" i="2"/>
  <c r="D658" i="2"/>
  <c r="D635" i="2"/>
  <c r="D652" i="2"/>
  <c r="D644" i="2"/>
  <c r="D681" i="2"/>
  <c r="D638" i="2"/>
  <c r="D636" i="2"/>
  <c r="C585" i="2"/>
  <c r="D634" i="2"/>
  <c r="C584" i="2"/>
  <c r="D633" i="2"/>
  <c r="C583" i="2"/>
  <c r="D632" i="2"/>
  <c r="D631" i="2"/>
  <c r="C582" i="2"/>
  <c r="D630" i="2"/>
  <c r="C581" i="2"/>
  <c r="D629" i="2"/>
  <c r="C580" i="2"/>
  <c r="C579" i="2"/>
  <c r="D628" i="2"/>
  <c r="D627" i="2"/>
  <c r="C578" i="2"/>
  <c r="D626" i="2"/>
  <c r="C577" i="2"/>
  <c r="D625" i="2"/>
  <c r="C576" i="2"/>
  <c r="C575" i="2"/>
  <c r="D624" i="2"/>
  <c r="D623" i="2"/>
  <c r="C574" i="2"/>
  <c r="C573" i="2"/>
  <c r="D622" i="2"/>
  <c r="C572" i="2"/>
  <c r="D621" i="2"/>
  <c r="C571" i="2"/>
  <c r="D620" i="2"/>
  <c r="C570" i="2"/>
  <c r="D619" i="2"/>
  <c r="C569" i="2"/>
  <c r="D618" i="2"/>
  <c r="C568" i="2"/>
  <c r="D617" i="2"/>
  <c r="D616" i="2"/>
  <c r="C567" i="2"/>
  <c r="D615" i="2"/>
  <c r="C566" i="2"/>
  <c r="D614" i="2"/>
  <c r="C565" i="2"/>
  <c r="D613" i="2"/>
  <c r="C564" i="2"/>
  <c r="C563" i="2"/>
  <c r="D612" i="2"/>
  <c r="C562" i="2"/>
  <c r="D611" i="2"/>
  <c r="D610" i="2"/>
  <c r="C561" i="2"/>
  <c r="D609" i="2"/>
  <c r="C560" i="2"/>
  <c r="C559" i="2"/>
  <c r="D608" i="2"/>
  <c r="C558" i="2"/>
  <c r="D607" i="2"/>
  <c r="C557" i="2"/>
  <c r="D606" i="2"/>
  <c r="D605" i="2"/>
  <c r="C556" i="2"/>
  <c r="D604" i="2"/>
  <c r="C555" i="2"/>
  <c r="D603" i="2"/>
  <c r="C554" i="2"/>
  <c r="D602" i="2"/>
  <c r="C553" i="2"/>
  <c r="C552" i="2"/>
  <c r="D601" i="2"/>
  <c r="C551" i="2"/>
  <c r="D600" i="2"/>
  <c r="D599" i="2"/>
  <c r="C550" i="2"/>
  <c r="D598" i="2"/>
  <c r="C549" i="2"/>
  <c r="D597" i="2"/>
  <c r="C548" i="2"/>
  <c r="D596" i="2"/>
  <c r="C547" i="2"/>
  <c r="D595" i="2"/>
  <c r="C546" i="2"/>
  <c r="C545" i="2"/>
  <c r="D594" i="2"/>
  <c r="D593" i="2"/>
  <c r="C544" i="2"/>
  <c r="C543" i="2"/>
  <c r="D592" i="2"/>
  <c r="C542" i="2"/>
  <c r="D591" i="2"/>
  <c r="C541" i="2"/>
  <c r="D590" i="2"/>
  <c r="D589" i="2"/>
  <c r="C540" i="2"/>
  <c r="D588" i="2"/>
  <c r="C539" i="2"/>
  <c r="D587" i="2"/>
  <c r="C538" i="2"/>
  <c r="D586" i="2"/>
  <c r="C537" i="2"/>
  <c r="D585" i="2"/>
  <c r="C536" i="2"/>
  <c r="D584" i="2"/>
  <c r="C535" i="2"/>
  <c r="C534" i="2"/>
  <c r="D583" i="2"/>
  <c r="D582" i="2"/>
  <c r="C533" i="2"/>
  <c r="D581" i="2"/>
  <c r="C532" i="2"/>
  <c r="D580" i="2"/>
  <c r="C531" i="2"/>
  <c r="D579" i="2"/>
  <c r="C530" i="2"/>
  <c r="D578" i="2"/>
  <c r="C529" i="2"/>
  <c r="C528" i="2"/>
  <c r="D577" i="2"/>
  <c r="C527" i="2"/>
  <c r="D576" i="2"/>
  <c r="C526" i="2"/>
  <c r="D575" i="2"/>
  <c r="C525" i="2"/>
  <c r="D574" i="2"/>
  <c r="C524" i="2"/>
  <c r="D573" i="2"/>
  <c r="C523" i="2"/>
  <c r="D572" i="2"/>
  <c r="C522" i="2"/>
  <c r="D571" i="2"/>
  <c r="C521" i="2"/>
  <c r="D570" i="2"/>
  <c r="D569" i="2"/>
  <c r="C520" i="2"/>
  <c r="C519" i="2"/>
  <c r="D568" i="2"/>
  <c r="D567" i="2"/>
  <c r="C518" i="2"/>
  <c r="D566" i="2"/>
  <c r="C517" i="2"/>
  <c r="D565" i="2"/>
  <c r="C516" i="2"/>
  <c r="D564" i="2"/>
  <c r="C515" i="2"/>
  <c r="D563" i="2"/>
  <c r="C514" i="2"/>
  <c r="D562" i="2"/>
  <c r="C513" i="2"/>
  <c r="D561" i="2"/>
  <c r="C512" i="2"/>
  <c r="D560" i="2"/>
  <c r="C511" i="2"/>
  <c r="D559" i="2"/>
  <c r="C510" i="2"/>
  <c r="D558" i="2"/>
  <c r="C509" i="2"/>
  <c r="D557" i="2"/>
  <c r="C508" i="2"/>
  <c r="D556" i="2"/>
  <c r="C507" i="2"/>
  <c r="D555" i="2"/>
  <c r="C506" i="2"/>
  <c r="D554" i="2"/>
  <c r="C505" i="2"/>
  <c r="D553" i="2"/>
  <c r="C504" i="2"/>
  <c r="C503" i="2"/>
  <c r="D552" i="2"/>
  <c r="D551" i="2"/>
  <c r="C502" i="2"/>
  <c r="D550" i="2"/>
  <c r="C501" i="2"/>
  <c r="C500" i="2"/>
  <c r="D549" i="2"/>
  <c r="C499" i="2"/>
  <c r="D548" i="2"/>
  <c r="C498" i="2"/>
  <c r="D547" i="2"/>
  <c r="D546" i="2"/>
  <c r="C497" i="2"/>
  <c r="D545" i="2"/>
  <c r="C496" i="2"/>
  <c r="D544" i="2"/>
  <c r="C495" i="2"/>
  <c r="D543" i="2"/>
  <c r="C494" i="2"/>
  <c r="D542" i="2"/>
  <c r="C493" i="2"/>
  <c r="D541" i="2"/>
  <c r="C492" i="2"/>
  <c r="D540" i="2"/>
  <c r="C491" i="2"/>
  <c r="D539" i="2"/>
  <c r="C490" i="2"/>
  <c r="D538" i="2"/>
  <c r="C489" i="2"/>
  <c r="D537" i="2"/>
  <c r="C488" i="2"/>
  <c r="D536" i="2"/>
  <c r="C487" i="2"/>
  <c r="D535" i="2"/>
  <c r="C486" i="2"/>
  <c r="D534" i="2"/>
  <c r="C485" i="2"/>
  <c r="D533" i="2"/>
  <c r="C484" i="2"/>
  <c r="C483" i="2"/>
  <c r="D532" i="2"/>
  <c r="C482" i="2"/>
  <c r="D531" i="2"/>
  <c r="D530" i="2"/>
  <c r="C481" i="2"/>
  <c r="D529" i="2"/>
  <c r="C480" i="2"/>
  <c r="C479" i="2"/>
  <c r="D528" i="2"/>
  <c r="D527" i="2"/>
  <c r="C478" i="2"/>
  <c r="C477" i="2"/>
  <c r="D526" i="2"/>
  <c r="C476" i="2"/>
  <c r="D525" i="2"/>
  <c r="D524" i="2"/>
  <c r="C475" i="2"/>
  <c r="C474" i="2"/>
  <c r="D523" i="2"/>
  <c r="D522" i="2"/>
  <c r="C473" i="2"/>
  <c r="D521" i="2"/>
  <c r="C472" i="2"/>
  <c r="D520" i="2"/>
  <c r="C471" i="2"/>
  <c r="D519" i="2"/>
  <c r="C470" i="2"/>
  <c r="D518" i="2"/>
  <c r="C469" i="2"/>
  <c r="D517" i="2"/>
  <c r="C468" i="2"/>
  <c r="D516" i="2"/>
  <c r="C467" i="2"/>
  <c r="D515" i="2"/>
  <c r="C466" i="2"/>
  <c r="D514" i="2"/>
  <c r="C465" i="2"/>
  <c r="D513" i="2"/>
  <c r="C464" i="2"/>
  <c r="D512" i="2"/>
  <c r="C463" i="2"/>
  <c r="D511" i="2"/>
  <c r="C462" i="2"/>
  <c r="C461" i="2"/>
  <c r="D510" i="2"/>
  <c r="D509" i="2"/>
  <c r="C460" i="2"/>
  <c r="D508" i="2"/>
  <c r="C459" i="2"/>
  <c r="D507" i="2"/>
  <c r="C458" i="2"/>
  <c r="D506" i="2"/>
  <c r="C457" i="2"/>
  <c r="D505" i="2"/>
  <c r="C456" i="2"/>
  <c r="D504" i="2"/>
  <c r="C455" i="2"/>
  <c r="C454" i="2"/>
  <c r="D503" i="2"/>
  <c r="C453" i="2"/>
  <c r="D502" i="2"/>
  <c r="D501" i="2"/>
  <c r="C452" i="2"/>
  <c r="C451" i="2"/>
  <c r="D500" i="2"/>
  <c r="D499" i="2"/>
  <c r="C450" i="2"/>
  <c r="D498" i="2"/>
  <c r="C449" i="2"/>
  <c r="D497" i="2"/>
  <c r="C448" i="2"/>
  <c r="D496" i="2"/>
  <c r="C447" i="2"/>
  <c r="C446" i="2"/>
  <c r="D495" i="2"/>
  <c r="C445" i="2"/>
  <c r="D494" i="2"/>
  <c r="C444" i="2"/>
  <c r="D493" i="2"/>
  <c r="D492" i="2"/>
  <c r="C443" i="2"/>
  <c r="C442" i="2"/>
  <c r="D491" i="2"/>
  <c r="D490" i="2"/>
  <c r="C441" i="2"/>
  <c r="C440" i="2"/>
  <c r="D489" i="2"/>
  <c r="C439" i="2"/>
  <c r="D488" i="2"/>
  <c r="C438" i="2"/>
  <c r="D487" i="2"/>
  <c r="C437" i="2"/>
  <c r="D486" i="2"/>
  <c r="C436" i="2"/>
  <c r="D485" i="2"/>
  <c r="C435" i="2"/>
  <c r="D484" i="2"/>
  <c r="D483" i="2"/>
  <c r="C434" i="2"/>
  <c r="D482" i="2"/>
  <c r="C433" i="2"/>
  <c r="C432" i="2"/>
  <c r="D481" i="2"/>
  <c r="D480" i="2"/>
  <c r="C431" i="2"/>
  <c r="D479" i="2"/>
  <c r="C430" i="2"/>
  <c r="C429" i="2"/>
  <c r="D478" i="2"/>
  <c r="D477" i="2"/>
  <c r="C428" i="2"/>
  <c r="D476" i="2"/>
  <c r="C427" i="2"/>
  <c r="C426" i="2"/>
  <c r="D475" i="2"/>
  <c r="C425" i="2"/>
  <c r="D474" i="2"/>
  <c r="C424" i="2"/>
  <c r="D473" i="2"/>
  <c r="D472" i="2"/>
  <c r="C423" i="2"/>
  <c r="D471" i="2"/>
  <c r="C422" i="2"/>
  <c r="D470" i="2"/>
  <c r="C421" i="2"/>
  <c r="D469" i="2"/>
  <c r="C420" i="2"/>
  <c r="C419" i="2"/>
  <c r="D468" i="2"/>
  <c r="C418" i="2"/>
  <c r="D467" i="2"/>
  <c r="D466" i="2"/>
  <c r="C417" i="2"/>
  <c r="C416" i="2"/>
  <c r="D465" i="2"/>
  <c r="D464" i="2"/>
  <c r="C415" i="2"/>
  <c r="D463" i="2"/>
  <c r="C414" i="2"/>
  <c r="D462" i="2"/>
  <c r="C413" i="2"/>
  <c r="D461" i="2"/>
  <c r="C412" i="2"/>
  <c r="D460" i="2"/>
  <c r="C411" i="2"/>
  <c r="D459" i="2"/>
  <c r="C410" i="2"/>
  <c r="D458" i="2"/>
  <c r="C409" i="2"/>
  <c r="C408" i="2"/>
  <c r="D457" i="2"/>
  <c r="C407" i="2"/>
  <c r="D456" i="2"/>
  <c r="C406" i="2"/>
  <c r="D455" i="2"/>
  <c r="C405" i="2"/>
  <c r="D454" i="2"/>
  <c r="C404" i="2"/>
  <c r="D453" i="2"/>
  <c r="D452" i="2"/>
  <c r="C403" i="2"/>
  <c r="D451" i="2"/>
  <c r="C402" i="2"/>
  <c r="D450" i="2"/>
  <c r="C401" i="2"/>
  <c r="D449" i="2"/>
  <c r="C400" i="2"/>
  <c r="D448" i="2"/>
  <c r="C399" i="2"/>
  <c r="D447" i="2"/>
  <c r="C398" i="2"/>
  <c r="D446" i="2"/>
  <c r="C397" i="2"/>
  <c r="D445" i="2"/>
  <c r="C396" i="2"/>
  <c r="C395" i="2"/>
  <c r="D444" i="2"/>
  <c r="C394" i="2"/>
  <c r="D443" i="2"/>
  <c r="C393" i="2"/>
  <c r="D442" i="2"/>
  <c r="C392" i="2"/>
  <c r="D441" i="2"/>
  <c r="D440" i="2"/>
  <c r="C391" i="2"/>
  <c r="C390" i="2"/>
  <c r="D439" i="2"/>
  <c r="C389" i="2"/>
  <c r="D438" i="2"/>
  <c r="C388" i="2"/>
  <c r="D437" i="2"/>
  <c r="D436" i="2"/>
  <c r="C387" i="2"/>
  <c r="D435" i="2"/>
  <c r="C386" i="2"/>
  <c r="D434" i="2"/>
  <c r="C385" i="2"/>
  <c r="D433" i="2"/>
  <c r="C384" i="2"/>
  <c r="C383" i="2"/>
  <c r="D432" i="2"/>
  <c r="C382" i="2"/>
  <c r="D431" i="2"/>
  <c r="D430" i="2"/>
  <c r="C381" i="2"/>
  <c r="C380" i="2"/>
  <c r="D429" i="2"/>
  <c r="D428" i="2"/>
  <c r="C379" i="2"/>
  <c r="C378" i="2"/>
  <c r="D427" i="2"/>
  <c r="C377" i="2"/>
  <c r="D426" i="2"/>
  <c r="C376" i="2"/>
  <c r="D425" i="2"/>
  <c r="C375" i="2"/>
  <c r="D424" i="2"/>
  <c r="C374" i="2"/>
  <c r="D423" i="2"/>
  <c r="C373" i="2"/>
  <c r="D422" i="2"/>
  <c r="D421" i="2"/>
  <c r="C372" i="2"/>
  <c r="C371" i="2"/>
  <c r="D420" i="2"/>
  <c r="D419" i="2"/>
  <c r="C370" i="2"/>
  <c r="D418" i="2"/>
  <c r="C369" i="2"/>
  <c r="D417" i="2"/>
  <c r="C368" i="2"/>
  <c r="C367" i="2"/>
  <c r="D416" i="2"/>
  <c r="C366" i="2"/>
  <c r="D415" i="2"/>
  <c r="C365" i="2"/>
  <c r="D414" i="2"/>
  <c r="C364" i="2"/>
  <c r="D413" i="2"/>
  <c r="C363" i="2"/>
  <c r="D412" i="2"/>
  <c r="C362" i="2"/>
  <c r="D411" i="2"/>
  <c r="D410" i="2"/>
  <c r="C361" i="2"/>
  <c r="C360" i="2"/>
  <c r="D409" i="2"/>
  <c r="D408" i="2"/>
  <c r="C359" i="2"/>
  <c r="C358" i="2"/>
  <c r="D407" i="2"/>
  <c r="D406" i="2"/>
  <c r="C357" i="2"/>
  <c r="C356" i="2"/>
  <c r="D405" i="2"/>
  <c r="C355" i="2"/>
  <c r="D404" i="2"/>
  <c r="D403" i="2"/>
  <c r="C354" i="2"/>
  <c r="D402" i="2"/>
  <c r="C353" i="2"/>
  <c r="C352" i="2"/>
  <c r="D401" i="2"/>
  <c r="D400" i="2"/>
  <c r="C351" i="2"/>
  <c r="D399" i="2"/>
  <c r="C350" i="2"/>
  <c r="C349" i="2"/>
  <c r="D398" i="2"/>
  <c r="D397" i="2"/>
  <c r="C348" i="2"/>
  <c r="C347" i="2"/>
  <c r="D396" i="2"/>
  <c r="D395" i="2"/>
  <c r="C346" i="2"/>
  <c r="D394" i="2"/>
  <c r="C345" i="2"/>
  <c r="C344" i="2"/>
  <c r="D393" i="2"/>
  <c r="D392" i="2"/>
  <c r="C343" i="2"/>
  <c r="D391" i="2"/>
  <c r="C342" i="2"/>
  <c r="C341" i="2"/>
  <c r="D390" i="2"/>
  <c r="D389" i="2"/>
  <c r="C340" i="2"/>
  <c r="D388" i="2"/>
  <c r="C339" i="2"/>
  <c r="C338" i="2"/>
  <c r="D387" i="2"/>
  <c r="C337" i="2"/>
  <c r="D386" i="2"/>
  <c r="D385" i="2"/>
  <c r="C336" i="2"/>
  <c r="D384" i="2"/>
  <c r="C335" i="2"/>
  <c r="D383" i="2"/>
  <c r="C334" i="2"/>
  <c r="C333" i="2"/>
  <c r="D382" i="2"/>
  <c r="C332" i="2"/>
  <c r="D381" i="2"/>
  <c r="C331" i="2"/>
  <c r="D380" i="2"/>
  <c r="C330" i="2"/>
  <c r="D379" i="2"/>
  <c r="D378" i="2"/>
  <c r="C329" i="2"/>
  <c r="D377" i="2"/>
  <c r="C328" i="2"/>
  <c r="D376" i="2"/>
  <c r="C327" i="2"/>
  <c r="D375" i="2"/>
  <c r="C326" i="2"/>
  <c r="C325" i="2"/>
  <c r="D374" i="2"/>
  <c r="C324" i="2"/>
  <c r="D373" i="2"/>
  <c r="D372" i="2"/>
  <c r="C323" i="2"/>
  <c r="C322" i="2"/>
  <c r="D371" i="2"/>
  <c r="D370" i="2"/>
  <c r="C321" i="2"/>
  <c r="C320" i="2"/>
  <c r="D369" i="2"/>
  <c r="D368" i="2"/>
  <c r="C319" i="2"/>
  <c r="C318" i="2"/>
  <c r="D367" i="2"/>
  <c r="C317" i="2"/>
  <c r="D366" i="2"/>
  <c r="C316" i="2"/>
  <c r="D365" i="2"/>
  <c r="C315" i="2"/>
  <c r="D364" i="2"/>
  <c r="C314" i="2"/>
  <c r="D363" i="2"/>
  <c r="C313" i="2"/>
  <c r="D362" i="2"/>
  <c r="D361" i="2"/>
  <c r="C312" i="2"/>
  <c r="C311" i="2"/>
  <c r="D360" i="2"/>
  <c r="C310" i="2"/>
  <c r="D359" i="2"/>
  <c r="C309" i="2"/>
  <c r="D358" i="2"/>
  <c r="C308" i="2"/>
  <c r="D357" i="2"/>
  <c r="C307" i="2"/>
  <c r="D356" i="2"/>
  <c r="C306" i="2"/>
  <c r="D355" i="2"/>
  <c r="C305" i="2"/>
  <c r="D354" i="2"/>
  <c r="C304" i="2"/>
  <c r="D353" i="2"/>
  <c r="D352" i="2"/>
  <c r="C303" i="2"/>
  <c r="D351" i="2"/>
  <c r="C302" i="2"/>
  <c r="C301" i="2"/>
  <c r="D350" i="2"/>
  <c r="C300" i="2"/>
  <c r="D349" i="2"/>
  <c r="D348" i="2"/>
  <c r="C299" i="2"/>
  <c r="D347" i="2"/>
  <c r="C298" i="2"/>
  <c r="D346" i="2"/>
  <c r="C297" i="2"/>
  <c r="D345" i="2"/>
  <c r="C296" i="2"/>
  <c r="C295" i="2"/>
  <c r="D344" i="2"/>
  <c r="D343" i="2"/>
  <c r="C294" i="2"/>
  <c r="D342" i="2"/>
  <c r="C293" i="2"/>
  <c r="D341" i="2"/>
  <c r="C292" i="2"/>
  <c r="D340" i="2"/>
  <c r="C291" i="2"/>
  <c r="D339" i="2"/>
  <c r="C290" i="2"/>
  <c r="C289" i="2"/>
  <c r="D338" i="2"/>
  <c r="C288" i="2"/>
  <c r="D337" i="2"/>
  <c r="C287" i="2"/>
  <c r="D336" i="2"/>
  <c r="D335" i="2"/>
  <c r="C286" i="2"/>
  <c r="C285" i="2"/>
  <c r="D334" i="2"/>
  <c r="D333" i="2"/>
  <c r="C284" i="2"/>
  <c r="D332" i="2"/>
  <c r="C283" i="2"/>
  <c r="C282" i="2"/>
  <c r="D331" i="2"/>
  <c r="D330" i="2"/>
  <c r="C281" i="2"/>
  <c r="D329" i="2"/>
  <c r="C280" i="2"/>
  <c r="C279" i="2"/>
  <c r="D328" i="2"/>
  <c r="C278" i="2"/>
  <c r="D327" i="2"/>
  <c r="C277" i="2"/>
  <c r="D326" i="2"/>
  <c r="D325" i="2"/>
  <c r="C276" i="2"/>
  <c r="C275" i="2"/>
  <c r="D324" i="2"/>
  <c r="D323" i="2"/>
  <c r="C274" i="2"/>
  <c r="C273" i="2"/>
  <c r="D322" i="2"/>
  <c r="C272" i="2"/>
  <c r="D321" i="2"/>
  <c r="D320" i="2"/>
  <c r="C271" i="2"/>
  <c r="D319" i="2"/>
  <c r="C270" i="2"/>
  <c r="C269" i="2"/>
  <c r="D318" i="2"/>
  <c r="C268" i="2"/>
  <c r="D317" i="2"/>
  <c r="C267" i="2"/>
  <c r="D316" i="2"/>
  <c r="C266" i="2"/>
  <c r="D315" i="2"/>
  <c r="C265" i="2"/>
  <c r="D314" i="2"/>
  <c r="C264" i="2"/>
  <c r="D313" i="2"/>
  <c r="C263" i="2"/>
  <c r="D312" i="2"/>
  <c r="C262" i="2"/>
  <c r="D311" i="2"/>
  <c r="C261" i="2"/>
  <c r="D310" i="2"/>
  <c r="C260" i="2"/>
  <c r="D309" i="2"/>
  <c r="C259" i="2"/>
  <c r="D308" i="2"/>
  <c r="C258" i="2"/>
  <c r="D307" i="2"/>
  <c r="D306" i="2"/>
  <c r="C257" i="2"/>
  <c r="C256" i="2"/>
  <c r="D305" i="2"/>
  <c r="C255" i="2"/>
  <c r="D304" i="2"/>
  <c r="C254" i="2"/>
  <c r="D303" i="2"/>
  <c r="C253" i="2"/>
  <c r="D302" i="2"/>
  <c r="C252" i="2"/>
  <c r="D301" i="2"/>
  <c r="D300" i="2"/>
  <c r="C251" i="2"/>
  <c r="D299" i="2"/>
  <c r="C250" i="2"/>
  <c r="C24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8" i="2"/>
  <c r="C248" i="2"/>
  <c r="D249" i="2"/>
  <c r="C198" i="2"/>
  <c r="D247" i="2"/>
  <c r="D246" i="2"/>
  <c r="C197" i="2"/>
  <c r="D245" i="2"/>
  <c r="C196" i="2"/>
  <c r="C195" i="2"/>
  <c r="D244" i="2"/>
  <c r="C194" i="2"/>
  <c r="D243" i="2"/>
  <c r="C193" i="2"/>
  <c r="D242" i="2"/>
  <c r="D241" i="2"/>
  <c r="C192" i="2"/>
  <c r="C191" i="2"/>
  <c r="D240" i="2"/>
  <c r="C190" i="2"/>
  <c r="D239" i="2"/>
  <c r="C189" i="2"/>
  <c r="D238" i="2"/>
  <c r="D237" i="2"/>
  <c r="C188" i="2"/>
  <c r="D236" i="2"/>
  <c r="C187" i="2"/>
  <c r="D235" i="2"/>
  <c r="C186" i="2"/>
  <c r="C185" i="2"/>
  <c r="D234" i="2"/>
  <c r="C184" i="2"/>
  <c r="D233" i="2"/>
  <c r="C183" i="2"/>
  <c r="D232" i="2"/>
  <c r="C182" i="2"/>
  <c r="D231" i="2"/>
  <c r="D230" i="2"/>
  <c r="C181" i="2"/>
  <c r="D229" i="2"/>
  <c r="C180" i="2"/>
  <c r="C179" i="2"/>
  <c r="D228" i="2"/>
  <c r="C178" i="2"/>
  <c r="D227" i="2"/>
  <c r="D226" i="2"/>
  <c r="C177" i="2"/>
  <c r="C176" i="2"/>
  <c r="D225" i="2"/>
  <c r="D224" i="2"/>
  <c r="C175" i="2"/>
  <c r="D223" i="2"/>
  <c r="C174" i="2"/>
  <c r="D222" i="2"/>
  <c r="C173" i="2"/>
  <c r="D221" i="2"/>
  <c r="C172" i="2"/>
  <c r="D220" i="2"/>
  <c r="C171" i="2"/>
  <c r="D219" i="2"/>
  <c r="C170" i="2"/>
  <c r="C169" i="2"/>
  <c r="D218" i="2"/>
  <c r="D217" i="2"/>
  <c r="C168" i="2"/>
  <c r="D216" i="2"/>
  <c r="C167" i="2"/>
  <c r="D215" i="2"/>
  <c r="C166" i="2"/>
  <c r="D214" i="2"/>
  <c r="C165" i="2"/>
  <c r="D213" i="2"/>
  <c r="C164" i="2"/>
  <c r="D212" i="2"/>
  <c r="C163" i="2"/>
  <c r="D211" i="2"/>
  <c r="C162" i="2"/>
  <c r="D210" i="2"/>
  <c r="C161" i="2"/>
  <c r="D209" i="2"/>
  <c r="C160" i="2"/>
  <c r="D208" i="2"/>
  <c r="C159" i="2"/>
  <c r="D207" i="2"/>
  <c r="C158" i="2"/>
  <c r="D206" i="2"/>
  <c r="C157" i="2"/>
  <c r="D205" i="2"/>
  <c r="C156" i="2"/>
  <c r="D204" i="2"/>
  <c r="C155" i="2"/>
  <c r="C154" i="2"/>
  <c r="D203" i="2"/>
  <c r="C153" i="2"/>
  <c r="D202" i="2"/>
  <c r="C152" i="2"/>
  <c r="D201" i="2"/>
  <c r="C151" i="2"/>
  <c r="D200" i="2"/>
  <c r="C150" i="2"/>
  <c r="D199" i="2"/>
  <c r="D198" i="2"/>
  <c r="C149" i="2"/>
  <c r="D197" i="2"/>
  <c r="C148" i="2"/>
  <c r="C147" i="2"/>
  <c r="D196" i="2"/>
  <c r="D195" i="2"/>
  <c r="C146" i="2"/>
  <c r="D194" i="2"/>
  <c r="C145" i="2"/>
  <c r="C144" i="2"/>
  <c r="D193" i="2"/>
  <c r="C143" i="2"/>
  <c r="D192" i="2"/>
  <c r="C142" i="2"/>
  <c r="D191" i="2"/>
  <c r="D190" i="2"/>
  <c r="C141" i="2"/>
  <c r="C140" i="2"/>
  <c r="D189" i="2"/>
  <c r="C139" i="2"/>
  <c r="D188" i="2"/>
  <c r="C138" i="2"/>
  <c r="D187" i="2"/>
  <c r="C137" i="2"/>
  <c r="D186" i="2"/>
  <c r="D185" i="2"/>
  <c r="C136" i="2"/>
  <c r="C135" i="2"/>
  <c r="D184" i="2"/>
  <c r="D183" i="2"/>
  <c r="C134" i="2"/>
  <c r="D182" i="2"/>
  <c r="C133" i="2"/>
  <c r="C132" i="2"/>
  <c r="D181" i="2"/>
  <c r="C131" i="2"/>
  <c r="D180" i="2"/>
  <c r="D179" i="2"/>
  <c r="C130" i="2"/>
  <c r="C129" i="2"/>
  <c r="D178" i="2"/>
  <c r="C128" i="2"/>
  <c r="D177" i="2"/>
  <c r="C127" i="2"/>
  <c r="D176" i="2"/>
  <c r="D175" i="2"/>
  <c r="C126" i="2"/>
  <c r="D174" i="2"/>
  <c r="C125" i="2"/>
  <c r="C124" i="2"/>
  <c r="D173" i="2"/>
  <c r="D172" i="2"/>
  <c r="C123" i="2"/>
  <c r="C122" i="2"/>
  <c r="D171" i="2"/>
  <c r="D170" i="2"/>
  <c r="C121" i="2"/>
  <c r="D169" i="2"/>
  <c r="C120" i="2"/>
  <c r="D168" i="2"/>
  <c r="C119" i="2"/>
  <c r="C118" i="2"/>
  <c r="D167" i="2"/>
  <c r="C117" i="2"/>
  <c r="D166" i="2"/>
  <c r="D165" i="2"/>
  <c r="C116" i="2"/>
  <c r="C115" i="2"/>
  <c r="D164" i="2"/>
  <c r="C114" i="2"/>
  <c r="D163" i="2"/>
  <c r="C113" i="2"/>
  <c r="D162" i="2"/>
  <c r="D161" i="2"/>
  <c r="C112" i="2"/>
  <c r="D160" i="2"/>
  <c r="C111" i="2"/>
  <c r="D159" i="2"/>
  <c r="C110" i="2"/>
  <c r="D158" i="2"/>
  <c r="C109" i="2"/>
  <c r="D157" i="2"/>
  <c r="C108" i="2"/>
  <c r="D156" i="2"/>
  <c r="C107" i="2"/>
  <c r="D155" i="2"/>
  <c r="C106" i="2"/>
  <c r="D154" i="2"/>
  <c r="C105" i="2"/>
  <c r="C104" i="2"/>
  <c r="D153" i="2"/>
  <c r="C103" i="2"/>
  <c r="D152" i="2"/>
  <c r="C102" i="2"/>
  <c r="D151" i="2"/>
  <c r="C101" i="2"/>
  <c r="D150" i="2"/>
  <c r="C100" i="2"/>
  <c r="D149" i="2"/>
  <c r="C99" i="2"/>
  <c r="D148" i="2"/>
  <c r="C98" i="2"/>
  <c r="D147" i="2"/>
  <c r="C97" i="2"/>
  <c r="D146" i="2"/>
  <c r="D145" i="2"/>
  <c r="C96" i="2"/>
  <c r="D144" i="2"/>
  <c r="C95" i="2"/>
  <c r="D143" i="2"/>
  <c r="C94" i="2"/>
  <c r="C93" i="2"/>
  <c r="D142" i="2"/>
  <c r="C92" i="2"/>
  <c r="D141" i="2"/>
  <c r="D140" i="2"/>
  <c r="C91" i="2"/>
  <c r="D139" i="2"/>
  <c r="C90" i="2"/>
  <c r="D138" i="2"/>
  <c r="C89" i="2"/>
  <c r="D137" i="2"/>
  <c r="C88" i="2"/>
  <c r="D136" i="2"/>
  <c r="C87" i="2"/>
  <c r="C86" i="2"/>
  <c r="D135" i="2"/>
  <c r="C85" i="2"/>
  <c r="D134" i="2"/>
  <c r="C84" i="2"/>
  <c r="D133" i="2"/>
  <c r="D132" i="2"/>
  <c r="C83" i="2"/>
  <c r="C82" i="2"/>
  <c r="D131" i="2"/>
  <c r="C81" i="2"/>
  <c r="D130" i="2"/>
  <c r="C80" i="2"/>
  <c r="D129" i="2"/>
  <c r="C79" i="2"/>
  <c r="D128" i="2"/>
  <c r="C78" i="2"/>
  <c r="D127" i="2"/>
  <c r="D126" i="2"/>
  <c r="C77" i="2"/>
  <c r="D125" i="2"/>
  <c r="C76" i="2"/>
  <c r="C75" i="2"/>
  <c r="D124" i="2"/>
  <c r="D123" i="2"/>
  <c r="C74" i="2"/>
  <c r="D122" i="2"/>
  <c r="C73" i="2"/>
  <c r="D121" i="2"/>
  <c r="C72" i="2"/>
  <c r="D120" i="2"/>
  <c r="C71" i="2"/>
  <c r="D119" i="2"/>
  <c r="C70" i="2"/>
  <c r="D118" i="2"/>
  <c r="C69" i="2"/>
  <c r="D117" i="2"/>
  <c r="C68" i="2"/>
  <c r="D116" i="2"/>
  <c r="C67" i="2"/>
  <c r="D115" i="2"/>
  <c r="C66" i="2"/>
  <c r="D114" i="2"/>
  <c r="C65" i="2"/>
  <c r="D113" i="2"/>
  <c r="C64" i="2"/>
  <c r="D112" i="2"/>
  <c r="C63" i="2"/>
  <c r="D111" i="2"/>
  <c r="C62" i="2"/>
  <c r="C61" i="2"/>
  <c r="D110" i="2"/>
  <c r="D109" i="2"/>
  <c r="C60" i="2"/>
  <c r="D108" i="2"/>
  <c r="C59" i="2"/>
  <c r="D107" i="2"/>
  <c r="C58" i="2"/>
  <c r="D106" i="2"/>
  <c r="C57" i="2"/>
  <c r="D105" i="2"/>
  <c r="C56" i="2"/>
  <c r="D104" i="2"/>
  <c r="C55" i="2"/>
  <c r="C54" i="2"/>
  <c r="D103" i="2"/>
  <c r="D102" i="2"/>
  <c r="C53" i="2"/>
  <c r="D101" i="2"/>
  <c r="C52" i="2"/>
  <c r="D100" i="2"/>
  <c r="C51" i="2"/>
  <c r="D99" i="2"/>
  <c r="C50" i="2"/>
  <c r="D98" i="2"/>
  <c r="C49" i="2"/>
  <c r="D97" i="2"/>
  <c r="C48" i="2"/>
  <c r="C47" i="2"/>
  <c r="D96" i="2"/>
  <c r="D95" i="2"/>
  <c r="C46" i="2"/>
  <c r="C45" i="2"/>
  <c r="D94" i="2"/>
  <c r="C44" i="2"/>
  <c r="D93" i="2"/>
  <c r="C43" i="2"/>
  <c r="D92" i="2"/>
  <c r="C42" i="2"/>
  <c r="D91" i="2"/>
  <c r="C41" i="2"/>
  <c r="D90" i="2"/>
  <c r="C40" i="2"/>
  <c r="D89" i="2"/>
  <c r="C39" i="2"/>
  <c r="D88" i="2"/>
  <c r="C38" i="2"/>
  <c r="D87" i="2"/>
  <c r="C37" i="2"/>
  <c r="D86" i="2"/>
  <c r="C36" i="2"/>
  <c r="D85" i="2"/>
  <c r="D84" i="2"/>
  <c r="C35" i="2"/>
  <c r="C34" i="2"/>
  <c r="D83" i="2"/>
  <c r="C33" i="2"/>
  <c r="D82" i="2"/>
  <c r="C32" i="2"/>
  <c r="D81" i="2"/>
  <c r="D80" i="2"/>
  <c r="C31" i="2"/>
  <c r="D79" i="2"/>
  <c r="C30" i="2"/>
  <c r="D78" i="2"/>
  <c r="C29" i="2"/>
  <c r="D77" i="2"/>
  <c r="C28" i="2"/>
  <c r="D76" i="2"/>
  <c r="C27" i="2"/>
  <c r="C26" i="2"/>
  <c r="D75" i="2"/>
  <c r="D74" i="2"/>
  <c r="C25" i="2"/>
  <c r="C24" i="2"/>
  <c r="D73" i="2"/>
  <c r="C23" i="2"/>
  <c r="D72" i="2"/>
  <c r="C22" i="2"/>
  <c r="D71" i="2"/>
  <c r="C21" i="2"/>
  <c r="D70" i="2"/>
  <c r="C20" i="2"/>
  <c r="D69" i="2"/>
  <c r="C19" i="2"/>
  <c r="D68" i="2"/>
  <c r="D67" i="2"/>
  <c r="C18" i="2"/>
  <c r="D66" i="2"/>
  <c r="C17" i="2"/>
  <c r="D65" i="2"/>
  <c r="C16" i="2"/>
  <c r="D64" i="2"/>
  <c r="C15" i="2"/>
  <c r="D63" i="2"/>
  <c r="C14" i="2"/>
  <c r="D62" i="2"/>
  <c r="C13" i="2"/>
  <c r="C12" i="2"/>
  <c r="D61" i="2"/>
  <c r="C11" i="2"/>
  <c r="D60" i="2"/>
  <c r="C10" i="2"/>
  <c r="D59" i="2"/>
  <c r="C9" i="2"/>
  <c r="D58" i="2"/>
  <c r="C8" i="2"/>
  <c r="D57" i="2"/>
  <c r="D56" i="2"/>
  <c r="C7" i="2"/>
  <c r="D55" i="2"/>
  <c r="C6" i="2"/>
  <c r="D54" i="2"/>
  <c r="C5" i="2"/>
  <c r="D53" i="2"/>
  <c r="C4" i="2"/>
  <c r="C3" i="2"/>
  <c r="D52" i="2"/>
  <c r="D1485" i="1"/>
  <c r="C1436" i="1"/>
  <c r="C1435" i="1"/>
  <c r="D1484" i="1"/>
  <c r="C1434" i="1"/>
  <c r="D1483" i="1"/>
  <c r="D1482" i="1"/>
  <c r="C1433" i="1"/>
  <c r="D1481" i="1"/>
  <c r="C1432" i="1"/>
  <c r="D1480" i="1"/>
  <c r="C1431" i="1"/>
  <c r="C1430" i="1"/>
  <c r="D1479" i="1"/>
  <c r="D1478" i="1"/>
  <c r="C1429" i="1"/>
  <c r="C1428" i="1"/>
  <c r="D1477" i="1"/>
  <c r="C1427" i="1"/>
  <c r="D1476" i="1"/>
  <c r="C1426" i="1"/>
  <c r="D1475" i="1"/>
  <c r="C1425" i="1"/>
  <c r="D1474" i="1"/>
  <c r="D1473" i="1"/>
  <c r="C1424" i="1"/>
  <c r="D1472" i="1"/>
  <c r="C1423" i="1"/>
  <c r="C1422" i="1"/>
  <c r="D1471" i="1"/>
  <c r="D1470" i="1"/>
  <c r="C1421" i="1"/>
  <c r="D1469" i="1"/>
  <c r="C1420" i="1"/>
  <c r="C1419" i="1"/>
  <c r="D1468" i="1"/>
  <c r="C1418" i="1"/>
  <c r="D1467" i="1"/>
  <c r="C1417" i="1"/>
  <c r="D1466" i="1"/>
  <c r="C1416" i="1"/>
  <c r="D1465" i="1"/>
  <c r="C1415" i="1"/>
  <c r="D1464" i="1"/>
  <c r="C1414" i="1"/>
  <c r="D1463" i="1"/>
  <c r="D1462" i="1"/>
  <c r="C1413" i="1"/>
  <c r="C1412" i="1"/>
  <c r="D1461" i="1"/>
  <c r="C1411" i="1"/>
  <c r="D1460" i="1"/>
  <c r="C1410" i="1"/>
  <c r="D1459" i="1"/>
  <c r="D1458" i="1"/>
  <c r="C1409" i="1"/>
  <c r="C1408" i="1"/>
  <c r="D1457" i="1"/>
  <c r="D1456" i="1"/>
  <c r="C1407" i="1"/>
  <c r="C1406" i="1"/>
  <c r="D1455" i="1"/>
  <c r="D1454" i="1"/>
  <c r="C1405" i="1"/>
  <c r="D1453" i="1"/>
  <c r="C1404" i="1"/>
  <c r="C1403" i="1"/>
  <c r="D1452" i="1"/>
  <c r="D1451" i="1"/>
  <c r="C1402" i="1"/>
  <c r="D1450" i="1"/>
  <c r="C1401" i="1"/>
  <c r="C1400" i="1"/>
  <c r="D1449" i="1"/>
  <c r="D1448" i="1"/>
  <c r="C1399" i="1"/>
  <c r="D1447" i="1"/>
  <c r="C1398" i="1"/>
  <c r="C1397" i="1"/>
  <c r="D1446" i="1"/>
  <c r="C1396" i="1"/>
  <c r="D1445" i="1"/>
  <c r="C1395" i="1"/>
  <c r="D1444" i="1"/>
  <c r="C1394" i="1"/>
  <c r="D1443" i="1"/>
  <c r="C1393" i="1"/>
  <c r="D1442" i="1"/>
  <c r="C1392" i="1"/>
  <c r="D1441" i="1"/>
  <c r="C1391" i="1"/>
  <c r="D1440" i="1"/>
  <c r="D1439" i="1"/>
  <c r="C1390" i="1"/>
  <c r="C1389" i="1"/>
  <c r="D1438" i="1"/>
  <c r="C1388" i="1"/>
  <c r="D1437" i="1"/>
  <c r="D1436" i="1"/>
  <c r="C1387" i="1"/>
  <c r="C1386" i="1"/>
  <c r="D1435" i="1"/>
  <c r="D1434" i="1"/>
  <c r="C1385" i="1"/>
  <c r="C1384" i="1"/>
  <c r="D1433" i="1"/>
  <c r="C1383" i="1"/>
  <c r="D1432" i="1"/>
  <c r="C1382" i="1"/>
  <c r="D1431" i="1"/>
  <c r="C1381" i="1"/>
  <c r="D1430" i="1"/>
  <c r="D1429" i="1"/>
  <c r="C1380" i="1"/>
  <c r="D1428" i="1"/>
  <c r="C1379" i="1"/>
  <c r="D1427" i="1"/>
  <c r="C1378" i="1"/>
  <c r="C1377" i="1"/>
  <c r="D1426" i="1"/>
  <c r="C1376" i="1"/>
  <c r="D1425" i="1"/>
  <c r="D1424" i="1"/>
  <c r="C1375" i="1"/>
  <c r="D1423" i="1"/>
  <c r="C1374" i="1"/>
  <c r="C1373" i="1"/>
  <c r="D1422" i="1"/>
  <c r="C1372" i="1"/>
  <c r="D1421" i="1"/>
  <c r="C1371" i="1"/>
  <c r="D1420" i="1"/>
  <c r="C1370" i="1"/>
  <c r="D1419" i="1"/>
  <c r="C1369" i="1"/>
  <c r="D1418" i="1"/>
  <c r="C1368" i="1"/>
  <c r="D1417" i="1"/>
  <c r="C1367" i="1"/>
  <c r="D1416" i="1"/>
  <c r="C1366" i="1"/>
  <c r="D1415" i="1"/>
  <c r="C1365" i="1"/>
  <c r="D1414" i="1"/>
  <c r="D1413" i="1"/>
  <c r="C1364" i="1"/>
  <c r="C1363" i="1"/>
  <c r="D1412" i="1"/>
  <c r="C1362" i="1"/>
  <c r="D1411" i="1"/>
  <c r="C1361" i="1"/>
  <c r="D1410" i="1"/>
  <c r="D1409" i="1"/>
  <c r="C1360" i="1"/>
  <c r="D1408" i="1"/>
  <c r="C1359" i="1"/>
  <c r="D1407" i="1"/>
  <c r="C1358" i="1"/>
  <c r="D1406" i="1"/>
  <c r="C1357" i="1"/>
  <c r="D1405" i="1"/>
  <c r="C1356" i="1"/>
  <c r="D1404" i="1"/>
  <c r="C1355" i="1"/>
  <c r="D1403" i="1"/>
  <c r="C1354" i="1"/>
  <c r="C1353" i="1"/>
  <c r="D1402" i="1"/>
  <c r="C1352" i="1"/>
  <c r="D1401" i="1"/>
  <c r="C1351" i="1"/>
  <c r="D1400" i="1"/>
  <c r="C1350" i="1"/>
  <c r="D1399" i="1"/>
  <c r="C1349" i="1"/>
  <c r="D1398" i="1"/>
  <c r="C1348" i="1"/>
  <c r="D1397" i="1"/>
  <c r="D1396" i="1"/>
  <c r="C1347" i="1"/>
  <c r="C1346" i="1"/>
  <c r="D1395" i="1"/>
  <c r="D1394" i="1"/>
  <c r="C1345" i="1"/>
  <c r="D1393" i="1"/>
  <c r="C1344" i="1"/>
  <c r="C1343" i="1"/>
  <c r="D1392" i="1"/>
  <c r="C1342" i="1"/>
  <c r="D1391" i="1"/>
  <c r="D1390" i="1"/>
  <c r="C1341" i="1"/>
  <c r="C1340" i="1"/>
  <c r="D1389" i="1"/>
  <c r="C1339" i="1"/>
  <c r="D1388" i="1"/>
  <c r="C1338" i="1"/>
  <c r="D1387" i="1"/>
  <c r="C1337" i="1"/>
  <c r="D1386" i="1"/>
  <c r="C1336" i="1"/>
  <c r="D1385" i="1"/>
  <c r="D1384" i="1"/>
  <c r="C1335" i="1"/>
  <c r="D1383" i="1"/>
  <c r="C1334" i="1"/>
  <c r="C1333" i="1"/>
  <c r="D1382" i="1"/>
  <c r="C1332" i="1"/>
  <c r="D1381" i="1"/>
  <c r="C1331" i="1"/>
  <c r="D1380" i="1"/>
  <c r="C1330" i="1"/>
  <c r="D1379" i="1"/>
  <c r="D1378" i="1"/>
  <c r="C1329" i="1"/>
  <c r="D1377" i="1"/>
  <c r="C1328" i="1"/>
  <c r="C1327" i="1"/>
  <c r="D1376" i="1"/>
  <c r="D1375" i="1"/>
  <c r="C1326" i="1"/>
  <c r="D1374" i="1"/>
  <c r="C1325" i="1"/>
  <c r="C1324" i="1"/>
  <c r="D1373" i="1"/>
  <c r="D1372" i="1"/>
  <c r="C1323" i="1"/>
  <c r="C1322" i="1"/>
  <c r="D1371" i="1"/>
  <c r="D1370" i="1"/>
  <c r="C1321" i="1"/>
  <c r="D1369" i="1"/>
  <c r="C1320" i="1"/>
  <c r="D1368" i="1"/>
  <c r="C1319" i="1"/>
  <c r="D1367" i="1"/>
  <c r="C1318" i="1"/>
  <c r="D1366" i="1"/>
  <c r="C1317" i="1"/>
  <c r="D1365" i="1"/>
  <c r="C1316" i="1"/>
  <c r="D1364" i="1"/>
  <c r="C1315" i="1"/>
  <c r="D1363" i="1"/>
  <c r="C1314" i="1"/>
  <c r="C1313" i="1"/>
  <c r="D1362" i="1"/>
  <c r="C1312" i="1"/>
  <c r="D1361" i="1"/>
  <c r="D1360" i="1"/>
  <c r="C1311" i="1"/>
  <c r="D1359" i="1"/>
  <c r="C1310" i="1"/>
  <c r="D1358" i="1"/>
  <c r="C1309" i="1"/>
  <c r="D1357" i="1"/>
  <c r="C1308" i="1"/>
  <c r="D1356" i="1"/>
  <c r="C1307" i="1"/>
  <c r="C1306" i="1"/>
  <c r="D1355" i="1"/>
  <c r="D1354" i="1"/>
  <c r="C1305" i="1"/>
  <c r="D1353" i="1"/>
  <c r="C1304" i="1"/>
  <c r="D1352" i="1"/>
  <c r="C1303" i="1"/>
  <c r="D1351" i="1"/>
  <c r="C1302" i="1"/>
  <c r="D1350" i="1"/>
  <c r="C1301" i="1"/>
  <c r="C1300" i="1"/>
  <c r="D1349" i="1"/>
  <c r="C1299" i="1"/>
  <c r="D1348" i="1"/>
  <c r="D1347" i="1"/>
  <c r="C1298" i="1"/>
  <c r="C1297" i="1"/>
  <c r="D1346" i="1"/>
  <c r="C1296" i="1"/>
  <c r="D1345" i="1"/>
  <c r="D1344" i="1"/>
  <c r="C1295" i="1"/>
  <c r="C1294" i="1"/>
  <c r="D1343" i="1"/>
  <c r="D1342" i="1"/>
  <c r="C1293" i="1"/>
  <c r="D1341" i="1"/>
  <c r="C1292" i="1"/>
  <c r="D1340" i="1"/>
  <c r="C1291" i="1"/>
  <c r="C1290" i="1"/>
  <c r="D1339" i="1"/>
  <c r="D1338" i="1"/>
  <c r="C1289" i="1"/>
  <c r="D1337" i="1"/>
  <c r="C1288" i="1"/>
  <c r="D1336" i="1"/>
  <c r="C1287" i="1"/>
  <c r="D1335" i="1"/>
  <c r="C1286" i="1"/>
  <c r="D1334" i="1"/>
  <c r="C1285" i="1"/>
  <c r="D1333" i="1"/>
  <c r="C1284" i="1"/>
  <c r="D1332" i="1"/>
  <c r="C1283" i="1"/>
  <c r="C1282" i="1"/>
  <c r="D1331" i="1"/>
  <c r="C1281" i="1"/>
  <c r="D1330" i="1"/>
  <c r="C1280" i="1"/>
  <c r="D1329" i="1"/>
  <c r="C1279" i="1"/>
  <c r="D1328" i="1"/>
  <c r="C1278" i="1"/>
  <c r="D1327" i="1"/>
  <c r="D1326" i="1"/>
  <c r="C1277" i="1"/>
  <c r="D1325" i="1"/>
  <c r="C1276" i="1"/>
  <c r="C1275" i="1"/>
  <c r="D1324" i="1"/>
  <c r="C1274" i="1"/>
  <c r="D1323" i="1"/>
  <c r="C1273" i="1"/>
  <c r="D1322" i="1"/>
  <c r="C1272" i="1"/>
  <c r="D1321" i="1"/>
  <c r="C1271" i="1"/>
  <c r="D1320" i="1"/>
  <c r="C1270" i="1"/>
  <c r="D1319" i="1"/>
  <c r="C1269" i="1"/>
  <c r="D1318" i="1"/>
  <c r="C1268" i="1"/>
  <c r="D1317" i="1"/>
  <c r="C1267" i="1"/>
  <c r="D1316" i="1"/>
  <c r="C1266" i="1"/>
  <c r="D1315" i="1"/>
  <c r="C1265" i="1"/>
  <c r="D1314" i="1"/>
  <c r="C1264" i="1"/>
  <c r="D1313" i="1"/>
  <c r="C1263" i="1"/>
  <c r="D1312" i="1"/>
  <c r="C1262" i="1"/>
  <c r="D1311" i="1"/>
  <c r="D1310" i="1"/>
  <c r="C1261" i="1"/>
  <c r="C1260" i="1"/>
  <c r="D1309" i="1"/>
  <c r="D1308" i="1"/>
  <c r="C1259" i="1"/>
  <c r="D1307" i="1"/>
  <c r="C1258" i="1"/>
  <c r="D1306" i="1"/>
  <c r="C1257" i="1"/>
  <c r="C1256" i="1"/>
  <c r="D1305" i="1"/>
  <c r="C1255" i="1"/>
  <c r="D1304" i="1"/>
  <c r="C1254" i="1"/>
  <c r="D1303" i="1"/>
  <c r="D1302" i="1"/>
  <c r="C1253" i="1"/>
  <c r="D1301" i="1"/>
  <c r="C1252" i="1"/>
  <c r="D1300" i="1"/>
  <c r="C1251" i="1"/>
  <c r="D1299" i="1"/>
  <c r="C1250" i="1"/>
  <c r="D1298" i="1"/>
  <c r="C1249" i="1"/>
  <c r="D1297" i="1"/>
  <c r="C1248" i="1"/>
  <c r="C1247" i="1"/>
  <c r="D1296" i="1"/>
  <c r="C1246" i="1"/>
  <c r="D1295" i="1"/>
  <c r="D1294" i="1"/>
  <c r="C1245" i="1"/>
  <c r="D1293" i="1"/>
  <c r="C1244" i="1"/>
  <c r="D1292" i="1"/>
  <c r="C1243" i="1"/>
  <c r="C1242" i="1"/>
  <c r="D1291" i="1"/>
  <c r="D1290" i="1"/>
  <c r="C1241" i="1"/>
  <c r="D1289" i="1"/>
  <c r="C1240" i="1"/>
  <c r="D1288" i="1"/>
  <c r="C1239" i="1"/>
  <c r="D1287" i="1"/>
  <c r="C1238" i="1"/>
  <c r="D1286" i="1"/>
  <c r="C1237" i="1"/>
  <c r="C1236" i="1"/>
  <c r="D1285" i="1"/>
  <c r="D1284" i="1"/>
  <c r="C1235" i="1"/>
  <c r="C1234" i="1"/>
  <c r="D1283" i="1"/>
  <c r="D1282" i="1"/>
  <c r="C1233" i="1"/>
  <c r="D1281" i="1"/>
  <c r="C1232" i="1"/>
  <c r="C1231" i="1"/>
  <c r="D1280" i="1"/>
  <c r="C1230" i="1"/>
  <c r="D1279" i="1"/>
  <c r="C1229" i="1"/>
  <c r="D1278" i="1"/>
  <c r="C1228" i="1"/>
  <c r="D1277" i="1"/>
  <c r="C1227" i="1"/>
  <c r="D1276" i="1"/>
  <c r="D1275" i="1"/>
  <c r="C1226" i="1"/>
  <c r="C1225" i="1"/>
  <c r="D1274" i="1"/>
  <c r="C1224" i="1"/>
  <c r="D1273" i="1"/>
  <c r="C1223" i="1"/>
  <c r="D1272" i="1"/>
  <c r="C1222" i="1"/>
  <c r="D1271" i="1"/>
  <c r="C1221" i="1"/>
  <c r="D1270" i="1"/>
  <c r="D1269" i="1"/>
  <c r="C1220" i="1"/>
  <c r="D1268" i="1"/>
  <c r="C1219" i="1"/>
  <c r="D1267" i="1"/>
  <c r="C1218" i="1"/>
  <c r="D1266" i="1"/>
  <c r="C1217" i="1"/>
  <c r="D1265" i="1"/>
  <c r="C1216" i="1"/>
  <c r="C1215" i="1"/>
  <c r="D1264" i="1"/>
  <c r="C1214" i="1"/>
  <c r="D1263" i="1"/>
  <c r="C1213" i="1"/>
  <c r="D1262" i="1"/>
  <c r="D1261" i="1"/>
  <c r="C1212" i="1"/>
  <c r="D1260" i="1"/>
  <c r="C1211" i="1"/>
  <c r="D1259" i="1"/>
  <c r="C1210" i="1"/>
  <c r="C1209" i="1"/>
  <c r="D1258" i="1"/>
  <c r="D1257" i="1"/>
  <c r="C1208" i="1"/>
  <c r="D1256" i="1"/>
  <c r="C1207" i="1"/>
  <c r="C1206" i="1"/>
  <c r="D1255" i="1"/>
  <c r="D1254" i="1"/>
  <c r="C1205" i="1"/>
  <c r="D1253" i="1"/>
  <c r="C1204" i="1"/>
  <c r="C1203" i="1"/>
  <c r="D1252" i="1"/>
  <c r="C1202" i="1"/>
  <c r="D1251" i="1"/>
  <c r="D1250" i="1"/>
  <c r="C1201" i="1"/>
  <c r="D1249" i="1"/>
  <c r="C1200" i="1"/>
  <c r="C1199" i="1"/>
  <c r="D1248" i="1"/>
  <c r="C1198" i="1"/>
  <c r="D1247" i="1"/>
  <c r="D1246" i="1"/>
  <c r="C1197" i="1"/>
  <c r="D1245" i="1"/>
  <c r="C1196" i="1"/>
  <c r="D1244" i="1"/>
  <c r="C1195" i="1"/>
  <c r="D1243" i="1"/>
  <c r="C1194" i="1"/>
  <c r="D1242" i="1"/>
  <c r="C1193" i="1"/>
  <c r="D1241" i="1"/>
  <c r="C1192" i="1"/>
  <c r="D1240" i="1"/>
  <c r="C1191" i="1"/>
  <c r="D1239" i="1"/>
  <c r="C1190" i="1"/>
  <c r="D1238" i="1"/>
  <c r="C1189" i="1"/>
  <c r="C1188" i="1"/>
  <c r="D1237" i="1"/>
  <c r="D1236" i="1"/>
  <c r="C1187" i="1"/>
  <c r="D1235" i="1"/>
  <c r="C1186" i="1"/>
  <c r="C1185" i="1"/>
  <c r="D1234" i="1"/>
  <c r="C1184" i="1"/>
  <c r="D1233" i="1"/>
  <c r="D1232" i="1"/>
  <c r="C1183" i="1"/>
  <c r="C1182" i="1"/>
  <c r="D1231" i="1"/>
  <c r="C1181" i="1"/>
  <c r="D1230" i="1"/>
  <c r="C1180" i="1"/>
  <c r="D1229" i="1"/>
  <c r="C1179" i="1"/>
  <c r="D1228" i="1"/>
  <c r="C1178" i="1"/>
  <c r="D1227" i="1"/>
  <c r="C1177" i="1"/>
  <c r="D1226" i="1"/>
  <c r="C1176" i="1"/>
  <c r="D1225" i="1"/>
  <c r="C1175" i="1"/>
  <c r="D1224" i="1"/>
  <c r="C1174" i="1"/>
  <c r="D1223" i="1"/>
  <c r="D1222" i="1"/>
  <c r="C1173" i="1"/>
  <c r="C1172" i="1"/>
  <c r="D1221" i="1"/>
  <c r="C1171" i="1"/>
  <c r="D1220" i="1"/>
  <c r="D1219" i="1"/>
  <c r="C1170" i="1"/>
  <c r="D1218" i="1"/>
  <c r="C1169" i="1"/>
  <c r="C1168" i="1"/>
  <c r="D1217" i="1"/>
  <c r="C1167" i="1"/>
  <c r="D1216" i="1"/>
  <c r="C1166" i="1"/>
  <c r="D1215" i="1"/>
  <c r="C1165" i="1"/>
  <c r="D1214" i="1"/>
  <c r="C1164" i="1"/>
  <c r="D1213" i="1"/>
  <c r="C1163" i="1"/>
  <c r="D1212" i="1"/>
  <c r="D1211" i="1"/>
  <c r="C1162" i="1"/>
  <c r="D1210" i="1"/>
  <c r="C1161" i="1"/>
  <c r="D1209" i="1"/>
  <c r="C1160" i="1"/>
  <c r="C1159" i="1"/>
  <c r="D1208" i="1"/>
  <c r="D1207" i="1"/>
  <c r="C1158" i="1"/>
  <c r="D1206" i="1"/>
  <c r="C1157" i="1"/>
  <c r="D1205" i="1"/>
  <c r="C1156" i="1"/>
  <c r="D1204" i="1"/>
  <c r="C1155" i="1"/>
  <c r="D1203" i="1"/>
  <c r="C1154" i="1"/>
  <c r="D1202" i="1"/>
  <c r="C1153" i="1"/>
  <c r="D1201" i="1"/>
  <c r="C1152" i="1"/>
  <c r="D1200" i="1"/>
  <c r="C1151" i="1"/>
  <c r="D1199" i="1"/>
  <c r="C1150" i="1"/>
  <c r="D1198" i="1"/>
  <c r="C1149" i="1"/>
  <c r="C1148" i="1"/>
  <c r="D1197" i="1"/>
  <c r="D1196" i="1"/>
  <c r="C1147" i="1"/>
  <c r="D1195" i="1"/>
  <c r="C1146" i="1"/>
  <c r="D1194" i="1"/>
  <c r="C1145" i="1"/>
  <c r="D1193" i="1"/>
  <c r="C1144" i="1"/>
  <c r="D1192" i="1"/>
  <c r="C1143" i="1"/>
  <c r="D1191" i="1"/>
  <c r="C1142" i="1"/>
  <c r="C1141" i="1"/>
  <c r="D1190" i="1"/>
  <c r="C1140" i="1"/>
  <c r="D1189" i="1"/>
  <c r="D1188" i="1"/>
  <c r="C1139" i="1"/>
  <c r="C1138" i="1"/>
  <c r="D1187" i="1"/>
  <c r="C1137" i="1"/>
  <c r="D1186" i="1"/>
  <c r="D1185" i="1"/>
  <c r="C1136" i="1"/>
  <c r="C1135" i="1"/>
  <c r="D1184" i="1"/>
  <c r="C1134" i="1"/>
  <c r="D1183" i="1"/>
  <c r="D1182" i="1"/>
  <c r="C1133" i="1"/>
  <c r="D1181" i="1"/>
  <c r="C1132" i="1"/>
  <c r="C1131" i="1"/>
  <c r="D1180" i="1"/>
  <c r="D1179" i="1"/>
  <c r="C1130" i="1"/>
  <c r="D1178" i="1"/>
  <c r="C1129" i="1"/>
  <c r="C1128" i="1"/>
  <c r="D1177" i="1"/>
  <c r="D1176" i="1"/>
  <c r="C1127" i="1"/>
  <c r="C1126" i="1"/>
  <c r="D1175" i="1"/>
  <c r="D1174" i="1"/>
  <c r="C1125" i="1"/>
  <c r="D1173" i="1"/>
  <c r="C1124" i="1"/>
  <c r="D1172" i="1"/>
  <c r="C1123" i="1"/>
  <c r="D1171" i="1"/>
  <c r="C1122" i="1"/>
  <c r="D1170" i="1"/>
  <c r="C1121" i="1"/>
  <c r="D1169" i="1"/>
  <c r="C1120" i="1"/>
  <c r="D1168" i="1"/>
  <c r="C1119" i="1"/>
  <c r="D1167" i="1"/>
  <c r="C1118" i="1"/>
  <c r="D1166" i="1"/>
  <c r="C1117" i="1"/>
  <c r="D1165" i="1"/>
  <c r="C1116" i="1"/>
  <c r="D1164" i="1"/>
  <c r="C1115" i="1"/>
  <c r="C1114" i="1"/>
  <c r="D1163" i="1"/>
  <c r="C1113" i="1"/>
  <c r="D1162" i="1"/>
  <c r="D1161" i="1"/>
  <c r="C1112" i="1"/>
  <c r="C1111" i="1"/>
  <c r="D1160" i="1"/>
  <c r="C1110" i="1"/>
  <c r="D1159" i="1"/>
  <c r="C1109" i="1"/>
  <c r="D1158" i="1"/>
  <c r="C1108" i="1"/>
  <c r="D1157" i="1"/>
  <c r="C1107" i="1"/>
  <c r="D1156" i="1"/>
  <c r="C1106" i="1"/>
  <c r="D1155" i="1"/>
  <c r="C1105" i="1"/>
  <c r="D1154" i="1"/>
  <c r="C1104" i="1"/>
  <c r="D1153" i="1"/>
  <c r="C1103" i="1"/>
  <c r="D1152" i="1"/>
  <c r="D1151" i="1"/>
  <c r="C1102" i="1"/>
  <c r="C1101" i="1"/>
  <c r="D1150" i="1"/>
  <c r="D1149" i="1"/>
  <c r="C1100" i="1"/>
  <c r="D1148" i="1"/>
  <c r="C1099" i="1"/>
  <c r="D1147" i="1"/>
  <c r="C1098" i="1"/>
  <c r="D1146" i="1"/>
  <c r="C1097" i="1"/>
  <c r="D1145" i="1"/>
  <c r="C1096" i="1"/>
  <c r="D1144" i="1"/>
  <c r="C1095" i="1"/>
  <c r="C1094" i="1"/>
  <c r="D1143" i="1"/>
  <c r="C1093" i="1"/>
  <c r="D1142" i="1"/>
  <c r="D1141" i="1"/>
  <c r="C1092" i="1"/>
  <c r="C1091" i="1"/>
  <c r="D1140" i="1"/>
  <c r="D1139" i="1"/>
  <c r="C1090" i="1"/>
  <c r="D1138" i="1"/>
  <c r="C1089" i="1"/>
  <c r="C1088" i="1"/>
  <c r="D1137" i="1"/>
  <c r="C1087" i="1"/>
  <c r="D1136" i="1"/>
  <c r="D1135" i="1"/>
  <c r="C1086" i="1"/>
  <c r="D1134" i="1"/>
  <c r="C1085" i="1"/>
  <c r="C1084" i="1"/>
  <c r="D1133" i="1"/>
  <c r="D1132" i="1"/>
  <c r="C1083" i="1"/>
  <c r="D1131" i="1"/>
  <c r="C1082" i="1"/>
  <c r="D1130" i="1"/>
  <c r="C1081" i="1"/>
  <c r="C1080" i="1"/>
  <c r="D1129" i="1"/>
  <c r="C1079" i="1"/>
  <c r="D1128" i="1"/>
  <c r="C1078" i="1"/>
  <c r="D1127" i="1"/>
  <c r="C1077" i="1"/>
  <c r="D1126" i="1"/>
  <c r="C1076" i="1"/>
  <c r="D1125" i="1"/>
  <c r="C1075" i="1"/>
  <c r="D1124" i="1"/>
  <c r="C1074" i="1"/>
  <c r="D1123" i="1"/>
  <c r="C1073" i="1"/>
  <c r="D1122" i="1"/>
  <c r="C1072" i="1"/>
  <c r="D1121" i="1"/>
  <c r="C1071" i="1"/>
  <c r="D1120" i="1"/>
  <c r="D1119" i="1"/>
  <c r="C1070" i="1"/>
  <c r="C1069" i="1"/>
  <c r="D1118" i="1"/>
  <c r="C1068" i="1"/>
  <c r="D1117" i="1"/>
  <c r="C1067" i="1"/>
  <c r="D1116" i="1"/>
  <c r="D1115" i="1"/>
  <c r="C1066" i="1"/>
  <c r="D1114" i="1"/>
  <c r="C1065" i="1"/>
  <c r="C1064" i="1"/>
  <c r="D1113" i="1"/>
  <c r="D1112" i="1"/>
  <c r="C1063" i="1"/>
  <c r="D1111" i="1"/>
  <c r="C1062" i="1"/>
  <c r="D1110" i="1"/>
  <c r="C1061" i="1"/>
  <c r="D1109" i="1"/>
  <c r="C1060" i="1"/>
  <c r="D1108" i="1"/>
  <c r="C1059" i="1"/>
  <c r="C1058" i="1"/>
  <c r="D1107" i="1"/>
  <c r="C1057" i="1"/>
  <c r="D1106" i="1"/>
  <c r="D1105" i="1"/>
  <c r="C1056" i="1"/>
  <c r="D1104" i="1"/>
  <c r="C1055" i="1"/>
  <c r="D1103" i="1"/>
  <c r="C1054" i="1"/>
  <c r="D1102" i="1"/>
  <c r="C1053" i="1"/>
  <c r="C1052" i="1"/>
  <c r="D1101" i="1"/>
  <c r="D1100" i="1"/>
  <c r="C1051" i="1"/>
  <c r="D1099" i="1"/>
  <c r="C1050" i="1"/>
  <c r="D1098" i="1"/>
  <c r="C1049" i="1"/>
  <c r="D1097" i="1"/>
  <c r="C1048" i="1"/>
  <c r="D1096" i="1"/>
  <c r="C1047" i="1"/>
  <c r="C1046" i="1"/>
  <c r="D1095" i="1"/>
  <c r="D1094" i="1"/>
  <c r="C1045" i="1"/>
  <c r="D1093" i="1"/>
  <c r="C1044" i="1"/>
  <c r="D1092" i="1"/>
  <c r="C1043" i="1"/>
  <c r="D1091" i="1"/>
  <c r="C1042" i="1"/>
  <c r="D1090" i="1"/>
  <c r="C1041" i="1"/>
  <c r="D1089" i="1"/>
  <c r="C1040" i="1"/>
  <c r="D1088" i="1"/>
  <c r="C1039" i="1"/>
  <c r="C1038" i="1"/>
  <c r="D1087" i="1"/>
  <c r="C1037" i="1"/>
  <c r="D1086" i="1"/>
  <c r="C1036" i="1"/>
  <c r="D1085" i="1"/>
  <c r="C1035" i="1"/>
  <c r="D1084" i="1"/>
  <c r="C1034" i="1"/>
  <c r="D1083" i="1"/>
  <c r="D1082" i="1"/>
  <c r="C1033" i="1"/>
  <c r="D1081" i="1"/>
  <c r="C1032" i="1"/>
  <c r="C1031" i="1"/>
  <c r="D1080" i="1"/>
  <c r="C1030" i="1"/>
  <c r="D1079" i="1"/>
  <c r="C1029" i="1"/>
  <c r="D1078" i="1"/>
  <c r="C1028" i="1"/>
  <c r="D1077" i="1"/>
  <c r="D1076" i="1"/>
  <c r="C1027" i="1"/>
  <c r="D1075" i="1"/>
  <c r="C1026" i="1"/>
  <c r="D1074" i="1"/>
  <c r="C1025" i="1"/>
  <c r="D1073" i="1"/>
  <c r="C1024" i="1"/>
  <c r="D1072" i="1"/>
  <c r="C1023" i="1"/>
  <c r="C1022" i="1"/>
  <c r="D1071" i="1"/>
  <c r="C1021" i="1"/>
  <c r="D1070" i="1"/>
  <c r="D1069" i="1"/>
  <c r="C1020" i="1"/>
  <c r="C1019" i="1"/>
  <c r="D1068" i="1"/>
  <c r="C1018" i="1"/>
  <c r="D1067" i="1"/>
  <c r="C1017" i="1"/>
  <c r="D1066" i="1"/>
  <c r="D1065" i="1"/>
  <c r="C1016" i="1"/>
  <c r="D1064" i="1"/>
  <c r="C1015" i="1"/>
  <c r="D1063" i="1"/>
  <c r="C1014" i="1"/>
  <c r="D1062" i="1"/>
  <c r="C1013" i="1"/>
  <c r="D1061" i="1"/>
  <c r="C1012" i="1"/>
  <c r="C1011" i="1"/>
  <c r="D1060" i="1"/>
  <c r="C1010" i="1"/>
  <c r="D1059" i="1"/>
  <c r="D1058" i="1"/>
  <c r="C1009" i="1"/>
  <c r="D1057" i="1"/>
  <c r="C1008" i="1"/>
  <c r="D1056" i="1"/>
  <c r="C1007" i="1"/>
  <c r="C1006" i="1"/>
  <c r="D1055" i="1"/>
  <c r="C1005" i="1"/>
  <c r="D1054" i="1"/>
  <c r="D1053" i="1"/>
  <c r="C1004" i="1"/>
  <c r="D1052" i="1"/>
  <c r="C1003" i="1"/>
  <c r="C1002" i="1"/>
  <c r="D1051" i="1"/>
  <c r="C1001" i="1"/>
  <c r="D1050" i="1"/>
  <c r="C1000" i="1"/>
  <c r="D1049" i="1"/>
  <c r="C999" i="1"/>
  <c r="D1048" i="1"/>
  <c r="D1047" i="1"/>
  <c r="C998" i="1"/>
  <c r="D1046" i="1"/>
  <c r="C997" i="1"/>
  <c r="C996" i="1"/>
  <c r="D1045" i="1"/>
  <c r="C995" i="1"/>
  <c r="D1044" i="1"/>
  <c r="D1043" i="1"/>
  <c r="C994" i="1"/>
  <c r="D1042" i="1"/>
  <c r="C993" i="1"/>
  <c r="D1041" i="1"/>
  <c r="C992" i="1"/>
  <c r="D1040" i="1"/>
  <c r="C991" i="1"/>
  <c r="C990" i="1"/>
  <c r="D1039" i="1"/>
  <c r="C989" i="1"/>
  <c r="D1038" i="1"/>
  <c r="C988" i="1"/>
  <c r="D1037" i="1"/>
  <c r="C987" i="1"/>
  <c r="D1036" i="1"/>
  <c r="C986" i="1"/>
  <c r="D1035" i="1"/>
  <c r="C985" i="1"/>
  <c r="D1034" i="1"/>
  <c r="C984" i="1"/>
  <c r="D1033" i="1"/>
  <c r="C983" i="1"/>
  <c r="D1032" i="1"/>
  <c r="C982" i="1"/>
  <c r="D1031" i="1"/>
  <c r="C981" i="1"/>
  <c r="D1030" i="1"/>
  <c r="D1029" i="1"/>
  <c r="C980" i="1"/>
  <c r="D1028" i="1"/>
  <c r="C979" i="1"/>
  <c r="D1027" i="1"/>
  <c r="C978" i="1"/>
  <c r="C977" i="1"/>
  <c r="D1026" i="1"/>
  <c r="D1025" i="1"/>
  <c r="C976" i="1"/>
  <c r="C975" i="1"/>
  <c r="D1024" i="1"/>
  <c r="C974" i="1"/>
  <c r="D1023" i="1"/>
  <c r="C973" i="1"/>
  <c r="D1022" i="1"/>
  <c r="D1021" i="1"/>
  <c r="C972" i="1"/>
  <c r="D1020" i="1"/>
  <c r="C971" i="1"/>
  <c r="C970" i="1"/>
  <c r="D1019" i="1"/>
  <c r="C969" i="1"/>
  <c r="D1018" i="1"/>
  <c r="C968" i="1"/>
  <c r="D1017" i="1"/>
  <c r="D1016" i="1"/>
  <c r="C967" i="1"/>
  <c r="D1015" i="1"/>
  <c r="C966" i="1"/>
  <c r="D1014" i="1"/>
  <c r="C965" i="1"/>
  <c r="D1013" i="1"/>
  <c r="C964" i="1"/>
  <c r="D1012" i="1"/>
  <c r="C963" i="1"/>
  <c r="C962" i="1"/>
  <c r="D1011" i="1"/>
  <c r="D1010" i="1"/>
  <c r="C961" i="1"/>
  <c r="D1009" i="1"/>
  <c r="C960" i="1"/>
  <c r="D1008" i="1"/>
  <c r="C959" i="1"/>
  <c r="D1007" i="1"/>
  <c r="C958" i="1"/>
  <c r="D1006" i="1"/>
  <c r="C957" i="1"/>
  <c r="D1005" i="1"/>
  <c r="C956" i="1"/>
  <c r="D1004" i="1"/>
  <c r="C955" i="1"/>
  <c r="D1003" i="1"/>
  <c r="C954" i="1"/>
  <c r="D1002" i="1"/>
  <c r="C953" i="1"/>
  <c r="D1001" i="1"/>
  <c r="C952" i="1"/>
  <c r="D1000" i="1"/>
  <c r="C951" i="1"/>
  <c r="C950" i="1"/>
  <c r="D999" i="1"/>
  <c r="C949" i="1"/>
  <c r="D998" i="1"/>
  <c r="D997" i="1"/>
  <c r="C948" i="1"/>
  <c r="D976" i="1"/>
  <c r="D977" i="1"/>
  <c r="D978" i="1"/>
  <c r="D979" i="1"/>
  <c r="D980" i="1"/>
  <c r="D981" i="1"/>
  <c r="D982" i="1"/>
  <c r="D984" i="1"/>
  <c r="D985" i="1"/>
  <c r="D986" i="1"/>
  <c r="D987" i="1"/>
  <c r="D995" i="1"/>
  <c r="D989" i="1"/>
  <c r="D990" i="1"/>
  <c r="D991" i="1"/>
  <c r="D992" i="1"/>
  <c r="D996" i="1"/>
  <c r="D993" i="1"/>
  <c r="D994" i="1"/>
  <c r="D988" i="1"/>
  <c r="D948" i="1"/>
  <c r="D955" i="1"/>
  <c r="D968" i="1"/>
  <c r="D949" i="1"/>
  <c r="C947" i="1"/>
  <c r="D964" i="1"/>
  <c r="D962" i="1"/>
  <c r="D960" i="1"/>
  <c r="D971" i="1"/>
  <c r="D954" i="1"/>
  <c r="D983" i="1"/>
  <c r="D970" i="1"/>
  <c r="D967" i="1"/>
  <c r="D959" i="1"/>
  <c r="D956" i="1"/>
  <c r="D950" i="1"/>
  <c r="D972" i="1"/>
  <c r="D961" i="1"/>
  <c r="D958" i="1"/>
  <c r="D973" i="1"/>
  <c r="D965" i="1"/>
  <c r="D953" i="1"/>
  <c r="D952" i="1"/>
  <c r="D974" i="1"/>
  <c r="D969" i="1"/>
  <c r="D966" i="1"/>
  <c r="D951" i="1"/>
  <c r="D975" i="1"/>
  <c r="D957" i="1"/>
  <c r="D963" i="1"/>
  <c r="C896" i="1"/>
  <c r="D945" i="1"/>
  <c r="D944" i="1"/>
  <c r="C895" i="1"/>
  <c r="C894" i="1"/>
  <c r="D943" i="1"/>
  <c r="D942" i="1"/>
  <c r="C893" i="1"/>
  <c r="C892" i="1"/>
  <c r="D941" i="1"/>
  <c r="C891" i="1"/>
  <c r="D940" i="1"/>
  <c r="D939" i="1"/>
  <c r="C890" i="1"/>
  <c r="C889" i="1"/>
  <c r="D938" i="1"/>
  <c r="D937" i="1"/>
  <c r="C888" i="1"/>
  <c r="D936" i="1"/>
  <c r="C887" i="1"/>
  <c r="D935" i="1"/>
  <c r="C886" i="1"/>
  <c r="D934" i="1"/>
  <c r="C885" i="1"/>
  <c r="D933" i="1"/>
  <c r="C884" i="1"/>
  <c r="D932" i="1"/>
  <c r="C883" i="1"/>
  <c r="D931" i="1"/>
  <c r="C882" i="1"/>
  <c r="C881" i="1"/>
  <c r="D930" i="1"/>
  <c r="D929" i="1"/>
  <c r="C880" i="1"/>
  <c r="D928" i="1"/>
  <c r="C879" i="1"/>
  <c r="D927" i="1"/>
  <c r="C878" i="1"/>
  <c r="C877" i="1"/>
  <c r="D926" i="1"/>
  <c r="C876" i="1"/>
  <c r="D925" i="1"/>
  <c r="C875" i="1"/>
  <c r="D924" i="1"/>
  <c r="C874" i="1"/>
  <c r="D923" i="1"/>
  <c r="C873" i="1"/>
  <c r="D922" i="1"/>
  <c r="D921" i="1"/>
  <c r="C872" i="1"/>
  <c r="D920" i="1"/>
  <c r="C871" i="1"/>
  <c r="D919" i="1"/>
  <c r="C870" i="1"/>
  <c r="C869" i="1"/>
  <c r="D918" i="1"/>
  <c r="C868" i="1"/>
  <c r="D917" i="1"/>
  <c r="C867" i="1"/>
  <c r="D916" i="1"/>
  <c r="C866" i="1"/>
  <c r="D915" i="1"/>
  <c r="C865" i="1"/>
  <c r="D914" i="1"/>
  <c r="C864" i="1"/>
  <c r="D913" i="1"/>
  <c r="D912" i="1"/>
  <c r="C863" i="1"/>
  <c r="C862" i="1"/>
  <c r="D911" i="1"/>
  <c r="C861" i="1"/>
  <c r="D910" i="1"/>
  <c r="D909" i="1"/>
  <c r="C860" i="1"/>
  <c r="C859" i="1"/>
  <c r="D908" i="1"/>
  <c r="D907" i="1"/>
  <c r="C858" i="1"/>
  <c r="D906" i="1"/>
  <c r="C857" i="1"/>
  <c r="C856" i="1"/>
  <c r="D905" i="1"/>
  <c r="C855" i="1"/>
  <c r="D904" i="1"/>
  <c r="C854" i="1"/>
  <c r="D903" i="1"/>
  <c r="D902" i="1"/>
  <c r="C853" i="1"/>
  <c r="C852" i="1"/>
  <c r="D901" i="1"/>
  <c r="C851" i="1"/>
  <c r="D900" i="1"/>
  <c r="D899" i="1"/>
  <c r="C850" i="1"/>
  <c r="D898" i="1"/>
  <c r="C849" i="1"/>
  <c r="C848" i="1"/>
  <c r="D897" i="1"/>
  <c r="C847" i="1"/>
  <c r="D896" i="1"/>
  <c r="C846" i="1"/>
  <c r="D895" i="1"/>
  <c r="C845" i="1"/>
  <c r="D894" i="1"/>
  <c r="C844" i="1"/>
  <c r="D893" i="1"/>
  <c r="D892" i="1"/>
  <c r="C843" i="1"/>
  <c r="D891" i="1"/>
  <c r="C842" i="1"/>
  <c r="D890" i="1"/>
  <c r="C841" i="1"/>
  <c r="C840" i="1"/>
  <c r="D889" i="1"/>
  <c r="D888" i="1"/>
  <c r="C839" i="1"/>
  <c r="D887" i="1"/>
  <c r="C838" i="1"/>
  <c r="D886" i="1"/>
  <c r="C837" i="1"/>
  <c r="D885" i="1"/>
  <c r="C836" i="1"/>
  <c r="D884" i="1"/>
  <c r="C835" i="1"/>
  <c r="C834" i="1"/>
  <c r="D883" i="1"/>
  <c r="C833" i="1"/>
  <c r="D882" i="1"/>
  <c r="C832" i="1"/>
  <c r="D881" i="1"/>
  <c r="D880" i="1"/>
  <c r="C831" i="1"/>
  <c r="D879" i="1"/>
  <c r="C830" i="1"/>
  <c r="D878" i="1"/>
  <c r="C829" i="1"/>
  <c r="D877" i="1"/>
  <c r="C828" i="1"/>
  <c r="C827" i="1"/>
  <c r="D876" i="1"/>
  <c r="D875" i="1"/>
  <c r="C826" i="1"/>
  <c r="D874" i="1"/>
  <c r="C825" i="1"/>
  <c r="C824" i="1"/>
  <c r="D873" i="1"/>
  <c r="C823" i="1"/>
  <c r="D872" i="1"/>
  <c r="C822" i="1"/>
  <c r="D871" i="1"/>
  <c r="D870" i="1"/>
  <c r="C821" i="1"/>
  <c r="C820" i="1"/>
  <c r="D869" i="1"/>
  <c r="D868" i="1"/>
  <c r="C819" i="1"/>
  <c r="D867" i="1"/>
  <c r="C818" i="1"/>
  <c r="D866" i="1"/>
  <c r="C817" i="1"/>
  <c r="D865" i="1"/>
  <c r="C816" i="1"/>
  <c r="D864" i="1"/>
  <c r="C815" i="1"/>
  <c r="D863" i="1"/>
  <c r="C814" i="1"/>
  <c r="C813" i="1"/>
  <c r="D862" i="1"/>
  <c r="D861" i="1"/>
  <c r="C812" i="1"/>
  <c r="D860" i="1"/>
  <c r="C811" i="1"/>
  <c r="D859" i="1"/>
  <c r="C810" i="1"/>
  <c r="D858" i="1"/>
  <c r="C809" i="1"/>
  <c r="C808" i="1"/>
  <c r="D857" i="1"/>
  <c r="C807" i="1"/>
  <c r="D856" i="1"/>
  <c r="C806" i="1"/>
  <c r="D855" i="1"/>
  <c r="D854" i="1"/>
  <c r="C805" i="1"/>
  <c r="C804" i="1"/>
  <c r="D853" i="1"/>
  <c r="C803" i="1"/>
  <c r="D852" i="1"/>
  <c r="D851" i="1"/>
  <c r="C802" i="1"/>
  <c r="C801" i="1"/>
  <c r="D850" i="1"/>
  <c r="D849" i="1"/>
  <c r="C800" i="1"/>
  <c r="C799" i="1"/>
  <c r="D848" i="1"/>
  <c r="C798" i="1"/>
  <c r="D847" i="1"/>
  <c r="C797" i="1"/>
  <c r="D846" i="1"/>
  <c r="C796" i="1"/>
  <c r="D845" i="1"/>
  <c r="C795" i="1"/>
  <c r="D844" i="1"/>
  <c r="C794" i="1"/>
  <c r="D843" i="1"/>
  <c r="C793" i="1"/>
  <c r="D842" i="1"/>
  <c r="C792" i="1"/>
  <c r="D841" i="1"/>
  <c r="C791" i="1"/>
  <c r="D840" i="1"/>
  <c r="C790" i="1"/>
  <c r="D839" i="1"/>
  <c r="D838" i="1"/>
  <c r="C789" i="1"/>
  <c r="C788" i="1"/>
  <c r="D837" i="1"/>
  <c r="D836" i="1"/>
  <c r="C787" i="1"/>
  <c r="D835" i="1"/>
  <c r="C786" i="1"/>
  <c r="D834" i="1"/>
  <c r="C785" i="1"/>
  <c r="D833" i="1"/>
  <c r="C784" i="1"/>
  <c r="D832" i="1"/>
  <c r="C783" i="1"/>
  <c r="C782" i="1"/>
  <c r="D831" i="1"/>
  <c r="D830" i="1"/>
  <c r="C781" i="1"/>
  <c r="D829" i="1"/>
  <c r="C780" i="1"/>
  <c r="D828" i="1"/>
  <c r="C779" i="1"/>
  <c r="D827" i="1"/>
  <c r="C778" i="1"/>
  <c r="D826" i="1"/>
  <c r="C777" i="1"/>
  <c r="D825" i="1"/>
  <c r="C776" i="1"/>
  <c r="C775" i="1"/>
  <c r="D824" i="1"/>
  <c r="D823" i="1"/>
  <c r="C774" i="1"/>
  <c r="D822" i="1"/>
  <c r="C773" i="1"/>
  <c r="C772" i="1"/>
  <c r="D821" i="1"/>
  <c r="D820" i="1"/>
  <c r="C771" i="1"/>
  <c r="D819" i="1"/>
  <c r="C770" i="1"/>
  <c r="C769" i="1"/>
  <c r="D818" i="1"/>
  <c r="D817" i="1"/>
  <c r="C768" i="1"/>
  <c r="D816" i="1"/>
  <c r="C767" i="1"/>
  <c r="D815" i="1"/>
  <c r="C766" i="1"/>
  <c r="C765" i="1"/>
  <c r="D814" i="1"/>
  <c r="D813" i="1"/>
  <c r="C764" i="1"/>
  <c r="D812" i="1"/>
  <c r="C763" i="1"/>
  <c r="C762" i="1"/>
  <c r="D811" i="1"/>
  <c r="D810" i="1"/>
  <c r="C761" i="1"/>
  <c r="D809" i="1"/>
  <c r="C760" i="1"/>
  <c r="D808" i="1"/>
  <c r="C759" i="1"/>
  <c r="D807" i="1"/>
  <c r="C758" i="1"/>
  <c r="C757" i="1"/>
  <c r="D806" i="1"/>
  <c r="C756" i="1"/>
  <c r="D805" i="1"/>
  <c r="C755" i="1"/>
  <c r="D804" i="1"/>
  <c r="C754" i="1"/>
  <c r="D803" i="1"/>
  <c r="C753" i="1"/>
  <c r="D802" i="1"/>
  <c r="C752" i="1"/>
  <c r="D801" i="1"/>
  <c r="C751" i="1"/>
  <c r="D800" i="1"/>
  <c r="C750" i="1"/>
  <c r="D799" i="1"/>
  <c r="D798" i="1"/>
  <c r="C749" i="1"/>
  <c r="D797" i="1"/>
  <c r="C748" i="1"/>
  <c r="C747" i="1"/>
  <c r="D796" i="1"/>
  <c r="D795" i="1"/>
  <c r="C746" i="1"/>
  <c r="D794" i="1"/>
  <c r="C745" i="1"/>
  <c r="D793" i="1"/>
  <c r="C744" i="1"/>
  <c r="C743" i="1"/>
  <c r="D792" i="1"/>
  <c r="C742" i="1"/>
  <c r="D791" i="1"/>
  <c r="C741" i="1"/>
  <c r="D790" i="1"/>
  <c r="D789" i="1"/>
  <c r="C740" i="1"/>
  <c r="C739" i="1"/>
  <c r="D788" i="1"/>
  <c r="C738" i="1"/>
  <c r="D787" i="1"/>
  <c r="C737" i="1"/>
  <c r="D786" i="1"/>
  <c r="C736" i="1"/>
  <c r="D785" i="1"/>
  <c r="C735" i="1"/>
  <c r="D784" i="1"/>
  <c r="D783" i="1"/>
  <c r="C734" i="1"/>
  <c r="D782" i="1"/>
  <c r="C733" i="1"/>
  <c r="D781" i="1"/>
  <c r="C732" i="1"/>
  <c r="C731" i="1"/>
  <c r="D780" i="1"/>
  <c r="C730" i="1"/>
  <c r="D779" i="1"/>
  <c r="D778" i="1"/>
  <c r="C729" i="1"/>
  <c r="C728" i="1"/>
  <c r="D777" i="1"/>
  <c r="D776" i="1"/>
  <c r="C727" i="1"/>
  <c r="C726" i="1"/>
  <c r="D775" i="1"/>
  <c r="D774" i="1"/>
  <c r="C725" i="1"/>
  <c r="D773" i="1"/>
  <c r="C724" i="1"/>
  <c r="C723" i="1"/>
  <c r="D772" i="1"/>
  <c r="D771" i="1"/>
  <c r="C722" i="1"/>
  <c r="C721" i="1"/>
  <c r="D770" i="1"/>
  <c r="C720" i="1"/>
  <c r="D769" i="1"/>
  <c r="C719" i="1"/>
  <c r="D768" i="1"/>
  <c r="C718" i="1"/>
  <c r="D767" i="1"/>
  <c r="D766" i="1"/>
  <c r="C717" i="1"/>
  <c r="C716" i="1"/>
  <c r="D765" i="1"/>
  <c r="D764" i="1"/>
  <c r="C715" i="1"/>
  <c r="D763" i="1"/>
  <c r="C714" i="1"/>
  <c r="C713" i="1"/>
  <c r="D762" i="1"/>
  <c r="C712" i="1"/>
  <c r="D761" i="1"/>
  <c r="D760" i="1"/>
  <c r="C711" i="1"/>
  <c r="D759" i="1"/>
  <c r="C710" i="1"/>
  <c r="C709" i="1"/>
  <c r="D758" i="1"/>
  <c r="D757" i="1"/>
  <c r="C708" i="1"/>
  <c r="D756" i="1"/>
  <c r="C707" i="1"/>
  <c r="C706" i="1"/>
  <c r="D755" i="1"/>
  <c r="D754" i="1"/>
  <c r="C705" i="1"/>
  <c r="D753" i="1"/>
  <c r="C704" i="1"/>
  <c r="D752" i="1"/>
  <c r="C703" i="1"/>
  <c r="D751" i="1"/>
  <c r="C702" i="1"/>
  <c r="D750" i="1"/>
  <c r="C701" i="1"/>
  <c r="D749" i="1"/>
  <c r="C700" i="1"/>
  <c r="C699" i="1"/>
  <c r="D748" i="1"/>
  <c r="D747" i="1"/>
  <c r="C698" i="1"/>
  <c r="C697" i="1"/>
  <c r="D746" i="1"/>
  <c r="D745" i="1"/>
  <c r="C696" i="1"/>
  <c r="D744" i="1"/>
  <c r="C695" i="1"/>
  <c r="D743" i="1"/>
  <c r="C694" i="1"/>
  <c r="D742" i="1"/>
  <c r="C693" i="1"/>
  <c r="D741" i="1"/>
  <c r="C692" i="1"/>
  <c r="D740" i="1"/>
  <c r="C691" i="1"/>
  <c r="C690" i="1"/>
  <c r="D739" i="1"/>
  <c r="C689" i="1"/>
  <c r="D738" i="1"/>
  <c r="C688" i="1"/>
  <c r="D737" i="1"/>
  <c r="C687" i="1"/>
  <c r="D736" i="1"/>
  <c r="C686" i="1"/>
  <c r="D735" i="1"/>
  <c r="C685" i="1"/>
  <c r="D734" i="1"/>
  <c r="D733" i="1"/>
  <c r="C684" i="1"/>
  <c r="D732" i="1"/>
  <c r="C683" i="1"/>
  <c r="D731" i="1"/>
  <c r="C682" i="1"/>
  <c r="D730" i="1"/>
  <c r="C681" i="1"/>
  <c r="C680" i="1"/>
  <c r="D729" i="1"/>
  <c r="C679" i="1"/>
  <c r="D728" i="1"/>
  <c r="C678" i="1"/>
  <c r="D727" i="1"/>
  <c r="D726" i="1"/>
  <c r="C677" i="1"/>
  <c r="D725" i="1"/>
  <c r="C676" i="1"/>
  <c r="C675" i="1"/>
  <c r="D724" i="1"/>
  <c r="C674" i="1"/>
  <c r="D723" i="1"/>
  <c r="C673" i="1"/>
  <c r="D722" i="1"/>
  <c r="D721" i="1"/>
  <c r="C672" i="1"/>
  <c r="D720" i="1"/>
  <c r="C671" i="1"/>
  <c r="D719" i="1"/>
  <c r="C670" i="1"/>
  <c r="C669" i="1"/>
  <c r="D718" i="1"/>
  <c r="C668" i="1"/>
  <c r="D717" i="1"/>
  <c r="C667" i="1"/>
  <c r="D716" i="1"/>
  <c r="C666" i="1"/>
  <c r="D715" i="1"/>
  <c r="C665" i="1"/>
  <c r="D714" i="1"/>
  <c r="D713" i="1"/>
  <c r="C664" i="1"/>
  <c r="D712" i="1"/>
  <c r="C663" i="1"/>
  <c r="D711" i="1"/>
  <c r="C662" i="1"/>
  <c r="D710" i="1"/>
  <c r="C661" i="1"/>
  <c r="D709" i="1"/>
  <c r="C660" i="1"/>
  <c r="D708" i="1"/>
  <c r="C659" i="1"/>
  <c r="C658" i="1"/>
  <c r="D707" i="1"/>
  <c r="D706" i="1"/>
  <c r="C657" i="1"/>
  <c r="D705" i="1"/>
  <c r="C656" i="1"/>
  <c r="C655" i="1"/>
  <c r="D704" i="1"/>
  <c r="D703" i="1"/>
  <c r="C654" i="1"/>
  <c r="D702" i="1"/>
  <c r="C653" i="1"/>
  <c r="D701" i="1"/>
  <c r="C652" i="1"/>
  <c r="D700" i="1"/>
  <c r="C651" i="1"/>
  <c r="C650" i="1"/>
  <c r="D699" i="1"/>
  <c r="C649" i="1"/>
  <c r="D698" i="1"/>
  <c r="C648" i="1"/>
  <c r="D697" i="1"/>
  <c r="C647" i="1"/>
  <c r="D696" i="1"/>
  <c r="D695" i="1"/>
  <c r="C646" i="1"/>
  <c r="D694" i="1"/>
  <c r="C645" i="1"/>
  <c r="C644" i="1"/>
  <c r="D693" i="1"/>
  <c r="D692" i="1"/>
  <c r="C643" i="1"/>
  <c r="D691" i="1"/>
  <c r="C642" i="1"/>
  <c r="C641" i="1"/>
  <c r="D690" i="1"/>
  <c r="C640" i="1"/>
  <c r="D689" i="1"/>
  <c r="C639" i="1"/>
  <c r="D688" i="1"/>
  <c r="C638" i="1"/>
  <c r="D687" i="1"/>
  <c r="C637" i="1"/>
  <c r="D686" i="1"/>
  <c r="D685" i="1"/>
  <c r="C636" i="1"/>
  <c r="D684" i="1"/>
  <c r="C635" i="1"/>
  <c r="D683" i="1"/>
  <c r="C634" i="1"/>
  <c r="D682" i="1"/>
  <c r="C633" i="1"/>
  <c r="C632" i="1"/>
  <c r="D681" i="1"/>
  <c r="C631" i="1"/>
  <c r="D680" i="1"/>
  <c r="C630" i="1"/>
  <c r="D679" i="1"/>
  <c r="C629" i="1"/>
  <c r="D678" i="1"/>
  <c r="C628" i="1"/>
  <c r="D677" i="1"/>
  <c r="C627" i="1"/>
  <c r="D676" i="1"/>
  <c r="D675" i="1"/>
  <c r="C626" i="1"/>
  <c r="D674" i="1"/>
  <c r="C625" i="1"/>
  <c r="D673" i="1"/>
  <c r="C624" i="1"/>
  <c r="D672" i="1"/>
  <c r="C623" i="1"/>
  <c r="D671" i="1"/>
  <c r="C622" i="1"/>
  <c r="C621" i="1"/>
  <c r="D670" i="1"/>
  <c r="D669" i="1"/>
  <c r="C620" i="1"/>
  <c r="D668" i="1"/>
  <c r="C619" i="1"/>
  <c r="D667" i="1"/>
  <c r="C618" i="1"/>
  <c r="C617" i="1"/>
  <c r="D666" i="1"/>
  <c r="D665" i="1"/>
  <c r="C616" i="1"/>
  <c r="C615" i="1"/>
  <c r="D664" i="1"/>
  <c r="C614" i="1"/>
  <c r="D663" i="1"/>
  <c r="C613" i="1"/>
  <c r="D662" i="1"/>
  <c r="C612" i="1"/>
  <c r="D661" i="1"/>
  <c r="D660" i="1"/>
  <c r="C611" i="1"/>
  <c r="D659" i="1"/>
  <c r="C610" i="1"/>
  <c r="D658" i="1"/>
  <c r="C609" i="1"/>
  <c r="D657" i="1"/>
  <c r="C608" i="1"/>
  <c r="D656" i="1"/>
  <c r="C607" i="1"/>
  <c r="D655" i="1"/>
  <c r="C606" i="1"/>
  <c r="C605" i="1"/>
  <c r="D654" i="1"/>
  <c r="D653" i="1"/>
  <c r="C604" i="1"/>
  <c r="C603" i="1"/>
  <c r="D652" i="1"/>
  <c r="C602" i="1"/>
  <c r="D651" i="1"/>
  <c r="D650" i="1"/>
  <c r="C601" i="1"/>
  <c r="D649" i="1"/>
  <c r="C600" i="1"/>
  <c r="C599" i="1"/>
  <c r="D648" i="1"/>
  <c r="C598" i="1"/>
  <c r="D647" i="1"/>
  <c r="C597" i="1"/>
  <c r="D646" i="1"/>
  <c r="C596" i="1"/>
  <c r="D645" i="1"/>
  <c r="C595" i="1"/>
  <c r="D644" i="1"/>
  <c r="C594" i="1"/>
  <c r="D643" i="1"/>
  <c r="C593" i="1"/>
  <c r="D642" i="1"/>
  <c r="C592" i="1"/>
  <c r="D641" i="1"/>
  <c r="C591" i="1"/>
  <c r="D640" i="1"/>
  <c r="D639" i="1"/>
  <c r="C590" i="1"/>
  <c r="D638" i="1"/>
  <c r="C589" i="1"/>
  <c r="D637" i="1"/>
  <c r="C588" i="1"/>
  <c r="C587" i="1"/>
  <c r="D636" i="1"/>
  <c r="C586" i="1"/>
  <c r="D635" i="1"/>
  <c r="C585" i="1"/>
  <c r="D634" i="1"/>
  <c r="C584" i="1"/>
  <c r="D633" i="1"/>
  <c r="C583" i="1"/>
  <c r="D632" i="1"/>
  <c r="D631" i="1"/>
  <c r="C582" i="1"/>
  <c r="D630" i="1"/>
  <c r="C581" i="1"/>
  <c r="D629" i="1"/>
  <c r="C580" i="1"/>
  <c r="D628" i="1"/>
  <c r="C579" i="1"/>
  <c r="D627" i="1"/>
  <c r="C578" i="1"/>
  <c r="D626" i="1"/>
  <c r="C577" i="1"/>
  <c r="D625" i="1"/>
  <c r="C576" i="1"/>
  <c r="D624" i="1"/>
  <c r="C575" i="1"/>
  <c r="D623" i="1"/>
  <c r="C574" i="1"/>
  <c r="D622" i="1"/>
  <c r="C573" i="1"/>
  <c r="D621" i="1"/>
  <c r="C572" i="1"/>
  <c r="D620" i="1"/>
  <c r="C571" i="1"/>
  <c r="D619" i="1"/>
  <c r="C570" i="1"/>
  <c r="D618" i="1"/>
  <c r="C569" i="1"/>
  <c r="C568" i="1"/>
  <c r="D617" i="1"/>
  <c r="C567" i="1"/>
  <c r="D616" i="1"/>
  <c r="C566" i="1"/>
  <c r="D615" i="1"/>
  <c r="C565" i="1"/>
  <c r="D614" i="1"/>
  <c r="C564" i="1"/>
  <c r="D613" i="1"/>
  <c r="C563" i="1"/>
  <c r="D612" i="1"/>
  <c r="D611" i="1"/>
  <c r="C562" i="1"/>
  <c r="D610" i="1"/>
  <c r="C561" i="1"/>
  <c r="D595" i="1"/>
  <c r="D594" i="1"/>
  <c r="D593" i="1"/>
  <c r="D592" i="1"/>
  <c r="D607" i="1"/>
  <c r="D602" i="1"/>
  <c r="D601" i="1"/>
  <c r="D596" i="1"/>
  <c r="D590" i="1"/>
  <c r="D608" i="1"/>
  <c r="D598" i="1"/>
  <c r="D587" i="1"/>
  <c r="D599" i="1"/>
  <c r="D570" i="1"/>
  <c r="D609" i="1"/>
  <c r="D580" i="1"/>
  <c r="D586" i="1"/>
  <c r="D569" i="1"/>
  <c r="D591" i="1"/>
  <c r="D585" i="1"/>
  <c r="D568" i="1"/>
  <c r="D597" i="1"/>
  <c r="D567" i="1"/>
  <c r="D571" i="1"/>
  <c r="D566" i="1"/>
  <c r="D584" i="1"/>
  <c r="D565" i="1"/>
  <c r="D600" i="1"/>
  <c r="D564" i="1"/>
  <c r="D574" i="1"/>
  <c r="D563" i="1"/>
  <c r="D583" i="1"/>
  <c r="D562" i="1"/>
  <c r="D575" i="1"/>
  <c r="D561" i="1"/>
  <c r="D560" i="1"/>
  <c r="C560" i="1"/>
  <c r="D582" i="1"/>
  <c r="D581" i="1"/>
  <c r="D576" i="1"/>
  <c r="D572" i="1"/>
  <c r="D573" i="1"/>
  <c r="D577" i="1"/>
  <c r="D578" i="1"/>
  <c r="D579" i="1"/>
  <c r="D588" i="1"/>
  <c r="D606" i="1"/>
  <c r="D605" i="1"/>
  <c r="D604" i="1"/>
  <c r="D589" i="1"/>
  <c r="D603" i="1"/>
  <c r="C509" i="1"/>
  <c r="D558" i="1"/>
  <c r="D557" i="1"/>
  <c r="C508" i="1"/>
  <c r="C507" i="1"/>
  <c r="D556" i="1"/>
  <c r="C506" i="1"/>
  <c r="D555" i="1"/>
  <c r="D554" i="1"/>
  <c r="C505" i="1"/>
  <c r="D553" i="1"/>
  <c r="C504" i="1"/>
  <c r="D552" i="1"/>
  <c r="C503" i="1"/>
  <c r="D551" i="1"/>
  <c r="C502" i="1"/>
  <c r="D550" i="1"/>
  <c r="C501" i="1"/>
  <c r="C500" i="1"/>
  <c r="D549" i="1"/>
  <c r="C499" i="1"/>
  <c r="D548" i="1"/>
  <c r="C498" i="1"/>
  <c r="D547" i="1"/>
  <c r="D546" i="1"/>
  <c r="C497" i="1"/>
  <c r="D545" i="1"/>
  <c r="C496" i="1"/>
  <c r="D544" i="1"/>
  <c r="C495" i="1"/>
  <c r="D543" i="1"/>
  <c r="C494" i="1"/>
  <c r="D542" i="1"/>
  <c r="C493" i="1"/>
  <c r="C492" i="1"/>
  <c r="D541" i="1"/>
  <c r="C491" i="1"/>
  <c r="D540" i="1"/>
  <c r="C490" i="1"/>
  <c r="D539" i="1"/>
  <c r="C489" i="1"/>
  <c r="D538" i="1"/>
  <c r="C488" i="1"/>
  <c r="D537" i="1"/>
  <c r="C487" i="1"/>
  <c r="D536" i="1"/>
  <c r="D535" i="1"/>
  <c r="C486" i="1"/>
  <c r="D534" i="1"/>
  <c r="C485" i="1"/>
  <c r="D533" i="1"/>
  <c r="C484" i="1"/>
  <c r="D532" i="1"/>
  <c r="C483" i="1"/>
  <c r="D531" i="1"/>
  <c r="C482" i="1"/>
  <c r="D530" i="1"/>
  <c r="C481" i="1"/>
  <c r="D529" i="1"/>
  <c r="C480" i="1"/>
  <c r="C479" i="1"/>
  <c r="D528" i="1"/>
  <c r="C478" i="1"/>
  <c r="D527" i="1"/>
  <c r="D526" i="1"/>
  <c r="C477" i="1"/>
  <c r="C476" i="1"/>
  <c r="D525" i="1"/>
  <c r="D524" i="1"/>
  <c r="C475" i="1"/>
  <c r="D523" i="1"/>
  <c r="C474" i="1"/>
  <c r="D522" i="1"/>
  <c r="C473" i="1"/>
  <c r="C472" i="1"/>
  <c r="D521" i="1"/>
  <c r="C471" i="1"/>
  <c r="D520" i="1"/>
  <c r="C470" i="1"/>
  <c r="D519" i="1"/>
  <c r="C469" i="1"/>
  <c r="D518" i="1"/>
  <c r="C468" i="1"/>
  <c r="D517" i="1"/>
  <c r="C467" i="1"/>
  <c r="D516" i="1"/>
  <c r="C466" i="1"/>
  <c r="D515" i="1"/>
  <c r="C465" i="1"/>
  <c r="D514" i="1"/>
  <c r="C464" i="1"/>
  <c r="D513" i="1"/>
  <c r="C463" i="1"/>
  <c r="D512" i="1"/>
  <c r="C462" i="1"/>
  <c r="D511" i="1"/>
  <c r="C461" i="1"/>
  <c r="D510" i="1"/>
  <c r="D509" i="1"/>
  <c r="C460" i="1"/>
  <c r="D508" i="1"/>
  <c r="C459" i="1"/>
  <c r="D507" i="1"/>
  <c r="C458" i="1"/>
  <c r="C457" i="1"/>
  <c r="D506" i="1"/>
  <c r="D505" i="1"/>
  <c r="C456" i="1"/>
  <c r="C455" i="1"/>
  <c r="D504" i="1"/>
  <c r="C454" i="1"/>
  <c r="D503" i="1"/>
  <c r="C453" i="1"/>
  <c r="D502" i="1"/>
  <c r="D501" i="1"/>
  <c r="C452" i="1"/>
  <c r="C451" i="1"/>
  <c r="D500" i="1"/>
  <c r="D499" i="1"/>
  <c r="C450" i="1"/>
  <c r="D498" i="1"/>
  <c r="C449" i="1"/>
  <c r="C448" i="1"/>
  <c r="D497" i="1"/>
  <c r="D496" i="1"/>
  <c r="C447" i="1"/>
  <c r="D495" i="1"/>
  <c r="C446" i="1"/>
  <c r="D494" i="1"/>
  <c r="C445" i="1"/>
  <c r="D493" i="1"/>
  <c r="C444" i="1"/>
  <c r="D492" i="1"/>
  <c r="C443" i="1"/>
  <c r="C442" i="1"/>
  <c r="D491" i="1"/>
  <c r="D490" i="1"/>
  <c r="C441" i="1"/>
  <c r="C440" i="1"/>
  <c r="D489" i="1"/>
  <c r="C439" i="1"/>
  <c r="D488" i="1"/>
  <c r="C438" i="1"/>
  <c r="D487" i="1"/>
  <c r="D486" i="1"/>
  <c r="C437" i="1"/>
  <c r="D485" i="1"/>
  <c r="C436" i="1"/>
  <c r="C435" i="1"/>
  <c r="D484" i="1"/>
  <c r="C434" i="1"/>
  <c r="D483" i="1"/>
  <c r="D482" i="1"/>
  <c r="C433" i="1"/>
  <c r="C432" i="1"/>
  <c r="D481" i="1"/>
  <c r="C431" i="1"/>
  <c r="D480" i="1"/>
  <c r="C430" i="1"/>
  <c r="D479" i="1"/>
  <c r="C429" i="1"/>
  <c r="D478" i="1"/>
  <c r="C428" i="1"/>
  <c r="D477" i="1"/>
  <c r="C427" i="1"/>
  <c r="D476" i="1"/>
  <c r="C426" i="1"/>
  <c r="D475" i="1"/>
  <c r="D474" i="1"/>
  <c r="C425" i="1"/>
  <c r="D473" i="1"/>
  <c r="C424" i="1"/>
  <c r="C423" i="1"/>
  <c r="D472" i="1"/>
  <c r="C422" i="1"/>
  <c r="D471" i="1"/>
  <c r="C421" i="1"/>
  <c r="D470" i="1"/>
  <c r="C420" i="1"/>
  <c r="D469" i="1"/>
  <c r="D468" i="1"/>
  <c r="C419" i="1"/>
  <c r="C418" i="1"/>
  <c r="D467" i="1"/>
  <c r="C417" i="1"/>
  <c r="D466" i="1"/>
  <c r="C416" i="1"/>
  <c r="D465" i="1"/>
  <c r="C415" i="1"/>
  <c r="D464" i="1"/>
  <c r="C414" i="1"/>
  <c r="D463" i="1"/>
  <c r="D462" i="1"/>
  <c r="C413" i="1"/>
  <c r="C412" i="1"/>
  <c r="D461" i="1"/>
  <c r="C411" i="1"/>
  <c r="D460" i="1"/>
  <c r="D459" i="1"/>
  <c r="C410" i="1"/>
  <c r="D458" i="1"/>
  <c r="C409" i="1"/>
  <c r="D457" i="1"/>
  <c r="C408" i="1"/>
  <c r="C407" i="1"/>
  <c r="D456" i="1"/>
  <c r="C406" i="1"/>
  <c r="D455" i="1"/>
  <c r="C405" i="1"/>
  <c r="D454" i="1"/>
  <c r="C404" i="1"/>
  <c r="D453" i="1"/>
  <c r="D452" i="1"/>
  <c r="C403" i="1"/>
  <c r="C402" i="1"/>
  <c r="D451" i="1"/>
  <c r="C401" i="1"/>
  <c r="D450" i="1"/>
  <c r="D449" i="1"/>
  <c r="C400" i="1"/>
  <c r="D448" i="1"/>
  <c r="C399" i="1"/>
  <c r="C398" i="1"/>
  <c r="D447" i="1"/>
  <c r="D446" i="1"/>
  <c r="C397" i="1"/>
  <c r="D445" i="1"/>
  <c r="C396" i="1"/>
  <c r="D444" i="1"/>
  <c r="C395" i="1"/>
  <c r="D443" i="1"/>
  <c r="C394" i="1"/>
  <c r="D442" i="1"/>
  <c r="C393" i="1"/>
  <c r="D441" i="1"/>
  <c r="C392" i="1"/>
  <c r="D440" i="1"/>
  <c r="C391" i="1"/>
  <c r="D439" i="1"/>
  <c r="C390" i="1"/>
  <c r="C389" i="1"/>
  <c r="D438" i="1"/>
  <c r="D437" i="1"/>
  <c r="C388" i="1"/>
  <c r="C387" i="1"/>
  <c r="D436" i="1"/>
  <c r="C386" i="1"/>
  <c r="D435" i="1"/>
  <c r="C385" i="1"/>
  <c r="D434" i="1"/>
  <c r="C384" i="1"/>
  <c r="D433" i="1"/>
  <c r="C383" i="1"/>
  <c r="D432" i="1"/>
  <c r="C382" i="1"/>
  <c r="D431" i="1"/>
  <c r="C381" i="1"/>
  <c r="D430" i="1"/>
  <c r="D429" i="1"/>
  <c r="C380" i="1"/>
  <c r="D428" i="1"/>
  <c r="C379" i="1"/>
  <c r="D427" i="1"/>
  <c r="C378" i="1"/>
  <c r="D426" i="1"/>
  <c r="C377" i="1"/>
  <c r="D425" i="1"/>
  <c r="C376" i="1"/>
  <c r="C375" i="1"/>
  <c r="D424" i="1"/>
  <c r="D423" i="1"/>
  <c r="C374" i="1"/>
  <c r="D422" i="1"/>
  <c r="C373" i="1"/>
  <c r="D421" i="1"/>
  <c r="C372" i="1"/>
  <c r="D420" i="1"/>
  <c r="C371" i="1"/>
  <c r="D419" i="1"/>
  <c r="C370" i="1"/>
  <c r="D418" i="1"/>
  <c r="C369" i="1"/>
  <c r="C368" i="1"/>
  <c r="D417" i="1"/>
  <c r="C367" i="1"/>
  <c r="D416" i="1"/>
  <c r="D415" i="1"/>
  <c r="C366" i="1"/>
  <c r="D414" i="1"/>
  <c r="C365" i="1"/>
  <c r="C364" i="1"/>
  <c r="D413" i="1"/>
  <c r="C363" i="1"/>
  <c r="D412" i="1"/>
  <c r="D411" i="1"/>
  <c r="C362" i="1"/>
  <c r="C361" i="1"/>
  <c r="D410" i="1"/>
  <c r="D409" i="1"/>
  <c r="C360" i="1"/>
  <c r="C359" i="1"/>
  <c r="D408" i="1"/>
  <c r="C358" i="1"/>
  <c r="D407" i="1"/>
  <c r="C357" i="1"/>
  <c r="D406" i="1"/>
  <c r="D405" i="1"/>
  <c r="C356" i="1"/>
  <c r="C355" i="1"/>
  <c r="D404" i="1"/>
  <c r="C354" i="1"/>
  <c r="D403" i="1"/>
  <c r="C353" i="1"/>
  <c r="D402" i="1"/>
  <c r="C352" i="1"/>
  <c r="D401" i="1"/>
  <c r="D400" i="1"/>
  <c r="C351" i="1"/>
  <c r="D399" i="1"/>
  <c r="C350" i="1"/>
  <c r="C349" i="1"/>
  <c r="D398" i="1"/>
  <c r="D397" i="1"/>
  <c r="C348" i="1"/>
  <c r="C347" i="1"/>
  <c r="D396" i="1"/>
  <c r="C346" i="1"/>
  <c r="D395" i="1"/>
  <c r="D394" i="1"/>
  <c r="C345" i="1"/>
  <c r="C344" i="1"/>
  <c r="D393" i="1"/>
  <c r="C343" i="1"/>
  <c r="D392" i="1"/>
  <c r="D391" i="1"/>
  <c r="C342" i="1"/>
  <c r="C341" i="1"/>
  <c r="D390" i="1"/>
  <c r="C340" i="1"/>
  <c r="D389" i="1"/>
  <c r="C339" i="1"/>
  <c r="D388" i="1"/>
  <c r="C338" i="1"/>
  <c r="D387" i="1"/>
  <c r="C337" i="1"/>
  <c r="D386" i="1"/>
  <c r="D385" i="1"/>
  <c r="C336" i="1"/>
  <c r="C335" i="1"/>
  <c r="D384" i="1"/>
  <c r="D383" i="1"/>
  <c r="C334" i="1"/>
  <c r="D382" i="1"/>
  <c r="C333" i="1"/>
  <c r="D381" i="1"/>
  <c r="C332" i="1"/>
  <c r="D380" i="1"/>
  <c r="C331" i="1"/>
  <c r="D379" i="1"/>
  <c r="C330" i="1"/>
  <c r="D378" i="1"/>
  <c r="C329" i="1"/>
  <c r="C328" i="1"/>
  <c r="D377" i="1"/>
  <c r="C327" i="1"/>
  <c r="D376" i="1"/>
  <c r="C326" i="1"/>
  <c r="D375" i="1"/>
  <c r="C325" i="1"/>
  <c r="D374" i="1"/>
  <c r="D373" i="1"/>
  <c r="C324" i="1"/>
  <c r="C323" i="1"/>
  <c r="D372" i="1"/>
  <c r="D371" i="1"/>
  <c r="C322" i="1"/>
  <c r="C321" i="1"/>
  <c r="D370" i="1"/>
  <c r="C320" i="1"/>
  <c r="D369" i="1"/>
  <c r="D368" i="1"/>
  <c r="C319" i="1"/>
  <c r="C318" i="1"/>
  <c r="D367" i="1"/>
  <c r="D366" i="1"/>
  <c r="C317" i="1"/>
  <c r="C316" i="1"/>
  <c r="D365" i="1"/>
  <c r="C315" i="1"/>
  <c r="D364" i="1"/>
  <c r="D363" i="1"/>
  <c r="C314" i="1"/>
  <c r="D362" i="1"/>
  <c r="C313" i="1"/>
  <c r="D361" i="1"/>
  <c r="C312" i="1"/>
  <c r="D360" i="1"/>
  <c r="C311" i="1"/>
  <c r="C310" i="1"/>
  <c r="D359" i="1"/>
  <c r="D358" i="1"/>
  <c r="C309" i="1"/>
  <c r="D357" i="1"/>
  <c r="C308" i="1"/>
  <c r="D356" i="1"/>
  <c r="C307" i="1"/>
  <c r="C306" i="1"/>
  <c r="D355" i="1"/>
  <c r="D354" i="1"/>
  <c r="C305" i="1"/>
  <c r="D353" i="1"/>
  <c r="C304" i="1"/>
  <c r="C303" i="1"/>
  <c r="D352" i="1"/>
  <c r="D351" i="1"/>
  <c r="C302" i="1"/>
  <c r="C301" i="1"/>
  <c r="D350" i="1"/>
  <c r="C300" i="1"/>
  <c r="D349" i="1"/>
  <c r="D348" i="1"/>
  <c r="C299" i="1"/>
  <c r="D347" i="1"/>
  <c r="C298" i="1"/>
  <c r="C297" i="1"/>
  <c r="D346" i="1"/>
  <c r="D345" i="1"/>
  <c r="C296" i="1"/>
  <c r="C295" i="1"/>
  <c r="D344" i="1"/>
  <c r="D343" i="1"/>
  <c r="C294" i="1"/>
  <c r="D342" i="1"/>
  <c r="C293" i="1"/>
  <c r="D341" i="1"/>
  <c r="C292" i="1"/>
  <c r="C291" i="1"/>
  <c r="D340" i="1"/>
  <c r="D339" i="1"/>
  <c r="C290" i="1"/>
  <c r="C289" i="1"/>
  <c r="D338" i="1"/>
  <c r="D337" i="1"/>
  <c r="C288" i="1"/>
  <c r="D336" i="1"/>
  <c r="C287" i="1"/>
  <c r="C286" i="1"/>
  <c r="D335" i="1"/>
  <c r="C285" i="1"/>
  <c r="D334" i="1"/>
  <c r="D333" i="1"/>
  <c r="C284" i="1"/>
  <c r="D332" i="1"/>
  <c r="C283" i="1"/>
  <c r="D331" i="1"/>
  <c r="C282" i="1"/>
  <c r="D330" i="1"/>
  <c r="C281" i="1"/>
  <c r="C280" i="1"/>
  <c r="D329" i="1"/>
  <c r="D328" i="1"/>
  <c r="C279" i="1"/>
  <c r="D327" i="1"/>
  <c r="C278" i="1"/>
  <c r="D326" i="1"/>
  <c r="C277" i="1"/>
  <c r="D325" i="1"/>
  <c r="C276" i="1"/>
  <c r="D324" i="1"/>
  <c r="C275" i="1"/>
  <c r="D323" i="1"/>
  <c r="C274" i="1"/>
  <c r="D322" i="1"/>
  <c r="C273" i="1"/>
  <c r="D321" i="1"/>
  <c r="C272" i="1"/>
  <c r="D320" i="1"/>
  <c r="C271" i="1"/>
  <c r="D319" i="1"/>
  <c r="C270" i="1"/>
  <c r="C269" i="1"/>
  <c r="D318" i="1"/>
  <c r="D317" i="1"/>
  <c r="C268" i="1"/>
  <c r="D316" i="1"/>
  <c r="C267" i="1"/>
  <c r="D315" i="1"/>
  <c r="C266" i="1"/>
  <c r="D314" i="1"/>
  <c r="C265" i="1"/>
  <c r="C264" i="1"/>
  <c r="D313" i="1"/>
  <c r="C263" i="1"/>
  <c r="D312" i="1"/>
  <c r="D311" i="1"/>
  <c r="C262" i="1"/>
  <c r="D310" i="1"/>
  <c r="C261" i="1"/>
  <c r="D309" i="1"/>
  <c r="C260" i="1"/>
  <c r="C259" i="1"/>
  <c r="D308" i="1"/>
  <c r="D307" i="1"/>
  <c r="C258" i="1"/>
  <c r="D306" i="1"/>
  <c r="C257" i="1"/>
  <c r="D305" i="1"/>
  <c r="C256" i="1"/>
  <c r="D304" i="1"/>
  <c r="C255" i="1"/>
  <c r="D303" i="1"/>
  <c r="C254" i="1"/>
  <c r="C253" i="1"/>
  <c r="D302" i="1"/>
  <c r="D301" i="1"/>
  <c r="C252" i="1"/>
  <c r="C251" i="1"/>
  <c r="D300" i="1"/>
  <c r="D299" i="1"/>
  <c r="C250" i="1"/>
  <c r="D298" i="1"/>
  <c r="C249" i="1"/>
  <c r="C248" i="1"/>
  <c r="D297" i="1"/>
  <c r="C247" i="1"/>
  <c r="D296" i="1"/>
  <c r="D295" i="1"/>
  <c r="C246" i="1"/>
  <c r="C245" i="1"/>
  <c r="D294" i="1"/>
  <c r="D293" i="1"/>
  <c r="C244" i="1"/>
  <c r="D292" i="1"/>
  <c r="C243" i="1"/>
  <c r="C242" i="1"/>
  <c r="D291" i="1"/>
  <c r="C241" i="1"/>
  <c r="D290" i="1"/>
  <c r="D289" i="1"/>
  <c r="C240" i="1"/>
  <c r="C239" i="1"/>
  <c r="D288" i="1"/>
  <c r="C238" i="1"/>
  <c r="D287" i="1"/>
  <c r="C237" i="1"/>
  <c r="D286" i="1"/>
  <c r="C236" i="1"/>
  <c r="D285" i="1"/>
  <c r="C235" i="1"/>
  <c r="D284" i="1"/>
  <c r="C234" i="1"/>
  <c r="D283" i="1"/>
  <c r="C233" i="1"/>
  <c r="D282" i="1"/>
  <c r="C232" i="1"/>
  <c r="D281" i="1"/>
  <c r="C231" i="1"/>
  <c r="D280" i="1"/>
  <c r="C230" i="1"/>
  <c r="D279" i="1"/>
  <c r="D278" i="1"/>
  <c r="C229" i="1"/>
  <c r="C228" i="1"/>
  <c r="D277" i="1"/>
  <c r="C227" i="1"/>
  <c r="D276" i="1"/>
  <c r="C226" i="1"/>
  <c r="D275" i="1"/>
  <c r="C225" i="1"/>
  <c r="D274" i="1"/>
  <c r="C224" i="1"/>
  <c r="D273" i="1"/>
  <c r="C223" i="1"/>
  <c r="D272" i="1"/>
  <c r="C222" i="1"/>
  <c r="D271" i="1"/>
  <c r="D270" i="1"/>
  <c r="C221" i="1"/>
  <c r="D269" i="1"/>
  <c r="C220" i="1"/>
  <c r="C219" i="1"/>
  <c r="D268" i="1"/>
  <c r="D267" i="1"/>
  <c r="C218" i="1"/>
  <c r="C217" i="1"/>
  <c r="D266" i="1"/>
  <c r="D265" i="1"/>
  <c r="C216" i="1"/>
  <c r="C215" i="1"/>
  <c r="D264" i="1"/>
  <c r="C214" i="1"/>
  <c r="D263" i="1"/>
  <c r="C213" i="1"/>
  <c r="D262" i="1"/>
  <c r="C212" i="1"/>
  <c r="D261" i="1"/>
  <c r="D260" i="1"/>
  <c r="C211" i="1"/>
  <c r="C210" i="1"/>
  <c r="D259" i="1"/>
  <c r="C209" i="1"/>
  <c r="D258" i="1"/>
  <c r="C208" i="1"/>
  <c r="D257" i="1"/>
  <c r="C207" i="1"/>
  <c r="D256" i="1"/>
  <c r="D255" i="1"/>
  <c r="C206" i="1"/>
  <c r="D254" i="1"/>
  <c r="C205" i="1"/>
  <c r="D253" i="1"/>
  <c r="C204" i="1"/>
  <c r="C203" i="1"/>
  <c r="D252" i="1"/>
  <c r="D251" i="1"/>
  <c r="C202" i="1"/>
  <c r="D250" i="1"/>
  <c r="C201" i="1"/>
  <c r="C200" i="1"/>
  <c r="D249" i="1"/>
  <c r="C199" i="1"/>
  <c r="D248" i="1"/>
  <c r="C198" i="1"/>
  <c r="D247" i="1"/>
  <c r="C197" i="1"/>
  <c r="D246" i="1"/>
  <c r="C196" i="1"/>
  <c r="D245" i="1"/>
  <c r="D244" i="1"/>
  <c r="C195" i="1"/>
  <c r="C194" i="1"/>
  <c r="D243" i="1"/>
  <c r="C193" i="1"/>
  <c r="D242" i="1"/>
  <c r="D241" i="1"/>
  <c r="C192" i="1"/>
  <c r="C191" i="1"/>
  <c r="D240" i="1"/>
  <c r="C190" i="1"/>
  <c r="D239" i="1"/>
  <c r="C189" i="1"/>
  <c r="D238" i="1"/>
  <c r="C188" i="1"/>
  <c r="D237" i="1"/>
  <c r="C187" i="1"/>
  <c r="D236" i="1"/>
  <c r="C186" i="1"/>
  <c r="D235" i="1"/>
  <c r="C185" i="1"/>
  <c r="D234" i="1"/>
  <c r="C184" i="1"/>
  <c r="D233" i="1"/>
  <c r="D232" i="1"/>
  <c r="C183" i="1"/>
  <c r="C182" i="1"/>
  <c r="D231" i="1"/>
  <c r="C181" i="1"/>
  <c r="D230" i="1"/>
  <c r="D229" i="1"/>
  <c r="C180" i="1"/>
  <c r="C179" i="1"/>
  <c r="D228" i="1"/>
  <c r="C178" i="1"/>
  <c r="D227" i="1"/>
  <c r="D226" i="1"/>
  <c r="C177" i="1"/>
  <c r="D225" i="1"/>
  <c r="C176" i="1"/>
  <c r="C175" i="1"/>
  <c r="D224" i="1"/>
  <c r="C174" i="1"/>
  <c r="D223" i="1"/>
  <c r="D222" i="1"/>
  <c r="C173" i="1"/>
  <c r="D221" i="1"/>
  <c r="C172" i="1"/>
  <c r="D220" i="1"/>
  <c r="C171" i="1"/>
  <c r="D219" i="1"/>
  <c r="C170" i="1"/>
  <c r="D218" i="1"/>
  <c r="C169" i="1"/>
  <c r="C168" i="1"/>
  <c r="D217" i="1"/>
  <c r="D216" i="1"/>
  <c r="C167" i="1"/>
  <c r="C166" i="1"/>
  <c r="D215" i="1"/>
  <c r="D214" i="1"/>
  <c r="C165" i="1"/>
  <c r="D213" i="1"/>
  <c r="C164" i="1"/>
  <c r="D212" i="1"/>
  <c r="C163" i="1"/>
  <c r="D211" i="1"/>
  <c r="C162" i="1"/>
  <c r="D210" i="1"/>
  <c r="C161" i="1"/>
  <c r="D209" i="1"/>
  <c r="C160" i="1"/>
  <c r="C159" i="1"/>
  <c r="D208" i="1"/>
  <c r="D207" i="1"/>
  <c r="C158" i="1"/>
  <c r="D206" i="1"/>
  <c r="C157" i="1"/>
  <c r="D205" i="1"/>
  <c r="C156" i="1"/>
  <c r="C155" i="1"/>
  <c r="D204" i="1"/>
  <c r="D203" i="1"/>
  <c r="C154" i="1"/>
  <c r="C153" i="1"/>
  <c r="D202" i="1"/>
  <c r="C152" i="1"/>
  <c r="D201" i="1"/>
  <c r="C151" i="1"/>
  <c r="D200" i="1"/>
  <c r="C150" i="1"/>
  <c r="D199" i="1"/>
  <c r="D198" i="1"/>
  <c r="C149" i="1"/>
  <c r="C148" i="1"/>
  <c r="D197" i="1"/>
  <c r="C147" i="1"/>
  <c r="D196" i="1"/>
  <c r="D195" i="1"/>
  <c r="C146" i="1"/>
  <c r="D194" i="1"/>
  <c r="C145" i="1"/>
  <c r="C144" i="1"/>
  <c r="D193" i="1"/>
  <c r="C143" i="1"/>
  <c r="D192" i="1"/>
  <c r="D191" i="1"/>
  <c r="C142" i="1"/>
  <c r="C141" i="1"/>
  <c r="D190" i="1"/>
  <c r="D189" i="1"/>
  <c r="C140" i="1"/>
  <c r="C139" i="1"/>
  <c r="D188" i="1"/>
  <c r="C138" i="1"/>
  <c r="D187" i="1"/>
  <c r="C137" i="1"/>
  <c r="D186" i="1"/>
  <c r="D185" i="1"/>
  <c r="C136" i="1"/>
  <c r="C135" i="1"/>
  <c r="D184" i="1"/>
  <c r="C134" i="1"/>
  <c r="D183" i="1"/>
  <c r="C133" i="1"/>
  <c r="D182" i="1"/>
  <c r="C132" i="1"/>
  <c r="D181" i="1"/>
  <c r="D180" i="1"/>
  <c r="C131" i="1"/>
  <c r="C130" i="1"/>
  <c r="D179" i="1"/>
  <c r="C129" i="1"/>
  <c r="D178" i="1"/>
  <c r="C128" i="1"/>
  <c r="D177" i="1"/>
  <c r="D176" i="1"/>
  <c r="C127" i="1"/>
  <c r="C126" i="1"/>
  <c r="D175" i="1"/>
  <c r="C125" i="1"/>
  <c r="D174" i="1"/>
  <c r="D173" i="1"/>
  <c r="C124" i="1"/>
  <c r="D172" i="1"/>
  <c r="C123" i="1"/>
  <c r="C122" i="1"/>
  <c r="D171" i="1"/>
  <c r="D170" i="1"/>
  <c r="C121" i="1"/>
  <c r="D169" i="1"/>
  <c r="C120" i="1"/>
  <c r="D168" i="1"/>
  <c r="C119" i="1"/>
  <c r="D167" i="1"/>
  <c r="C118" i="1"/>
  <c r="D166" i="1"/>
  <c r="C117" i="1"/>
  <c r="D165" i="1"/>
  <c r="C116" i="1"/>
  <c r="D164" i="1"/>
  <c r="C115" i="1"/>
  <c r="D163" i="1"/>
  <c r="C114" i="1"/>
  <c r="D162" i="1"/>
  <c r="C113" i="1"/>
  <c r="D161" i="1"/>
  <c r="C112" i="1"/>
  <c r="D160" i="1"/>
  <c r="C111" i="1"/>
  <c r="D159" i="1"/>
  <c r="C110" i="1"/>
  <c r="D158" i="1"/>
  <c r="C109" i="1"/>
  <c r="D157" i="1"/>
  <c r="C108" i="1"/>
  <c r="D156" i="1"/>
  <c r="C107" i="1"/>
  <c r="C106" i="1"/>
  <c r="D155" i="1"/>
  <c r="D154" i="1"/>
  <c r="C105" i="1"/>
  <c r="C104" i="1"/>
  <c r="D153" i="1"/>
  <c r="D152" i="1"/>
  <c r="C103" i="1"/>
  <c r="D151" i="1"/>
  <c r="C102" i="1"/>
  <c r="D150" i="1"/>
  <c r="C101" i="1"/>
  <c r="D149" i="1"/>
  <c r="C100" i="1"/>
  <c r="D148" i="1"/>
  <c r="C99" i="1"/>
  <c r="D147" i="1"/>
  <c r="C98" i="1"/>
  <c r="D146" i="1"/>
  <c r="C97" i="1"/>
  <c r="D145" i="1"/>
  <c r="C96" i="1"/>
  <c r="D144" i="1"/>
  <c r="C95" i="1"/>
  <c r="D143" i="1"/>
  <c r="C94" i="1"/>
  <c r="D142" i="1"/>
  <c r="C93" i="1"/>
  <c r="C92" i="1"/>
  <c r="D141" i="1"/>
  <c r="C91" i="1"/>
  <c r="D140" i="1"/>
  <c r="C90" i="1"/>
  <c r="D139" i="1"/>
  <c r="C89" i="1"/>
  <c r="D138" i="1"/>
  <c r="C88" i="1"/>
  <c r="D137" i="1"/>
  <c r="C87" i="1"/>
  <c r="D136" i="1"/>
  <c r="D135" i="1"/>
  <c r="C86" i="1"/>
  <c r="D134" i="1"/>
  <c r="C85" i="1"/>
  <c r="C84" i="1"/>
  <c r="D133" i="1"/>
  <c r="C83" i="1"/>
  <c r="D132" i="1"/>
  <c r="D131" i="1"/>
  <c r="C82" i="1"/>
  <c r="D130" i="1"/>
  <c r="C81" i="1"/>
  <c r="D129" i="1"/>
  <c r="C80" i="1"/>
  <c r="C79" i="1"/>
  <c r="D128" i="1"/>
  <c r="C78" i="1"/>
  <c r="D127" i="1"/>
  <c r="D126" i="1"/>
  <c r="C77" i="1"/>
  <c r="C76" i="1"/>
  <c r="D125" i="1"/>
  <c r="D124" i="1"/>
  <c r="C75" i="1"/>
  <c r="D123" i="1"/>
  <c r="C74" i="1"/>
  <c r="D122" i="1"/>
  <c r="C73" i="1"/>
  <c r="C72" i="1"/>
  <c r="D121" i="1"/>
  <c r="D120" i="1"/>
  <c r="C71" i="1"/>
  <c r="D119" i="1"/>
  <c r="C70" i="1"/>
  <c r="C69" i="1"/>
  <c r="D118" i="1"/>
  <c r="D117" i="1"/>
  <c r="C68" i="1"/>
  <c r="C67" i="1"/>
  <c r="D116" i="1"/>
  <c r="D115" i="1"/>
  <c r="C66" i="1"/>
  <c r="D114" i="1"/>
  <c r="C65" i="1"/>
  <c r="C64" i="1"/>
  <c r="D113" i="1"/>
  <c r="C63" i="1"/>
  <c r="D112" i="1"/>
  <c r="C62" i="1"/>
  <c r="D111" i="1"/>
  <c r="C61" i="1"/>
  <c r="D110" i="1"/>
  <c r="C60" i="1"/>
  <c r="D109" i="1"/>
  <c r="D108" i="1"/>
  <c r="C59" i="1"/>
  <c r="D107" i="1"/>
  <c r="C58" i="1"/>
  <c r="C57" i="1"/>
  <c r="D106" i="1"/>
  <c r="D105" i="1"/>
  <c r="C56" i="1"/>
  <c r="C55" i="1"/>
  <c r="D104" i="1"/>
  <c r="D103" i="1"/>
  <c r="C54" i="1"/>
  <c r="D102" i="1"/>
  <c r="C53" i="1"/>
  <c r="D101" i="1"/>
  <c r="C52" i="1"/>
  <c r="C51" i="1"/>
  <c r="D100" i="1"/>
  <c r="D99" i="1"/>
  <c r="C50" i="1"/>
  <c r="D98" i="1"/>
  <c r="C49" i="1"/>
  <c r="C48" i="1"/>
  <c r="D97" i="1"/>
  <c r="C47" i="1"/>
  <c r="D96" i="1"/>
  <c r="D95" i="1"/>
  <c r="C46" i="1"/>
  <c r="C45" i="1"/>
  <c r="D94" i="1"/>
  <c r="D93" i="1"/>
  <c r="C44" i="1"/>
  <c r="C43" i="1"/>
  <c r="D92" i="1"/>
  <c r="D91" i="1"/>
  <c r="C42" i="1"/>
  <c r="D90" i="1"/>
  <c r="C41" i="1"/>
  <c r="D89" i="1"/>
  <c r="C40" i="1"/>
  <c r="C39" i="1"/>
  <c r="D88" i="1"/>
  <c r="C38" i="1"/>
  <c r="D87" i="1"/>
  <c r="C37" i="1"/>
  <c r="D86" i="1"/>
  <c r="C36" i="1"/>
  <c r="D85" i="1"/>
  <c r="C35" i="1"/>
  <c r="D84" i="1"/>
  <c r="C34" i="1"/>
  <c r="D83" i="1"/>
  <c r="C33" i="1"/>
  <c r="D82" i="1"/>
  <c r="C32" i="1"/>
  <c r="D81" i="1"/>
  <c r="C31" i="1"/>
  <c r="D80" i="1"/>
  <c r="C30" i="1"/>
  <c r="D79" i="1"/>
  <c r="C29" i="1"/>
  <c r="D78" i="1"/>
  <c r="D77" i="1"/>
  <c r="C28" i="1"/>
  <c r="D76" i="1"/>
  <c r="C27" i="1"/>
  <c r="D75" i="1"/>
  <c r="C26" i="1"/>
  <c r="C25" i="1"/>
  <c r="D74" i="1"/>
  <c r="D73" i="1"/>
  <c r="C24" i="1"/>
  <c r="D72" i="1"/>
  <c r="C23" i="1"/>
  <c r="D71" i="1"/>
  <c r="C22" i="1"/>
  <c r="D70" i="1"/>
  <c r="C21" i="1"/>
  <c r="C20" i="1"/>
  <c r="D69" i="1"/>
  <c r="D68" i="1"/>
  <c r="C19" i="1"/>
  <c r="D67" i="1"/>
  <c r="C18" i="1"/>
  <c r="D66" i="1"/>
  <c r="C17" i="1"/>
  <c r="D65" i="1"/>
  <c r="C16" i="1"/>
  <c r="C15" i="1"/>
  <c r="D64" i="1"/>
  <c r="C14" i="1"/>
  <c r="D63" i="1"/>
  <c r="D62" i="1"/>
  <c r="C13" i="1"/>
  <c r="C12" i="1"/>
  <c r="D61" i="1"/>
  <c r="D60" i="1"/>
  <c r="C11" i="1"/>
  <c r="D59" i="1"/>
  <c r="C10" i="1"/>
  <c r="D58" i="1"/>
  <c r="C9" i="1"/>
  <c r="D57" i="1"/>
  <c r="C8" i="1"/>
  <c r="C7" i="1"/>
  <c r="D56" i="1"/>
  <c r="D55" i="1"/>
  <c r="C6" i="1"/>
  <c r="D54" i="1"/>
  <c r="C5" i="1"/>
  <c r="D53" i="1"/>
  <c r="C4" i="1"/>
  <c r="C3" i="1"/>
  <c r="D52" i="1"/>
  <c r="D51" i="1"/>
  <c r="F3" i="3" l="1"/>
  <c r="F2" i="3"/>
  <c r="F3" i="2"/>
  <c r="F2" i="2"/>
  <c r="F3" i="1"/>
  <c r="F2" i="1"/>
</calcChain>
</file>

<file path=xl/sharedStrings.xml><?xml version="1.0" encoding="utf-8"?>
<sst xmlns="http://schemas.openxmlformats.org/spreadsheetml/2006/main" count="25" uniqueCount="17">
  <si>
    <t>Daily Return</t>
  </si>
  <si>
    <t>50 Day Moving Avg</t>
  </si>
  <si>
    <t>Summary</t>
  </si>
  <si>
    <t>Average Daily Returns</t>
  </si>
  <si>
    <t xml:space="preserve">Volatility </t>
  </si>
  <si>
    <t>CAGR</t>
  </si>
  <si>
    <t>Daily Returns</t>
  </si>
  <si>
    <t>50 Days Moving Avg</t>
  </si>
  <si>
    <t xml:space="preserve">Summary </t>
  </si>
  <si>
    <t>Volatility</t>
  </si>
  <si>
    <t>Company</t>
  </si>
  <si>
    <t>Average Daily Return</t>
  </si>
  <si>
    <t>Volatility(Risk)</t>
  </si>
  <si>
    <t>Sharpee Ratio</t>
  </si>
  <si>
    <t>Reliance</t>
  </si>
  <si>
    <t>TCS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</si>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</sst>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0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1" fillId="2" borderId="0" xfId="0" applyFont="1" applyFill="1"/>
    <xf numFmtId="9" fontId="4" fillId="0" borderId="0" xfId="0" applyNumberFormat="1" applyFont="1"/>
    <xf numFmtId="10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10" fontId="7" fillId="0" borderId="0" xfId="0" applyNumberFormat="1" applyFont="1"/>
    <xf numFmtId="0" fontId="5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Indian Blue-Chip Stocks Analysis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'RISK VS RETURN '!$B$1</c:f>
              <c:strCache>
                <c:ptCount val="1"/>
                <c:pt idx="0">
                  <c:v>Average Daily Return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'RISK VS RETURN '!$C$2:$C$4</c:f>
              <c:numCache>
                <c:formatCode>0.00%</c:formatCode>
                <c:ptCount val="3"/>
                <c:pt idx="0">
                  <c:v>1.7899999999999999E-2</c:v>
                </c:pt>
                <c:pt idx="1">
                  <c:v>1.5100000000000001E-2</c:v>
                </c:pt>
                <c:pt idx="2">
                  <c:v>1.6199999999999999E-2</c:v>
                </c:pt>
              </c:numCache>
            </c:numRef>
          </c:xVal>
          <c:yVal>
            <c:numRef>
              <c:f>'RISK VS RETURN '!$B$2:$B$4</c:f>
              <c:numCache>
                <c:formatCode>0.00%</c:formatCode>
                <c:ptCount val="3"/>
                <c:pt idx="0">
                  <c:v>6.9999999999999999E-4</c:v>
                </c:pt>
                <c:pt idx="1">
                  <c:v>4.0000000000000002E-4</c:v>
                </c:pt>
                <c:pt idx="2">
                  <c:v>4.0000000000000002E-4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B5-4F65-BABF-67F93920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20571"/>
        <c:axId val="1432342973"/>
      </c:scatterChart>
      <c:valAx>
        <c:axId val="651720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Daily Return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2342973"/>
        <c:crosses val="autoZero"/>
        <c:crossBetween val="midCat"/>
      </c:valAx>
      <c:valAx>
        <c:axId val="1432342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Volatility(Risk)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72057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986"/>
  <sheetViews>
    <sheetView showGridLines="0" workbookViewId="0">
      <selection activeCell="D2" sqref="D2"/>
    </sheetView>
  </sheetViews>
  <sheetFormatPr defaultColWidth="12.5703125" defaultRowHeight="15.75" customHeight="1" x14ac:dyDescent="0.2"/>
  <cols>
    <col min="1" max="1" width="18.140625" bestFit="1" customWidth="1"/>
    <col min="2" max="2" width="8" bestFit="1" customWidth="1"/>
    <col min="3" max="3" width="14.85546875" bestFit="1" customWidth="1"/>
    <col min="4" max="4" width="22.5703125" bestFit="1" customWidth="1"/>
    <col min="5" max="5" width="21.5703125" bestFit="1" customWidth="1"/>
    <col min="6" max="6" width="7" bestFit="1" customWidth="1"/>
  </cols>
  <sheetData>
    <row r="1" spans="1:6" ht="15" x14ac:dyDescent="0.25">
      <c r="A1" s="18" t="str">
        <f ca="1">IFERROR(__xludf.DUMMYFUNCTION("GOOGLEFINANCE(""NSE:RELIANCE"", ""PRICE"", DATE(2020,1,1), DATE(2025,12,31), ""DAILY"")"),"Date")</f>
        <v>Date</v>
      </c>
      <c r="B1" s="18" t="str">
        <f ca="1">IFERROR(__xludf.DUMMYFUNCTION("""COMPUTED_VALUE"""),"Close")</f>
        <v>Close</v>
      </c>
      <c r="C1" s="19" t="s">
        <v>0</v>
      </c>
      <c r="D1" s="18" t="s">
        <v>1</v>
      </c>
      <c r="E1" s="18" t="s">
        <v>2</v>
      </c>
      <c r="F1" s="3"/>
    </row>
    <row r="2" spans="1:6" ht="12.75" x14ac:dyDescent="0.2">
      <c r="A2" s="13">
        <f ca="1">IFERROR(__xludf.DUMMYFUNCTION("""COMPUTED_VALUE"""),43831.6458333333)</f>
        <v>43831.645833333299</v>
      </c>
      <c r="B2" s="14">
        <f ca="1">IFERROR(__xludf.DUMMYFUNCTION("""COMPUTED_VALUE"""),747.71)</f>
        <v>747.71</v>
      </c>
      <c r="C2" s="15"/>
      <c r="D2" s="14"/>
      <c r="E2" s="16" t="s">
        <v>3</v>
      </c>
      <c r="F2" s="11">
        <f ca="1">AVERAGE(C3:C1485)</f>
        <v>6.6102593461138956E-4</v>
      </c>
    </row>
    <row r="3" spans="1:6" ht="12.75" x14ac:dyDescent="0.2">
      <c r="A3" s="13">
        <f ca="1">IFERROR(__xludf.DUMMYFUNCTION("""COMPUTED_VALUE"""),43832.6458333333)</f>
        <v>43832.645833333299</v>
      </c>
      <c r="B3" s="14">
        <f ca="1">IFERROR(__xludf.DUMMYFUNCTION("""COMPUTED_VALUE"""),760.44)</f>
        <v>760.44</v>
      </c>
      <c r="C3" s="15">
        <f t="shared" ref="C3:C257" ca="1" si="0">(B3/B2)-1</f>
        <v>1.7025317302162613E-2</v>
      </c>
      <c r="D3" s="14"/>
      <c r="E3" s="16" t="s">
        <v>4</v>
      </c>
      <c r="F3" s="11">
        <f ca="1">STDEV(C:C)</f>
        <v>1.7942457402999018E-2</v>
      </c>
    </row>
    <row r="4" spans="1:6" ht="12.75" x14ac:dyDescent="0.2">
      <c r="A4" s="13">
        <f ca="1">IFERROR(__xludf.DUMMYFUNCTION("""COMPUTED_VALUE"""),43833.6458333333)</f>
        <v>43833.645833333299</v>
      </c>
      <c r="B4" s="14">
        <f ca="1">IFERROR(__xludf.DUMMYFUNCTION("""COMPUTED_VALUE"""),761.36)</f>
        <v>761.36</v>
      </c>
      <c r="C4" s="15">
        <f t="shared" ca="1" si="0"/>
        <v>1.2098258902739634E-3</v>
      </c>
      <c r="D4" s="14"/>
      <c r="E4" s="16" t="s">
        <v>5</v>
      </c>
      <c r="F4" s="11">
        <f ca="1">(B1485/B2)^(1/5)-1</f>
        <v>0.15999313632500267</v>
      </c>
    </row>
    <row r="5" spans="1:6" ht="15.75" customHeight="1" x14ac:dyDescent="0.2">
      <c r="A5" s="13">
        <f ca="1">IFERROR(__xludf.DUMMYFUNCTION("""COMPUTED_VALUE"""),43836.6458333333)</f>
        <v>43836.645833333299</v>
      </c>
      <c r="B5" s="14">
        <f ca="1">IFERROR(__xludf.DUMMYFUNCTION("""COMPUTED_VALUE"""),743.7)</f>
        <v>743.7</v>
      </c>
      <c r="C5" s="15">
        <f t="shared" ca="1" si="0"/>
        <v>-2.3195334664284917E-2</v>
      </c>
      <c r="D5" s="14"/>
      <c r="E5" s="3"/>
      <c r="F5" s="3"/>
    </row>
    <row r="6" spans="1:6" ht="15.75" customHeight="1" x14ac:dyDescent="0.2">
      <c r="A6" s="13">
        <f ca="1">IFERROR(__xludf.DUMMYFUNCTION("""COMPUTED_VALUE"""),43837.6458333333)</f>
        <v>43837.645833333299</v>
      </c>
      <c r="B6" s="14">
        <f ca="1">IFERROR(__xludf.DUMMYFUNCTION("""COMPUTED_VALUE"""),755.14)</f>
        <v>755.14</v>
      </c>
      <c r="C6" s="15">
        <f t="shared" ca="1" si="0"/>
        <v>1.5382546725830171E-2</v>
      </c>
      <c r="D6" s="14"/>
      <c r="E6" s="3"/>
      <c r="F6" s="3"/>
    </row>
    <row r="7" spans="1:6" ht="15.75" customHeight="1" x14ac:dyDescent="0.2">
      <c r="A7" s="13">
        <f ca="1">IFERROR(__xludf.DUMMYFUNCTION("""COMPUTED_VALUE"""),43838.6458333333)</f>
        <v>43838.645833333299</v>
      </c>
      <c r="B7" s="14">
        <f ca="1">IFERROR(__xludf.DUMMYFUNCTION("""COMPUTED_VALUE"""),749.47)</f>
        <v>749.47</v>
      </c>
      <c r="C7" s="15">
        <f t="shared" ca="1" si="0"/>
        <v>-7.508541462510232E-3</v>
      </c>
      <c r="D7" s="14"/>
      <c r="E7" s="3"/>
      <c r="F7" s="3"/>
    </row>
    <row r="8" spans="1:6" ht="15.75" customHeight="1" x14ac:dyDescent="0.2">
      <c r="A8" s="13">
        <f ca="1">IFERROR(__xludf.DUMMYFUNCTION("""COMPUTED_VALUE"""),43839.6458333333)</f>
        <v>43839.645833333299</v>
      </c>
      <c r="B8" s="14">
        <f ca="1">IFERROR(__xludf.DUMMYFUNCTION("""COMPUTED_VALUE"""),766.73)</f>
        <v>766.73</v>
      </c>
      <c r="C8" s="15">
        <f t="shared" ca="1" si="0"/>
        <v>2.3029607589363232E-2</v>
      </c>
      <c r="D8" s="14"/>
      <c r="E8" s="3"/>
      <c r="F8" s="3"/>
    </row>
    <row r="9" spans="1:6" ht="15.75" customHeight="1" x14ac:dyDescent="0.2">
      <c r="A9" s="13">
        <f ca="1">IFERROR(__xludf.DUMMYFUNCTION("""COMPUTED_VALUE"""),43840.6458333333)</f>
        <v>43840.645833333299</v>
      </c>
      <c r="B9" s="14">
        <f ca="1">IFERROR(__xludf.DUMMYFUNCTION("""COMPUTED_VALUE"""),766.56)</f>
        <v>766.56</v>
      </c>
      <c r="C9" s="15">
        <f t="shared" ca="1" si="0"/>
        <v>-2.217208143675542E-4</v>
      </c>
      <c r="D9" s="14"/>
      <c r="E9" s="3"/>
      <c r="F9" s="3"/>
    </row>
    <row r="10" spans="1:6" ht="15.75" customHeight="1" x14ac:dyDescent="0.2">
      <c r="A10" s="13">
        <f ca="1">IFERROR(__xludf.DUMMYFUNCTION("""COMPUTED_VALUE"""),43843.6458333333)</f>
        <v>43843.645833333299</v>
      </c>
      <c r="B10" s="14">
        <f ca="1">IFERROR(__xludf.DUMMYFUNCTION("""COMPUTED_VALUE"""),764.6)</f>
        <v>764.6</v>
      </c>
      <c r="C10" s="15">
        <f t="shared" ca="1" si="0"/>
        <v>-2.5568774786056681E-3</v>
      </c>
      <c r="D10" s="14"/>
      <c r="E10" s="3"/>
      <c r="F10" s="3"/>
    </row>
    <row r="11" spans="1:6" ht="15.75" customHeight="1" x14ac:dyDescent="0.2">
      <c r="A11" s="13">
        <f ca="1">IFERROR(__xludf.DUMMYFUNCTION("""COMPUTED_VALUE"""),43844.6458333333)</f>
        <v>43844.645833333299</v>
      </c>
      <c r="B11" s="14">
        <f ca="1">IFERROR(__xludf.DUMMYFUNCTION("""COMPUTED_VALUE"""),757.52)</f>
        <v>757.52</v>
      </c>
      <c r="C11" s="15">
        <f t="shared" ca="1" si="0"/>
        <v>-9.2597436568140346E-3</v>
      </c>
      <c r="D11" s="14"/>
      <c r="E11" s="3"/>
      <c r="F11" s="3"/>
    </row>
    <row r="12" spans="1:6" ht="15.75" customHeight="1" x14ac:dyDescent="0.2">
      <c r="A12" s="13">
        <f ca="1">IFERROR(__xludf.DUMMYFUNCTION("""COMPUTED_VALUE"""),43845.6458333333)</f>
        <v>43845.645833333299</v>
      </c>
      <c r="B12" s="14">
        <f ca="1">IFERROR(__xludf.DUMMYFUNCTION("""COMPUTED_VALUE"""),754.77)</f>
        <v>754.77</v>
      </c>
      <c r="C12" s="15">
        <f t="shared" ca="1" si="0"/>
        <v>-3.630267187665015E-3</v>
      </c>
      <c r="D12" s="14"/>
      <c r="E12" s="3"/>
      <c r="F12" s="3"/>
    </row>
    <row r="13" spans="1:6" ht="15.75" customHeight="1" x14ac:dyDescent="0.2">
      <c r="A13" s="13">
        <f ca="1">IFERROR(__xludf.DUMMYFUNCTION("""COMPUTED_VALUE"""),43846.6458333333)</f>
        <v>43846.645833333299</v>
      </c>
      <c r="B13" s="14">
        <f ca="1">IFERROR(__xludf.DUMMYFUNCTION("""COMPUTED_VALUE"""),761.73)</f>
        <v>761.73</v>
      </c>
      <c r="C13" s="15">
        <f t="shared" ca="1" si="0"/>
        <v>9.2213522000079706E-3</v>
      </c>
      <c r="D13" s="14"/>
      <c r="E13" s="3"/>
      <c r="F13" s="3"/>
    </row>
    <row r="14" spans="1:6" ht="15.75" customHeight="1" x14ac:dyDescent="0.2">
      <c r="A14" s="13">
        <f ca="1">IFERROR(__xludf.DUMMYFUNCTION("""COMPUTED_VALUE"""),43847.6458333333)</f>
        <v>43847.645833333299</v>
      </c>
      <c r="B14" s="14">
        <f ca="1">IFERROR(__xludf.DUMMYFUNCTION("""COMPUTED_VALUE"""),783.08)</f>
        <v>783.08</v>
      </c>
      <c r="C14" s="15">
        <f t="shared" ca="1" si="0"/>
        <v>2.8028303992228221E-2</v>
      </c>
      <c r="D14" s="14"/>
      <c r="E14" s="3"/>
      <c r="F14" s="3"/>
    </row>
    <row r="15" spans="1:6" ht="15.75" customHeight="1" x14ac:dyDescent="0.2">
      <c r="A15" s="13">
        <f ca="1">IFERROR(__xludf.DUMMYFUNCTION("""COMPUTED_VALUE"""),43850.6458333333)</f>
        <v>43850.645833333299</v>
      </c>
      <c r="B15" s="14">
        <f ca="1">IFERROR(__xludf.DUMMYFUNCTION("""COMPUTED_VALUE"""),758.98)</f>
        <v>758.98</v>
      </c>
      <c r="C15" s="15">
        <f t="shared" ca="1" si="0"/>
        <v>-3.0775910507227944E-2</v>
      </c>
      <c r="D15" s="14"/>
      <c r="E15" s="3"/>
      <c r="F15" s="3"/>
    </row>
    <row r="16" spans="1:6" ht="15.75" customHeight="1" x14ac:dyDescent="0.2">
      <c r="A16" s="13">
        <f ca="1">IFERROR(__xludf.DUMMYFUNCTION("""COMPUTED_VALUE"""),43851.6458333333)</f>
        <v>43851.645833333299</v>
      </c>
      <c r="B16" s="14">
        <f ca="1">IFERROR(__xludf.DUMMYFUNCTION("""COMPUTED_VALUE"""),759.75)</f>
        <v>759.75</v>
      </c>
      <c r="C16" s="15">
        <f t="shared" ca="1" si="0"/>
        <v>1.0145194866795215E-3</v>
      </c>
      <c r="D16" s="14"/>
      <c r="E16" s="3"/>
      <c r="F16" s="3"/>
    </row>
    <row r="17" spans="1:6" ht="15.75" customHeight="1" x14ac:dyDescent="0.2">
      <c r="A17" s="13">
        <f ca="1">IFERROR(__xludf.DUMMYFUNCTION("""COMPUTED_VALUE"""),43852.6458333333)</f>
        <v>43852.645833333299</v>
      </c>
      <c r="B17" s="14">
        <f ca="1">IFERROR(__xludf.DUMMYFUNCTION("""COMPUTED_VALUE"""),759.48)</f>
        <v>759.48</v>
      </c>
      <c r="C17" s="15">
        <f t="shared" ca="1" si="0"/>
        <v>-3.5538005922997051E-4</v>
      </c>
      <c r="D17" s="14"/>
      <c r="E17" s="3"/>
      <c r="F17" s="3"/>
    </row>
    <row r="18" spans="1:6" ht="15.75" customHeight="1" x14ac:dyDescent="0.2">
      <c r="A18" s="13">
        <f ca="1">IFERROR(__xludf.DUMMYFUNCTION("""COMPUTED_VALUE"""),43853.6458333333)</f>
        <v>43853.645833333299</v>
      </c>
      <c r="B18" s="14">
        <f ca="1">IFERROR(__xludf.DUMMYFUNCTION("""COMPUTED_VALUE"""),756.26)</f>
        <v>756.26</v>
      </c>
      <c r="C18" s="15">
        <f t="shared" ca="1" si="0"/>
        <v>-4.2397429820403287E-3</v>
      </c>
      <c r="D18" s="14"/>
      <c r="E18" s="3"/>
      <c r="F18" s="3"/>
    </row>
    <row r="19" spans="1:6" ht="15.75" customHeight="1" x14ac:dyDescent="0.2">
      <c r="A19" s="13">
        <f ca="1">IFERROR(__xludf.DUMMYFUNCTION("""COMPUTED_VALUE"""),43854.6458333333)</f>
        <v>43854.645833333299</v>
      </c>
      <c r="B19" s="14">
        <f ca="1">IFERROR(__xludf.DUMMYFUNCTION("""COMPUTED_VALUE"""),753.63)</f>
        <v>753.63</v>
      </c>
      <c r="C19" s="15">
        <f t="shared" ca="1" si="0"/>
        <v>-3.477639965091317E-3</v>
      </c>
      <c r="D19" s="14"/>
      <c r="E19" s="3"/>
      <c r="F19" s="3"/>
    </row>
    <row r="20" spans="1:6" ht="15.75" customHeight="1" x14ac:dyDescent="0.2">
      <c r="A20" s="13">
        <f ca="1">IFERROR(__xludf.DUMMYFUNCTION("""COMPUTED_VALUE"""),43857.6458333333)</f>
        <v>43857.645833333299</v>
      </c>
      <c r="B20" s="14">
        <f ca="1">IFERROR(__xludf.DUMMYFUNCTION("""COMPUTED_VALUE"""),746.2)</f>
        <v>746.2</v>
      </c>
      <c r="C20" s="15">
        <f t="shared" ca="1" si="0"/>
        <v>-9.8589493518038696E-3</v>
      </c>
      <c r="D20" s="14"/>
      <c r="E20" s="3"/>
      <c r="F20" s="3"/>
    </row>
    <row r="21" spans="1:6" ht="15.75" customHeight="1" x14ac:dyDescent="0.2">
      <c r="A21" s="13">
        <f ca="1">IFERROR(__xludf.DUMMYFUNCTION("""COMPUTED_VALUE"""),43858.6458333333)</f>
        <v>43858.645833333299</v>
      </c>
      <c r="B21" s="14">
        <f ca="1">IFERROR(__xludf.DUMMYFUNCTION("""COMPUTED_VALUE"""),728.96)</f>
        <v>728.96</v>
      </c>
      <c r="C21" s="15">
        <f t="shared" ca="1" si="0"/>
        <v>-2.3103725542749975E-2</v>
      </c>
      <c r="D21" s="14"/>
      <c r="E21" s="3"/>
      <c r="F21" s="3"/>
    </row>
    <row r="22" spans="1:6" ht="15.75" customHeight="1" x14ac:dyDescent="0.2">
      <c r="A22" s="13">
        <f ca="1">IFERROR(__xludf.DUMMYFUNCTION("""COMPUTED_VALUE"""),43859.6458333333)</f>
        <v>43859.645833333299</v>
      </c>
      <c r="B22" s="14">
        <f ca="1">IFERROR(__xludf.DUMMYFUNCTION("""COMPUTED_VALUE"""),732.98)</f>
        <v>732.98</v>
      </c>
      <c r="C22" s="15">
        <f t="shared" ca="1" si="0"/>
        <v>5.5147058823528106E-3</v>
      </c>
      <c r="D22" s="14"/>
      <c r="E22" s="3"/>
      <c r="F22" s="3"/>
    </row>
    <row r="23" spans="1:6" ht="15.75" customHeight="1" x14ac:dyDescent="0.2">
      <c r="A23" s="13">
        <f ca="1">IFERROR(__xludf.DUMMYFUNCTION("""COMPUTED_VALUE"""),43860.6458333333)</f>
        <v>43860.645833333299</v>
      </c>
      <c r="B23" s="14">
        <f ca="1">IFERROR(__xludf.DUMMYFUNCTION("""COMPUTED_VALUE"""),715.1)</f>
        <v>715.1</v>
      </c>
      <c r="C23" s="15">
        <f t="shared" ca="1" si="0"/>
        <v>-2.4393571448061313E-2</v>
      </c>
      <c r="D23" s="14"/>
      <c r="E23" s="3"/>
      <c r="F23" s="3"/>
    </row>
    <row r="24" spans="1:6" ht="15.75" customHeight="1" x14ac:dyDescent="0.2">
      <c r="A24" s="13">
        <f ca="1">IFERROR(__xludf.DUMMYFUNCTION("""COMPUTED_VALUE"""),43861.6458333333)</f>
        <v>43861.645833333299</v>
      </c>
      <c r="B24" s="14">
        <f ca="1">IFERROR(__xludf.DUMMYFUNCTION("""COMPUTED_VALUE"""),699.2)</f>
        <v>699.2</v>
      </c>
      <c r="C24" s="15">
        <f t="shared" ca="1" si="0"/>
        <v>-2.2234652496154306E-2</v>
      </c>
      <c r="D24" s="14"/>
      <c r="E24" s="3"/>
      <c r="F24" s="3"/>
    </row>
    <row r="25" spans="1:6" ht="15.75" customHeight="1" x14ac:dyDescent="0.2">
      <c r="A25" s="13">
        <f ca="1">IFERROR(__xludf.DUMMYFUNCTION("""COMPUTED_VALUE"""),43862.7083333333)</f>
        <v>43862.708333333299</v>
      </c>
      <c r="B25" s="14">
        <f ca="1">IFERROR(__xludf.DUMMYFUNCTION("""COMPUTED_VALUE"""),681.54)</f>
        <v>681.54</v>
      </c>
      <c r="C25" s="15">
        <f t="shared" ca="1" si="0"/>
        <v>-2.5257437070938304E-2</v>
      </c>
      <c r="D25" s="14"/>
      <c r="E25" s="3"/>
      <c r="F25" s="3"/>
    </row>
    <row r="26" spans="1:6" ht="15.75" customHeight="1" x14ac:dyDescent="0.2">
      <c r="A26" s="13">
        <f ca="1">IFERROR(__xludf.DUMMYFUNCTION("""COMPUTED_VALUE"""),43864.6458333333)</f>
        <v>43864.645833333299</v>
      </c>
      <c r="B26" s="14">
        <f ca="1">IFERROR(__xludf.DUMMYFUNCTION("""COMPUTED_VALUE"""),686.24)</f>
        <v>686.24</v>
      </c>
      <c r="C26" s="15">
        <f t="shared" ca="1" si="0"/>
        <v>6.8961469612935922E-3</v>
      </c>
      <c r="D26" s="14"/>
      <c r="E26" s="3"/>
      <c r="F26" s="3"/>
    </row>
    <row r="27" spans="1:6" ht="15.75" customHeight="1" x14ac:dyDescent="0.2">
      <c r="A27" s="13">
        <f ca="1">IFERROR(__xludf.DUMMYFUNCTION("""COMPUTED_VALUE"""),43865.6458333333)</f>
        <v>43865.645833333299</v>
      </c>
      <c r="B27" s="14">
        <f ca="1">IFERROR(__xludf.DUMMYFUNCTION("""COMPUTED_VALUE"""),706.5)</f>
        <v>706.5</v>
      </c>
      <c r="C27" s="15">
        <f t="shared" ca="1" si="0"/>
        <v>2.952319888085797E-2</v>
      </c>
      <c r="D27" s="14"/>
      <c r="E27" s="3"/>
      <c r="F27" s="3"/>
    </row>
    <row r="28" spans="1:6" ht="15.75" customHeight="1" x14ac:dyDescent="0.2">
      <c r="A28" s="13">
        <f ca="1">IFERROR(__xludf.DUMMYFUNCTION("""COMPUTED_VALUE"""),43866.6458333333)</f>
        <v>43866.645833333299</v>
      </c>
      <c r="B28" s="14">
        <f ca="1">IFERROR(__xludf.DUMMYFUNCTION("""COMPUTED_VALUE"""),717.45)</f>
        <v>717.45</v>
      </c>
      <c r="C28" s="15">
        <f t="shared" ca="1" si="0"/>
        <v>1.5498938428874842E-2</v>
      </c>
      <c r="D28" s="14"/>
      <c r="E28" s="3"/>
      <c r="F28" s="3"/>
    </row>
    <row r="29" spans="1:6" ht="15.75" customHeight="1" x14ac:dyDescent="0.2">
      <c r="A29" s="13">
        <f ca="1">IFERROR(__xludf.DUMMYFUNCTION("""COMPUTED_VALUE"""),43867.6458333333)</f>
        <v>43867.645833333299</v>
      </c>
      <c r="B29" s="14">
        <f ca="1">IFERROR(__xludf.DUMMYFUNCTION("""COMPUTED_VALUE"""),722.06)</f>
        <v>722.06</v>
      </c>
      <c r="C29" s="15">
        <f t="shared" ca="1" si="0"/>
        <v>6.4255348804793666E-3</v>
      </c>
      <c r="D29" s="14"/>
      <c r="E29" s="3"/>
      <c r="F29" s="3"/>
    </row>
    <row r="30" spans="1:6" ht="15.75" customHeight="1" x14ac:dyDescent="0.2">
      <c r="A30" s="13">
        <f ca="1">IFERROR(__xludf.DUMMYFUNCTION("""COMPUTED_VALUE"""),43868.6458333333)</f>
        <v>43868.645833333299</v>
      </c>
      <c r="B30" s="14">
        <f ca="1">IFERROR(__xludf.DUMMYFUNCTION("""COMPUTED_VALUE"""),710.09)</f>
        <v>710.09</v>
      </c>
      <c r="C30" s="15">
        <f t="shared" ca="1" si="0"/>
        <v>-1.6577569731047181E-2</v>
      </c>
      <c r="D30" s="14"/>
      <c r="E30" s="3"/>
      <c r="F30" s="3"/>
    </row>
    <row r="31" spans="1:6" ht="15.75" customHeight="1" x14ac:dyDescent="0.2">
      <c r="A31" s="13">
        <f ca="1">IFERROR(__xludf.DUMMYFUNCTION("""COMPUTED_VALUE"""),43871.6458333333)</f>
        <v>43871.645833333299</v>
      </c>
      <c r="B31" s="14">
        <f ca="1">IFERROR(__xludf.DUMMYFUNCTION("""COMPUTED_VALUE"""),711.06)</f>
        <v>711.06</v>
      </c>
      <c r="C31" s="15">
        <f t="shared" ca="1" si="0"/>
        <v>1.3660240251234246E-3</v>
      </c>
      <c r="D31" s="14"/>
      <c r="E31" s="3"/>
      <c r="F31" s="3"/>
    </row>
    <row r="32" spans="1:6" ht="15.75" customHeight="1" x14ac:dyDescent="0.2">
      <c r="A32" s="13">
        <f ca="1">IFERROR(__xludf.DUMMYFUNCTION("""COMPUTED_VALUE"""),43872.6458333333)</f>
        <v>43872.645833333299</v>
      </c>
      <c r="B32" s="14">
        <f ca="1">IFERROR(__xludf.DUMMYFUNCTION("""COMPUTED_VALUE"""),719.55)</f>
        <v>719.55</v>
      </c>
      <c r="C32" s="15">
        <f t="shared" ca="1" si="0"/>
        <v>1.1939920681798943E-2</v>
      </c>
      <c r="D32" s="14"/>
      <c r="E32" s="3"/>
      <c r="F32" s="3"/>
    </row>
    <row r="33" spans="1:6" ht="15.75" customHeight="1" x14ac:dyDescent="0.2">
      <c r="A33" s="13">
        <f ca="1">IFERROR(__xludf.DUMMYFUNCTION("""COMPUTED_VALUE"""),43873.6458333333)</f>
        <v>43873.645833333299</v>
      </c>
      <c r="B33" s="14">
        <f ca="1">IFERROR(__xludf.DUMMYFUNCTION("""COMPUTED_VALUE"""),728.25)</f>
        <v>728.25</v>
      </c>
      <c r="C33" s="15">
        <f t="shared" ca="1" si="0"/>
        <v>1.2090890139670796E-2</v>
      </c>
      <c r="D33" s="14"/>
      <c r="E33" s="3"/>
      <c r="F33" s="3"/>
    </row>
    <row r="34" spans="1:6" ht="15.75" customHeight="1" x14ac:dyDescent="0.2">
      <c r="A34" s="13">
        <f ca="1">IFERROR(__xludf.DUMMYFUNCTION("""COMPUTED_VALUE"""),43874.6458333333)</f>
        <v>43874.645833333299</v>
      </c>
      <c r="B34" s="14">
        <f ca="1">IFERROR(__xludf.DUMMYFUNCTION("""COMPUTED_VALUE"""),730.15)</f>
        <v>730.15</v>
      </c>
      <c r="C34" s="15">
        <f t="shared" ca="1" si="0"/>
        <v>2.6089941640918823E-3</v>
      </c>
      <c r="D34" s="14"/>
      <c r="E34" s="3"/>
      <c r="F34" s="3"/>
    </row>
    <row r="35" spans="1:6" ht="15.75" customHeight="1" x14ac:dyDescent="0.2">
      <c r="A35" s="13">
        <f ca="1">IFERROR(__xludf.DUMMYFUNCTION("""COMPUTED_VALUE"""),43875.6458333333)</f>
        <v>43875.645833333299</v>
      </c>
      <c r="B35" s="14">
        <f ca="1">IFERROR(__xludf.DUMMYFUNCTION("""COMPUTED_VALUE"""),736.82)</f>
        <v>736.82</v>
      </c>
      <c r="C35" s="15">
        <f t="shared" ca="1" si="0"/>
        <v>9.1351092241320764E-3</v>
      </c>
      <c r="D35" s="14"/>
      <c r="E35" s="3"/>
      <c r="F35" s="3"/>
    </row>
    <row r="36" spans="1:6" ht="15.75" customHeight="1" x14ac:dyDescent="0.2">
      <c r="A36" s="13">
        <f ca="1">IFERROR(__xludf.DUMMYFUNCTION("""COMPUTED_VALUE"""),43878.6458333333)</f>
        <v>43878.645833333299</v>
      </c>
      <c r="B36" s="14">
        <f ca="1">IFERROR(__xludf.DUMMYFUNCTION("""COMPUTED_VALUE"""),732.18)</f>
        <v>732.18</v>
      </c>
      <c r="C36" s="15">
        <f t="shared" ca="1" si="0"/>
        <v>-6.2973317770963488E-3</v>
      </c>
      <c r="D36" s="14"/>
      <c r="E36" s="3"/>
      <c r="F36" s="3"/>
    </row>
    <row r="37" spans="1:6" ht="14.25" x14ac:dyDescent="0.2">
      <c r="A37" s="13">
        <f ca="1">IFERROR(__xludf.DUMMYFUNCTION("""COMPUTED_VALUE"""),43879.6458333333)</f>
        <v>43879.645833333299</v>
      </c>
      <c r="B37" s="14">
        <f ca="1">IFERROR(__xludf.DUMMYFUNCTION("""COMPUTED_VALUE"""),726.81)</f>
        <v>726.81</v>
      </c>
      <c r="C37" s="15">
        <f t="shared" ca="1" si="0"/>
        <v>-7.3342620667049552E-3</v>
      </c>
      <c r="D37" s="14"/>
      <c r="E37" s="3"/>
      <c r="F37" s="3"/>
    </row>
    <row r="38" spans="1:6" ht="14.25" x14ac:dyDescent="0.2">
      <c r="A38" s="13">
        <f ca="1">IFERROR(__xludf.DUMMYFUNCTION("""COMPUTED_VALUE"""),43880.6458333333)</f>
        <v>43880.645833333299</v>
      </c>
      <c r="B38" s="14">
        <f ca="1">IFERROR(__xludf.DUMMYFUNCTION("""COMPUTED_VALUE"""),744.84)</f>
        <v>744.84</v>
      </c>
      <c r="C38" s="15">
        <f t="shared" ca="1" si="0"/>
        <v>2.4807033475048534E-2</v>
      </c>
      <c r="D38" s="14"/>
      <c r="E38" s="3"/>
      <c r="F38" s="3"/>
    </row>
    <row r="39" spans="1:6" ht="14.25" x14ac:dyDescent="0.2">
      <c r="A39" s="13">
        <f ca="1">IFERROR(__xludf.DUMMYFUNCTION("""COMPUTED_VALUE"""),43881.6458333333)</f>
        <v>43881.645833333299</v>
      </c>
      <c r="B39" s="14">
        <f ca="1">IFERROR(__xludf.DUMMYFUNCTION("""COMPUTED_VALUE"""),736)</f>
        <v>736</v>
      </c>
      <c r="C39" s="15">
        <f t="shared" ca="1" si="0"/>
        <v>-1.1868320713173341E-2</v>
      </c>
      <c r="D39" s="14"/>
      <c r="E39" s="3"/>
      <c r="F39" s="3"/>
    </row>
    <row r="40" spans="1:6" ht="14.25" x14ac:dyDescent="0.2">
      <c r="A40" s="13">
        <f ca="1">IFERROR(__xludf.DUMMYFUNCTION("""COMPUTED_VALUE"""),43885.6458333333)</f>
        <v>43885.645833333299</v>
      </c>
      <c r="B40" s="14">
        <f ca="1">IFERROR(__xludf.DUMMYFUNCTION("""COMPUTED_VALUE"""),715.69)</f>
        <v>715.69</v>
      </c>
      <c r="C40" s="15">
        <f t="shared" ca="1" si="0"/>
        <v>-2.7595108695652071E-2</v>
      </c>
      <c r="D40" s="14"/>
      <c r="E40" s="3"/>
      <c r="F40" s="3"/>
    </row>
    <row r="41" spans="1:6" ht="14.25" x14ac:dyDescent="0.2">
      <c r="A41" s="13">
        <f ca="1">IFERROR(__xludf.DUMMYFUNCTION("""COMPUTED_VALUE"""),43886.6458333333)</f>
        <v>43886.645833333299</v>
      </c>
      <c r="B41" s="14">
        <f ca="1">IFERROR(__xludf.DUMMYFUNCTION("""COMPUTED_VALUE"""),701.55)</f>
        <v>701.55</v>
      </c>
      <c r="C41" s="15">
        <f t="shared" ca="1" si="0"/>
        <v>-1.9757157428495709E-2</v>
      </c>
      <c r="D41" s="14"/>
      <c r="E41" s="3"/>
      <c r="F41" s="3"/>
    </row>
    <row r="42" spans="1:6" ht="14.25" x14ac:dyDescent="0.2">
      <c r="A42" s="13">
        <f ca="1">IFERROR(__xludf.DUMMYFUNCTION("""COMPUTED_VALUE"""),43887.6458333333)</f>
        <v>43887.645833333299</v>
      </c>
      <c r="B42" s="14">
        <f ca="1">IFERROR(__xludf.DUMMYFUNCTION("""COMPUTED_VALUE"""),689.46)</f>
        <v>689.46</v>
      </c>
      <c r="C42" s="15">
        <f t="shared" ca="1" si="0"/>
        <v>-1.7233269189651401E-2</v>
      </c>
      <c r="D42" s="14"/>
      <c r="E42" s="3"/>
      <c r="F42" s="3"/>
    </row>
    <row r="43" spans="1:6" ht="14.25" x14ac:dyDescent="0.2">
      <c r="A43" s="13">
        <f ca="1">IFERROR(__xludf.DUMMYFUNCTION("""COMPUTED_VALUE"""),43888.6458333333)</f>
        <v>43888.645833333299</v>
      </c>
      <c r="B43" s="14">
        <f ca="1">IFERROR(__xludf.DUMMYFUNCTION("""COMPUTED_VALUE"""),686.62)</f>
        <v>686.62</v>
      </c>
      <c r="C43" s="15">
        <f t="shared" ca="1" si="0"/>
        <v>-4.1191657238999202E-3</v>
      </c>
      <c r="D43" s="14"/>
      <c r="E43" s="3"/>
      <c r="F43" s="3"/>
    </row>
    <row r="44" spans="1:6" ht="14.25" x14ac:dyDescent="0.2">
      <c r="A44" s="13">
        <f ca="1">IFERROR(__xludf.DUMMYFUNCTION("""COMPUTED_VALUE"""),43889.6458333333)</f>
        <v>43889.645833333299</v>
      </c>
      <c r="B44" s="14">
        <f ca="1">IFERROR(__xludf.DUMMYFUNCTION("""COMPUTED_VALUE"""),658.09)</f>
        <v>658.09</v>
      </c>
      <c r="C44" s="15">
        <f t="shared" ca="1" si="0"/>
        <v>-4.1551367568669728E-2</v>
      </c>
      <c r="D44" s="14"/>
      <c r="E44" s="3"/>
      <c r="F44" s="3"/>
    </row>
    <row r="45" spans="1:6" ht="14.25" x14ac:dyDescent="0.2">
      <c r="A45" s="13">
        <f ca="1">IFERROR(__xludf.DUMMYFUNCTION("""COMPUTED_VALUE"""),43892.6458333333)</f>
        <v>43892.645833333299</v>
      </c>
      <c r="B45" s="14">
        <f ca="1">IFERROR(__xludf.DUMMYFUNCTION("""COMPUTED_VALUE"""),651.9)</f>
        <v>651.9</v>
      </c>
      <c r="C45" s="15">
        <f t="shared" ca="1" si="0"/>
        <v>-9.4060082967376557E-3</v>
      </c>
      <c r="D45" s="14"/>
      <c r="E45" s="3"/>
      <c r="F45" s="3"/>
    </row>
    <row r="46" spans="1:6" ht="14.25" x14ac:dyDescent="0.2">
      <c r="A46" s="13">
        <f ca="1">IFERROR(__xludf.DUMMYFUNCTION("""COMPUTED_VALUE"""),43893.6458333333)</f>
        <v>43893.645833333299</v>
      </c>
      <c r="B46" s="14">
        <f ca="1">IFERROR(__xludf.DUMMYFUNCTION("""COMPUTED_VALUE"""),665.12)</f>
        <v>665.12</v>
      </c>
      <c r="C46" s="15">
        <f t="shared" ca="1" si="0"/>
        <v>2.0279183923914701E-2</v>
      </c>
      <c r="D46" s="14"/>
      <c r="E46" s="3"/>
      <c r="F46" s="3"/>
    </row>
    <row r="47" spans="1:6" ht="14.25" x14ac:dyDescent="0.2">
      <c r="A47" s="13">
        <f ca="1">IFERROR(__xludf.DUMMYFUNCTION("""COMPUTED_VALUE"""),43894.6458333333)</f>
        <v>43894.645833333299</v>
      </c>
      <c r="B47" s="14">
        <f ca="1">IFERROR(__xludf.DUMMYFUNCTION("""COMPUTED_VALUE"""),663.56)</f>
        <v>663.56</v>
      </c>
      <c r="C47" s="15">
        <f t="shared" ca="1" si="0"/>
        <v>-2.3454414241039778E-3</v>
      </c>
      <c r="D47" s="14"/>
      <c r="E47" s="3"/>
      <c r="F47" s="3"/>
    </row>
    <row r="48" spans="1:6" ht="14.25" x14ac:dyDescent="0.2">
      <c r="A48" s="13">
        <f ca="1">IFERROR(__xludf.DUMMYFUNCTION("""COMPUTED_VALUE"""),43895.6458333333)</f>
        <v>43895.645833333299</v>
      </c>
      <c r="B48" s="14">
        <f ca="1">IFERROR(__xludf.DUMMYFUNCTION("""COMPUTED_VALUE"""),649.42)</f>
        <v>649.41999999999996</v>
      </c>
      <c r="C48" s="15">
        <f t="shared" ca="1" si="0"/>
        <v>-2.1309301344264231E-2</v>
      </c>
      <c r="D48" s="14"/>
      <c r="E48" s="3"/>
      <c r="F48" s="3"/>
    </row>
    <row r="49" spans="1:6" ht="14.25" x14ac:dyDescent="0.2">
      <c r="A49" s="13">
        <f ca="1">IFERROR(__xludf.DUMMYFUNCTION("""COMPUTED_VALUE"""),43896.6458333333)</f>
        <v>43896.645833333299</v>
      </c>
      <c r="B49" s="14">
        <f ca="1">IFERROR(__xludf.DUMMYFUNCTION("""COMPUTED_VALUE"""),629.53)</f>
        <v>629.53</v>
      </c>
      <c r="C49" s="15">
        <f t="shared" ca="1" si="0"/>
        <v>-3.0627329001262638E-2</v>
      </c>
      <c r="D49" s="14"/>
      <c r="E49" s="3"/>
      <c r="F49" s="3"/>
    </row>
    <row r="50" spans="1:6" ht="14.25" x14ac:dyDescent="0.2">
      <c r="A50" s="13">
        <f ca="1">IFERROR(__xludf.DUMMYFUNCTION("""COMPUTED_VALUE"""),43899.6458333333)</f>
        <v>43899.645833333299</v>
      </c>
      <c r="B50" s="14">
        <f ca="1">IFERROR(__xludf.DUMMYFUNCTION("""COMPUTED_VALUE"""),551.84)</f>
        <v>551.84</v>
      </c>
      <c r="C50" s="15">
        <f t="shared" ca="1" si="0"/>
        <v>-0.12340952774291924</v>
      </c>
      <c r="D50" s="14"/>
      <c r="E50" s="3"/>
      <c r="F50" s="3"/>
    </row>
    <row r="51" spans="1:6" ht="14.25" x14ac:dyDescent="0.2">
      <c r="A51" s="13">
        <f ca="1">IFERROR(__xludf.DUMMYFUNCTION("""COMPUTED_VALUE"""),43901.6458333333)</f>
        <v>43901.645833333299</v>
      </c>
      <c r="B51" s="14">
        <f ca="1">IFERROR(__xludf.DUMMYFUNCTION("""COMPUTED_VALUE"""),571.36)</f>
        <v>571.36</v>
      </c>
      <c r="C51" s="15">
        <f t="shared" ca="1" si="0"/>
        <v>3.5372571759930471E-2</v>
      </c>
      <c r="D51" s="14">
        <f t="shared" ref="D51:D305" ca="1" si="1">AVERAGE(B2:B51)</f>
        <v>718.14059999999995</v>
      </c>
      <c r="E51" s="3"/>
      <c r="F51" s="3"/>
    </row>
    <row r="52" spans="1:6" ht="14.25" x14ac:dyDescent="0.2">
      <c r="A52" s="13">
        <f ca="1">IFERROR(__xludf.DUMMYFUNCTION("""COMPUTED_VALUE"""),43902.6458333333)</f>
        <v>43902.645833333299</v>
      </c>
      <c r="B52" s="14">
        <f ca="1">IFERROR(__xludf.DUMMYFUNCTION("""COMPUTED_VALUE"""),526.51)</f>
        <v>526.51</v>
      </c>
      <c r="C52" s="15">
        <f t="shared" ca="1" si="0"/>
        <v>-7.8496919630355655E-2</v>
      </c>
      <c r="D52" s="14">
        <f t="shared" ca="1" si="1"/>
        <v>713.71660000000008</v>
      </c>
      <c r="E52" s="3"/>
      <c r="F52" s="3"/>
    </row>
    <row r="53" spans="1:6" ht="14.25" x14ac:dyDescent="0.2">
      <c r="A53" s="13">
        <f ca="1">IFERROR(__xludf.DUMMYFUNCTION("""COMPUTED_VALUE"""),43903.6458333333)</f>
        <v>43903.645833333299</v>
      </c>
      <c r="B53" s="14">
        <f ca="1">IFERROR(__xludf.DUMMYFUNCTION("""COMPUTED_VALUE"""),547.46)</f>
        <v>547.46</v>
      </c>
      <c r="C53" s="15">
        <f t="shared" ca="1" si="0"/>
        <v>3.9790317372889517E-2</v>
      </c>
      <c r="D53" s="14">
        <f t="shared" ca="1" si="1"/>
        <v>709.45699999999999</v>
      </c>
      <c r="E53" s="3"/>
      <c r="F53" s="3"/>
    </row>
    <row r="54" spans="1:6" ht="14.25" x14ac:dyDescent="0.2">
      <c r="A54" s="13">
        <f ca="1">IFERROR(__xludf.DUMMYFUNCTION("""COMPUTED_VALUE"""),43906.6458333333)</f>
        <v>43906.645833333299</v>
      </c>
      <c r="B54" s="14">
        <f ca="1">IFERROR(__xludf.DUMMYFUNCTION("""COMPUTED_VALUE"""),503.08)</f>
        <v>503.08</v>
      </c>
      <c r="C54" s="15">
        <f t="shared" ca="1" si="0"/>
        <v>-8.1065283308369707E-2</v>
      </c>
      <c r="D54" s="14">
        <f t="shared" ca="1" si="1"/>
        <v>704.29140000000018</v>
      </c>
      <c r="E54" s="3"/>
      <c r="F54" s="3"/>
    </row>
    <row r="55" spans="1:6" ht="14.25" x14ac:dyDescent="0.2">
      <c r="A55" s="13">
        <f ca="1">IFERROR(__xludf.DUMMYFUNCTION("""COMPUTED_VALUE"""),43907.6458333333)</f>
        <v>43907.645833333299</v>
      </c>
      <c r="B55" s="14">
        <f ca="1">IFERROR(__xludf.DUMMYFUNCTION("""COMPUTED_VALUE"""),499.27)</f>
        <v>499.27</v>
      </c>
      <c r="C55" s="15">
        <f t="shared" ca="1" si="0"/>
        <v>-7.5733481752404685E-3</v>
      </c>
      <c r="D55" s="14">
        <f t="shared" ca="1" si="1"/>
        <v>699.40279999999996</v>
      </c>
      <c r="E55" s="3"/>
      <c r="F55" s="3"/>
    </row>
    <row r="56" spans="1:6" ht="14.25" x14ac:dyDescent="0.2">
      <c r="A56" s="13">
        <f ca="1">IFERROR(__xludf.DUMMYFUNCTION("""COMPUTED_VALUE"""),43908.6458333333)</f>
        <v>43908.645833333299</v>
      </c>
      <c r="B56" s="14">
        <f ca="1">IFERROR(__xludf.DUMMYFUNCTION("""COMPUTED_VALUE"""),479.7)</f>
        <v>479.7</v>
      </c>
      <c r="C56" s="15">
        <f t="shared" ca="1" si="0"/>
        <v>-3.9197227952811109E-2</v>
      </c>
      <c r="D56" s="14">
        <f t="shared" ca="1" si="1"/>
        <v>693.89399999999978</v>
      </c>
      <c r="E56" s="3"/>
      <c r="F56" s="3"/>
    </row>
    <row r="57" spans="1:6" ht="14.25" x14ac:dyDescent="0.2">
      <c r="A57" s="13">
        <f ca="1">IFERROR(__xludf.DUMMYFUNCTION("""COMPUTED_VALUE"""),43909.6458333333)</f>
        <v>43909.645833333299</v>
      </c>
      <c r="B57" s="14">
        <f ca="1">IFERROR(__xludf.DUMMYFUNCTION("""COMPUTED_VALUE"""),454.54)</f>
        <v>454.54</v>
      </c>
      <c r="C57" s="15">
        <f t="shared" ca="1" si="0"/>
        <v>-5.2449447571398689E-2</v>
      </c>
      <c r="D57" s="14">
        <f t="shared" ca="1" si="1"/>
        <v>687.99539999999979</v>
      </c>
      <c r="E57" s="3"/>
      <c r="F57" s="3"/>
    </row>
    <row r="58" spans="1:6" ht="14.25" x14ac:dyDescent="0.2">
      <c r="A58" s="13">
        <f ca="1">IFERROR(__xludf.DUMMYFUNCTION("""COMPUTED_VALUE"""),43910.6458333333)</f>
        <v>43910.645833333299</v>
      </c>
      <c r="B58" s="14">
        <f ca="1">IFERROR(__xludf.DUMMYFUNCTION("""COMPUTED_VALUE"""),504.2)</f>
        <v>504.2</v>
      </c>
      <c r="C58" s="15">
        <f t="shared" ca="1" si="0"/>
        <v>0.10925331103973246</v>
      </c>
      <c r="D58" s="14">
        <f t="shared" ca="1" si="1"/>
        <v>682.74479999999994</v>
      </c>
      <c r="E58" s="3"/>
      <c r="F58" s="3"/>
    </row>
    <row r="59" spans="1:6" ht="14.25" x14ac:dyDescent="0.2">
      <c r="A59" s="13">
        <f ca="1">IFERROR(__xludf.DUMMYFUNCTION("""COMPUTED_VALUE"""),43913.6458333333)</f>
        <v>43913.645833333299</v>
      </c>
      <c r="B59" s="14">
        <f ca="1">IFERROR(__xludf.DUMMYFUNCTION("""COMPUTED_VALUE"""),437.87)</f>
        <v>437.87</v>
      </c>
      <c r="C59" s="15">
        <f t="shared" ca="1" si="0"/>
        <v>-0.13155493851646172</v>
      </c>
      <c r="D59" s="14">
        <f t="shared" ca="1" si="1"/>
        <v>676.17099999999994</v>
      </c>
      <c r="E59" s="3"/>
      <c r="F59" s="3"/>
    </row>
    <row r="60" spans="1:6" ht="14.25" x14ac:dyDescent="0.2">
      <c r="A60" s="13">
        <f ca="1">IFERROR(__xludf.DUMMYFUNCTION("""COMPUTED_VALUE"""),43914.6458333333)</f>
        <v>43914.645833333299</v>
      </c>
      <c r="B60" s="14">
        <f ca="1">IFERROR(__xludf.DUMMYFUNCTION("""COMPUTED_VALUE"""),467.27)</f>
        <v>467.27</v>
      </c>
      <c r="C60" s="15">
        <f t="shared" ca="1" si="0"/>
        <v>6.7143216023020535E-2</v>
      </c>
      <c r="D60" s="14">
        <f t="shared" ca="1" si="1"/>
        <v>670.22439999999983</v>
      </c>
      <c r="E60" s="3"/>
      <c r="F60" s="3"/>
    </row>
    <row r="61" spans="1:6" ht="14.25" x14ac:dyDescent="0.2">
      <c r="A61" s="13">
        <f ca="1">IFERROR(__xludf.DUMMYFUNCTION("""COMPUTED_VALUE"""),43915.6458333333)</f>
        <v>43915.645833333299</v>
      </c>
      <c r="B61" s="14">
        <f ca="1">IFERROR(__xludf.DUMMYFUNCTION("""COMPUTED_VALUE"""),536.04)</f>
        <v>536.04</v>
      </c>
      <c r="C61" s="15">
        <f t="shared" ca="1" si="0"/>
        <v>0.14717401074325331</v>
      </c>
      <c r="D61" s="14">
        <f t="shared" ca="1" si="1"/>
        <v>665.79480000000001</v>
      </c>
      <c r="E61" s="3"/>
      <c r="F61" s="3"/>
    </row>
    <row r="62" spans="1:6" ht="14.25" x14ac:dyDescent="0.2">
      <c r="A62" s="13">
        <f ca="1">IFERROR(__xludf.DUMMYFUNCTION("""COMPUTED_VALUE"""),43916.6458333333)</f>
        <v>43916.645833333299</v>
      </c>
      <c r="B62" s="14">
        <f ca="1">IFERROR(__xludf.DUMMYFUNCTION("""COMPUTED_VALUE"""),528.09)</f>
        <v>528.09</v>
      </c>
      <c r="C62" s="15">
        <f t="shared" ca="1" si="0"/>
        <v>-1.4830982762480294E-2</v>
      </c>
      <c r="D62" s="14">
        <f t="shared" ca="1" si="1"/>
        <v>661.26119999999992</v>
      </c>
      <c r="E62" s="3"/>
      <c r="F62" s="3"/>
    </row>
    <row r="63" spans="1:6" ht="14.25" x14ac:dyDescent="0.2">
      <c r="A63" s="13">
        <f ca="1">IFERROR(__xludf.DUMMYFUNCTION("""COMPUTED_VALUE"""),43917.6458333333)</f>
        <v>43917.645833333299</v>
      </c>
      <c r="B63" s="14">
        <f ca="1">IFERROR(__xludf.DUMMYFUNCTION("""COMPUTED_VALUE"""),527.8)</f>
        <v>527.79999999999995</v>
      </c>
      <c r="C63" s="15">
        <f t="shared" ca="1" si="0"/>
        <v>-5.4914881933021409E-4</v>
      </c>
      <c r="D63" s="14">
        <f t="shared" ca="1" si="1"/>
        <v>656.58259999999996</v>
      </c>
      <c r="E63" s="3"/>
      <c r="F63" s="3"/>
    </row>
    <row r="64" spans="1:6" ht="14.25" x14ac:dyDescent="0.2">
      <c r="A64" s="13">
        <f ca="1">IFERROR(__xludf.DUMMYFUNCTION("""COMPUTED_VALUE"""),43920.6458333333)</f>
        <v>43920.645833333299</v>
      </c>
      <c r="B64" s="14">
        <f ca="1">IFERROR(__xludf.DUMMYFUNCTION("""COMPUTED_VALUE"""),510.39)</f>
        <v>510.39</v>
      </c>
      <c r="C64" s="15">
        <f t="shared" ca="1" si="0"/>
        <v>-3.2985979537703658E-2</v>
      </c>
      <c r="D64" s="14">
        <f t="shared" ca="1" si="1"/>
        <v>651.12879999999996</v>
      </c>
      <c r="E64" s="3"/>
      <c r="F64" s="3"/>
    </row>
    <row r="65" spans="1:6" ht="14.25" x14ac:dyDescent="0.2">
      <c r="A65" s="13">
        <f ca="1">IFERROR(__xludf.DUMMYFUNCTION("""COMPUTED_VALUE"""),43921.6458333333)</f>
        <v>43921.645833333299</v>
      </c>
      <c r="B65" s="14">
        <f ca="1">IFERROR(__xludf.DUMMYFUNCTION("""COMPUTED_VALUE"""),551.65)</f>
        <v>551.65</v>
      </c>
      <c r="C65" s="15">
        <f t="shared" ca="1" si="0"/>
        <v>8.0840141852309033E-2</v>
      </c>
      <c r="D65" s="14">
        <f t="shared" ca="1" si="1"/>
        <v>646.98219999999992</v>
      </c>
      <c r="E65" s="3"/>
      <c r="F65" s="3"/>
    </row>
    <row r="66" spans="1:6" ht="14.25" x14ac:dyDescent="0.2">
      <c r="A66" s="13">
        <f ca="1">IFERROR(__xludf.DUMMYFUNCTION("""COMPUTED_VALUE"""),43922.6458333333)</f>
        <v>43922.645833333299</v>
      </c>
      <c r="B66" s="14">
        <f ca="1">IFERROR(__xludf.DUMMYFUNCTION("""COMPUTED_VALUE"""),535.15)</f>
        <v>535.15</v>
      </c>
      <c r="C66" s="15">
        <f t="shared" ca="1" si="0"/>
        <v>-2.9910269192422678E-2</v>
      </c>
      <c r="D66" s="14">
        <f t="shared" ca="1" si="1"/>
        <v>642.49019999999996</v>
      </c>
      <c r="E66" s="3"/>
      <c r="F66" s="3"/>
    </row>
    <row r="67" spans="1:6" ht="14.25" x14ac:dyDescent="0.2">
      <c r="A67" s="13">
        <f ca="1">IFERROR(__xludf.DUMMYFUNCTION("""COMPUTED_VALUE"""),43924.6458333333)</f>
        <v>43924.645833333299</v>
      </c>
      <c r="B67" s="14">
        <f ca="1">IFERROR(__xludf.DUMMYFUNCTION("""COMPUTED_VALUE"""),533.67)</f>
        <v>533.66999999999996</v>
      </c>
      <c r="C67" s="15">
        <f t="shared" ca="1" si="0"/>
        <v>-2.7655797439970486E-3</v>
      </c>
      <c r="D67" s="14">
        <f t="shared" ca="1" si="1"/>
        <v>637.97399999999993</v>
      </c>
      <c r="E67" s="3"/>
      <c r="F67" s="3"/>
    </row>
    <row r="68" spans="1:6" ht="14.25" x14ac:dyDescent="0.2">
      <c r="A68" s="13">
        <f ca="1">IFERROR(__xludf.DUMMYFUNCTION("""COMPUTED_VALUE"""),43928.6458333333)</f>
        <v>43928.645833333299</v>
      </c>
      <c r="B68" s="14">
        <f ca="1">IFERROR(__xludf.DUMMYFUNCTION("""COMPUTED_VALUE"""),597.39)</f>
        <v>597.39</v>
      </c>
      <c r="C68" s="15">
        <f t="shared" ca="1" si="0"/>
        <v>0.11939962898420386</v>
      </c>
      <c r="D68" s="14">
        <f t="shared" ca="1" si="1"/>
        <v>634.79660000000001</v>
      </c>
      <c r="E68" s="3"/>
      <c r="F68" s="3"/>
    </row>
    <row r="69" spans="1:6" ht="14.25" x14ac:dyDescent="0.2">
      <c r="A69" s="13">
        <f ca="1">IFERROR(__xludf.DUMMYFUNCTION("""COMPUTED_VALUE"""),43929.6458333333)</f>
        <v>43929.645833333299</v>
      </c>
      <c r="B69" s="14">
        <f ca="1">IFERROR(__xludf.DUMMYFUNCTION("""COMPUTED_VALUE"""),590.48)</f>
        <v>590.48</v>
      </c>
      <c r="C69" s="15">
        <f t="shared" ca="1" si="0"/>
        <v>-1.1566983042903267E-2</v>
      </c>
      <c r="D69" s="14">
        <f t="shared" ca="1" si="1"/>
        <v>631.53359999999998</v>
      </c>
      <c r="E69" s="3"/>
      <c r="F69" s="3"/>
    </row>
    <row r="70" spans="1:6" ht="14.25" x14ac:dyDescent="0.2">
      <c r="A70" s="13">
        <f ca="1">IFERROR(__xludf.DUMMYFUNCTION("""COMPUTED_VALUE"""),43930.6458333333)</f>
        <v>43930.645833333299</v>
      </c>
      <c r="B70" s="14">
        <f ca="1">IFERROR(__xludf.DUMMYFUNCTION("""COMPUTED_VALUE"""),604.25)</f>
        <v>604.25</v>
      </c>
      <c r="C70" s="15">
        <f t="shared" ca="1" si="0"/>
        <v>2.3320010838639771E-2</v>
      </c>
      <c r="D70" s="14">
        <f t="shared" ca="1" si="1"/>
        <v>628.69459999999992</v>
      </c>
      <c r="E70" s="3"/>
      <c r="F70" s="3"/>
    </row>
    <row r="71" spans="1:6" ht="14.25" x14ac:dyDescent="0.2">
      <c r="A71" s="13">
        <f ca="1">IFERROR(__xludf.DUMMYFUNCTION("""COMPUTED_VALUE"""),43934.6458333333)</f>
        <v>43934.645833333299</v>
      </c>
      <c r="B71" s="14">
        <f ca="1">IFERROR(__xludf.DUMMYFUNCTION("""COMPUTED_VALUE"""),588.99)</f>
        <v>588.99</v>
      </c>
      <c r="C71" s="15">
        <f t="shared" ca="1" si="0"/>
        <v>-2.5254447662391377E-2</v>
      </c>
      <c r="D71" s="14">
        <f t="shared" ca="1" si="1"/>
        <v>625.89520000000005</v>
      </c>
      <c r="E71" s="3"/>
      <c r="F71" s="3"/>
    </row>
    <row r="72" spans="1:6" ht="14.25" x14ac:dyDescent="0.2">
      <c r="A72" s="13">
        <f ca="1">IFERROR(__xludf.DUMMYFUNCTION("""COMPUTED_VALUE"""),43936.6458333333)</f>
        <v>43936.645833333299</v>
      </c>
      <c r="B72" s="14">
        <f ca="1">IFERROR(__xludf.DUMMYFUNCTION("""COMPUTED_VALUE"""),569.53)</f>
        <v>569.53</v>
      </c>
      <c r="C72" s="15">
        <f t="shared" ca="1" si="0"/>
        <v>-3.3039610180138901E-2</v>
      </c>
      <c r="D72" s="14">
        <f t="shared" ca="1" si="1"/>
        <v>622.62620000000004</v>
      </c>
      <c r="E72" s="3"/>
      <c r="F72" s="3"/>
    </row>
    <row r="73" spans="1:6" ht="14.25" x14ac:dyDescent="0.2">
      <c r="A73" s="13">
        <f ca="1">IFERROR(__xludf.DUMMYFUNCTION("""COMPUTED_VALUE"""),43937.6458333333)</f>
        <v>43937.645833333299</v>
      </c>
      <c r="B73" s="14">
        <f ca="1">IFERROR(__xludf.DUMMYFUNCTION("""COMPUTED_VALUE"""),578.54)</f>
        <v>578.54</v>
      </c>
      <c r="C73" s="15">
        <f t="shared" ca="1" si="0"/>
        <v>1.5820062156514991E-2</v>
      </c>
      <c r="D73" s="14">
        <f t="shared" ca="1" si="1"/>
        <v>619.89499999999998</v>
      </c>
      <c r="E73" s="3"/>
      <c r="F73" s="3"/>
    </row>
    <row r="74" spans="1:6" ht="14.25" x14ac:dyDescent="0.2">
      <c r="A74" s="13">
        <f ca="1">IFERROR(__xludf.DUMMYFUNCTION("""COMPUTED_VALUE"""),43938.6458333333)</f>
        <v>43938.645833333299</v>
      </c>
      <c r="B74" s="14">
        <f ca="1">IFERROR(__xludf.DUMMYFUNCTION("""COMPUTED_VALUE"""),606.25)</f>
        <v>606.25</v>
      </c>
      <c r="C74" s="15">
        <f t="shared" ca="1" si="0"/>
        <v>4.7896428941819114E-2</v>
      </c>
      <c r="D74" s="14">
        <f t="shared" ca="1" si="1"/>
        <v>618.03599999999994</v>
      </c>
      <c r="E74" s="3"/>
      <c r="F74" s="3"/>
    </row>
    <row r="75" spans="1:6" ht="14.25" x14ac:dyDescent="0.2">
      <c r="A75" s="13">
        <f ca="1">IFERROR(__xludf.DUMMYFUNCTION("""COMPUTED_VALUE"""),43941.6458333333)</f>
        <v>43941.645833333299</v>
      </c>
      <c r="B75" s="14">
        <f ca="1">IFERROR(__xludf.DUMMYFUNCTION("""COMPUTED_VALUE"""),616.06)</f>
        <v>616.05999999999995</v>
      </c>
      <c r="C75" s="15">
        <f t="shared" ca="1" si="0"/>
        <v>1.6181443298969089E-2</v>
      </c>
      <c r="D75" s="14">
        <f t="shared" ca="1" si="1"/>
        <v>616.72640000000013</v>
      </c>
      <c r="E75" s="3"/>
      <c r="F75" s="3"/>
    </row>
    <row r="76" spans="1:6" ht="14.25" x14ac:dyDescent="0.2">
      <c r="A76" s="13">
        <f ca="1">IFERROR(__xludf.DUMMYFUNCTION("""COMPUTED_VALUE"""),43942.6458333333)</f>
        <v>43942.645833333299</v>
      </c>
      <c r="B76" s="14">
        <f ca="1">IFERROR(__xludf.DUMMYFUNCTION("""COMPUTED_VALUE"""),612.87)</f>
        <v>612.87</v>
      </c>
      <c r="C76" s="15">
        <f t="shared" ca="1" si="0"/>
        <v>-5.1780670713890142E-3</v>
      </c>
      <c r="D76" s="14">
        <f t="shared" ca="1" si="1"/>
        <v>615.25900000000013</v>
      </c>
      <c r="E76" s="3"/>
      <c r="F76" s="3"/>
    </row>
    <row r="77" spans="1:6" ht="14.25" x14ac:dyDescent="0.2">
      <c r="A77" s="13">
        <f ca="1">IFERROR(__xludf.DUMMYFUNCTION("""COMPUTED_VALUE"""),43943.6458333333)</f>
        <v>43943.645833333299</v>
      </c>
      <c r="B77" s="14">
        <f ca="1">IFERROR(__xludf.DUMMYFUNCTION("""COMPUTED_VALUE"""),675.4)</f>
        <v>675.4</v>
      </c>
      <c r="C77" s="15">
        <f t="shared" ca="1" si="0"/>
        <v>0.10202816257933978</v>
      </c>
      <c r="D77" s="14">
        <f t="shared" ca="1" si="1"/>
        <v>614.63700000000017</v>
      </c>
      <c r="E77" s="3"/>
      <c r="F77" s="3"/>
    </row>
    <row r="78" spans="1:6" ht="14.25" x14ac:dyDescent="0.2">
      <c r="A78" s="13">
        <f ca="1">IFERROR(__xludf.DUMMYFUNCTION("""COMPUTED_VALUE"""),43944.6458333333)</f>
        <v>43944.645833333299</v>
      </c>
      <c r="B78" s="14">
        <f ca="1">IFERROR(__xludf.DUMMYFUNCTION("""COMPUTED_VALUE"""),679.01)</f>
        <v>679.01</v>
      </c>
      <c r="C78" s="15">
        <f t="shared" ca="1" si="0"/>
        <v>5.344980752146844E-3</v>
      </c>
      <c r="D78" s="14">
        <f t="shared" ca="1" si="1"/>
        <v>613.86820000000012</v>
      </c>
      <c r="E78" s="3"/>
      <c r="F78" s="3"/>
    </row>
    <row r="79" spans="1:6" ht="14.25" x14ac:dyDescent="0.2">
      <c r="A79" s="13">
        <f ca="1">IFERROR(__xludf.DUMMYFUNCTION("""COMPUTED_VALUE"""),43945.6458333333)</f>
        <v>43945.645833333299</v>
      </c>
      <c r="B79" s="14">
        <f ca="1">IFERROR(__xludf.DUMMYFUNCTION("""COMPUTED_VALUE"""),701.85)</f>
        <v>701.85</v>
      </c>
      <c r="C79" s="15">
        <f t="shared" ca="1" si="0"/>
        <v>3.3637207110351897E-2</v>
      </c>
      <c r="D79" s="14">
        <f t="shared" ca="1" si="1"/>
        <v>613.46400000000017</v>
      </c>
      <c r="E79" s="3"/>
      <c r="F79" s="3"/>
    </row>
    <row r="80" spans="1:6" ht="14.25" x14ac:dyDescent="0.2">
      <c r="A80" s="13">
        <f ca="1">IFERROR(__xludf.DUMMYFUNCTION("""COMPUTED_VALUE"""),43948.6458333333)</f>
        <v>43948.645833333299</v>
      </c>
      <c r="B80" s="14">
        <f ca="1">IFERROR(__xludf.DUMMYFUNCTION("""COMPUTED_VALUE"""),708.16)</f>
        <v>708.16</v>
      </c>
      <c r="C80" s="15">
        <f t="shared" ca="1" si="0"/>
        <v>8.9905250409629822E-3</v>
      </c>
      <c r="D80" s="14">
        <f t="shared" ca="1" si="1"/>
        <v>613.42540000000008</v>
      </c>
      <c r="E80" s="3"/>
      <c r="F80" s="3"/>
    </row>
    <row r="81" spans="1:6" ht="14.25" x14ac:dyDescent="0.2">
      <c r="A81" s="13">
        <f ca="1">IFERROR(__xludf.DUMMYFUNCTION("""COMPUTED_VALUE"""),43949.6458333333)</f>
        <v>43949.645833333299</v>
      </c>
      <c r="B81" s="14">
        <f ca="1">IFERROR(__xludf.DUMMYFUNCTION("""COMPUTED_VALUE"""),707.37)</f>
        <v>707.37</v>
      </c>
      <c r="C81" s="15">
        <f t="shared" ca="1" si="0"/>
        <v>-1.1155671034793757E-3</v>
      </c>
      <c r="D81" s="14">
        <f t="shared" ca="1" si="1"/>
        <v>613.35160000000008</v>
      </c>
      <c r="E81" s="3"/>
      <c r="F81" s="3"/>
    </row>
    <row r="82" spans="1:6" ht="14.25" x14ac:dyDescent="0.2">
      <c r="A82" s="13">
        <f ca="1">IFERROR(__xludf.DUMMYFUNCTION("""COMPUTED_VALUE"""),43950.6458333333)</f>
        <v>43950.645833333299</v>
      </c>
      <c r="B82" s="14">
        <f ca="1">IFERROR(__xludf.DUMMYFUNCTION("""COMPUTED_VALUE"""),706.78)</f>
        <v>706.78</v>
      </c>
      <c r="C82" s="15">
        <f t="shared" ca="1" si="0"/>
        <v>-8.3407551917669132E-4</v>
      </c>
      <c r="D82" s="14">
        <f t="shared" ca="1" si="1"/>
        <v>613.09619999999995</v>
      </c>
      <c r="E82" s="3"/>
      <c r="F82" s="3"/>
    </row>
    <row r="83" spans="1:6" ht="14.25" x14ac:dyDescent="0.2">
      <c r="A83" s="13">
        <f ca="1">IFERROR(__xludf.DUMMYFUNCTION("""COMPUTED_VALUE"""),43951.6458333333)</f>
        <v>43951.645833333299</v>
      </c>
      <c r="B83" s="14">
        <f ca="1">IFERROR(__xludf.DUMMYFUNCTION("""COMPUTED_VALUE"""),726.12)</f>
        <v>726.12</v>
      </c>
      <c r="C83" s="15">
        <f t="shared" ca="1" si="0"/>
        <v>2.7363536036673519E-2</v>
      </c>
      <c r="D83" s="14">
        <f t="shared" ca="1" si="1"/>
        <v>613.05360000000007</v>
      </c>
      <c r="E83" s="3"/>
      <c r="F83" s="3"/>
    </row>
    <row r="84" spans="1:6" ht="14.25" x14ac:dyDescent="0.2">
      <c r="A84" s="13">
        <f ca="1">IFERROR(__xludf.DUMMYFUNCTION("""COMPUTED_VALUE"""),43955.6458333333)</f>
        <v>43955.645833333299</v>
      </c>
      <c r="B84" s="14">
        <f ca="1">IFERROR(__xludf.DUMMYFUNCTION("""COMPUTED_VALUE"""),710.86)</f>
        <v>710.86</v>
      </c>
      <c r="C84" s="15">
        <f t="shared" ca="1" si="0"/>
        <v>-2.1015810058943374E-2</v>
      </c>
      <c r="D84" s="14">
        <f t="shared" ca="1" si="1"/>
        <v>612.66780000000006</v>
      </c>
      <c r="E84" s="3"/>
      <c r="F84" s="3"/>
    </row>
    <row r="85" spans="1:6" ht="14.25" x14ac:dyDescent="0.2">
      <c r="A85" s="13">
        <f ca="1">IFERROR(__xludf.DUMMYFUNCTION("""COMPUTED_VALUE"""),43956.6458333333)</f>
        <v>43956.645833333299</v>
      </c>
      <c r="B85" s="14">
        <f ca="1">IFERROR(__xludf.DUMMYFUNCTION("""COMPUTED_VALUE"""),723.47)</f>
        <v>723.47</v>
      </c>
      <c r="C85" s="15">
        <f t="shared" ca="1" si="0"/>
        <v>1.7739076611428484E-2</v>
      </c>
      <c r="D85" s="14">
        <f t="shared" ca="1" si="1"/>
        <v>612.40080000000012</v>
      </c>
      <c r="E85" s="3"/>
      <c r="F85" s="3"/>
    </row>
    <row r="86" spans="1:6" ht="14.25" x14ac:dyDescent="0.2">
      <c r="A86" s="13">
        <f ca="1">IFERROR(__xludf.DUMMYFUNCTION("""COMPUTED_VALUE"""),43957.6458333333)</f>
        <v>43957.645833333299</v>
      </c>
      <c r="B86" s="14">
        <f ca="1">IFERROR(__xludf.DUMMYFUNCTION("""COMPUTED_VALUE"""),723.52)</f>
        <v>723.52</v>
      </c>
      <c r="C86" s="15">
        <f t="shared" ca="1" si="0"/>
        <v>6.9111366055141232E-5</v>
      </c>
      <c r="D86" s="14">
        <f t="shared" ca="1" si="1"/>
        <v>612.22760000000005</v>
      </c>
      <c r="E86" s="3"/>
      <c r="F86" s="3"/>
    </row>
    <row r="87" spans="1:6" ht="14.25" x14ac:dyDescent="0.2">
      <c r="A87" s="13">
        <f ca="1">IFERROR(__xludf.DUMMYFUNCTION("""COMPUTED_VALUE"""),43958.6458333333)</f>
        <v>43958.645833333299</v>
      </c>
      <c r="B87" s="14">
        <f ca="1">IFERROR(__xludf.DUMMYFUNCTION("""COMPUTED_VALUE"""),746.4)</f>
        <v>746.4</v>
      </c>
      <c r="C87" s="15">
        <f t="shared" ca="1" si="0"/>
        <v>3.1623175586023899E-2</v>
      </c>
      <c r="D87" s="14">
        <f t="shared" ca="1" si="1"/>
        <v>612.61940000000004</v>
      </c>
      <c r="E87" s="3"/>
      <c r="F87" s="3"/>
    </row>
    <row r="88" spans="1:6" ht="14.25" x14ac:dyDescent="0.2">
      <c r="A88" s="13">
        <f ca="1">IFERROR(__xludf.DUMMYFUNCTION("""COMPUTED_VALUE"""),43959.6458333333)</f>
        <v>43959.645833333299</v>
      </c>
      <c r="B88" s="14">
        <f ca="1">IFERROR(__xludf.DUMMYFUNCTION("""COMPUTED_VALUE"""),773.57)</f>
        <v>773.57</v>
      </c>
      <c r="C88" s="15">
        <f t="shared" ca="1" si="0"/>
        <v>3.6401393354769551E-2</v>
      </c>
      <c r="D88" s="14">
        <f t="shared" ca="1" si="1"/>
        <v>613.19399999999996</v>
      </c>
      <c r="E88" s="3"/>
      <c r="F88" s="3"/>
    </row>
    <row r="89" spans="1:6" ht="14.25" x14ac:dyDescent="0.2">
      <c r="A89" s="13">
        <f ca="1">IFERROR(__xludf.DUMMYFUNCTION("""COMPUTED_VALUE"""),43962.6458333333)</f>
        <v>43962.645833333299</v>
      </c>
      <c r="B89" s="14">
        <f ca="1">IFERROR(__xludf.DUMMYFUNCTION("""COMPUTED_VALUE"""),781)</f>
        <v>781</v>
      </c>
      <c r="C89" s="15">
        <f t="shared" ca="1" si="0"/>
        <v>9.6048192148092681E-3</v>
      </c>
      <c r="D89" s="14">
        <f t="shared" ca="1" si="1"/>
        <v>614.09400000000005</v>
      </c>
      <c r="E89" s="3"/>
      <c r="F89" s="3"/>
    </row>
    <row r="90" spans="1:6" ht="14.25" x14ac:dyDescent="0.2">
      <c r="A90" s="13">
        <f ca="1">IFERROR(__xludf.DUMMYFUNCTION("""COMPUTED_VALUE"""),43963.6458333333)</f>
        <v>43963.645833333299</v>
      </c>
      <c r="B90" s="14">
        <f ca="1">IFERROR(__xludf.DUMMYFUNCTION("""COMPUTED_VALUE"""),732.68)</f>
        <v>732.68</v>
      </c>
      <c r="C90" s="15">
        <f t="shared" ca="1" si="0"/>
        <v>-6.1869398207426429E-2</v>
      </c>
      <c r="D90" s="14">
        <f t="shared" ca="1" si="1"/>
        <v>614.43380000000002</v>
      </c>
      <c r="E90" s="3"/>
      <c r="F90" s="3"/>
    </row>
    <row r="91" spans="1:6" ht="14.25" x14ac:dyDescent="0.2">
      <c r="A91" s="13">
        <f ca="1">IFERROR(__xludf.DUMMYFUNCTION("""COMPUTED_VALUE"""),43964.6458333333)</f>
        <v>43964.645833333299</v>
      </c>
      <c r="B91" s="14">
        <f ca="1">IFERROR(__xludf.DUMMYFUNCTION("""COMPUTED_VALUE"""),748.23)</f>
        <v>748.23</v>
      </c>
      <c r="C91" s="15">
        <f t="shared" ca="1" si="0"/>
        <v>2.1223453622318145E-2</v>
      </c>
      <c r="D91" s="14">
        <f t="shared" ca="1" si="1"/>
        <v>615.36739999999998</v>
      </c>
      <c r="E91" s="3"/>
      <c r="F91" s="3"/>
    </row>
    <row r="92" spans="1:6" ht="14.25" x14ac:dyDescent="0.2">
      <c r="A92" s="13">
        <f ca="1">IFERROR(__xludf.DUMMYFUNCTION("""COMPUTED_VALUE"""),43965.6458333333)</f>
        <v>43965.645833333299</v>
      </c>
      <c r="B92" s="14">
        <f ca="1">IFERROR(__xludf.DUMMYFUNCTION("""COMPUTED_VALUE"""),717.98)</f>
        <v>717.98</v>
      </c>
      <c r="C92" s="15">
        <f t="shared" ca="1" si="0"/>
        <v>-4.0428745171939062E-2</v>
      </c>
      <c r="D92" s="14">
        <f t="shared" ca="1" si="1"/>
        <v>615.93780000000004</v>
      </c>
      <c r="E92" s="3"/>
      <c r="F92" s="3"/>
    </row>
    <row r="93" spans="1:6" ht="14.25" x14ac:dyDescent="0.2">
      <c r="A93" s="13">
        <f ca="1">IFERROR(__xludf.DUMMYFUNCTION("""COMPUTED_VALUE"""),43966.6458333333)</f>
        <v>43966.645833333299</v>
      </c>
      <c r="B93" s="14">
        <f ca="1">IFERROR(__xludf.DUMMYFUNCTION("""COMPUTED_VALUE"""),729.7)</f>
        <v>729.7</v>
      </c>
      <c r="C93" s="15">
        <f t="shared" ca="1" si="0"/>
        <v>1.6323574472826508E-2</v>
      </c>
      <c r="D93" s="14">
        <f t="shared" ca="1" si="1"/>
        <v>616.79939999999999</v>
      </c>
      <c r="E93" s="3"/>
      <c r="F93" s="3"/>
    </row>
    <row r="94" spans="1:6" ht="14.25" x14ac:dyDescent="0.2">
      <c r="A94" s="13">
        <f ca="1">IFERROR(__xludf.DUMMYFUNCTION("""COMPUTED_VALUE"""),43969.6458333333)</f>
        <v>43969.645833333299</v>
      </c>
      <c r="B94" s="14">
        <f ca="1">IFERROR(__xludf.DUMMYFUNCTION("""COMPUTED_VALUE"""),720.38)</f>
        <v>720.38</v>
      </c>
      <c r="C94" s="15">
        <f t="shared" ca="1" si="0"/>
        <v>-1.2772372207756733E-2</v>
      </c>
      <c r="D94" s="14">
        <f t="shared" ca="1" si="1"/>
        <v>618.04519999999991</v>
      </c>
      <c r="E94" s="3"/>
      <c r="F94" s="3"/>
    </row>
    <row r="95" spans="1:6" ht="14.25" x14ac:dyDescent="0.2">
      <c r="A95" s="13">
        <f ca="1">IFERROR(__xludf.DUMMYFUNCTION("""COMPUTED_VALUE"""),43970.6458333333)</f>
        <v>43970.645833333299</v>
      </c>
      <c r="B95" s="14">
        <f ca="1">IFERROR(__xludf.DUMMYFUNCTION("""COMPUTED_VALUE"""),704.45)</f>
        <v>704.45</v>
      </c>
      <c r="C95" s="15">
        <f t="shared" ca="1" si="0"/>
        <v>-2.2113329076320798E-2</v>
      </c>
      <c r="D95" s="14">
        <f t="shared" ca="1" si="1"/>
        <v>619.09619999999995</v>
      </c>
      <c r="E95" s="3"/>
      <c r="F95" s="3"/>
    </row>
    <row r="96" spans="1:6" ht="14.25" x14ac:dyDescent="0.2">
      <c r="A96" s="13">
        <f ca="1">IFERROR(__xludf.DUMMYFUNCTION("""COMPUTED_VALUE"""),43971.6458333333)</f>
        <v>43971.645833333299</v>
      </c>
      <c r="B96" s="14">
        <f ca="1">IFERROR(__xludf.DUMMYFUNCTION("""COMPUTED_VALUE"""),716.85)</f>
        <v>716.85</v>
      </c>
      <c r="C96" s="15">
        <f t="shared" ca="1" si="0"/>
        <v>1.7602384839236151E-2</v>
      </c>
      <c r="D96" s="14">
        <f t="shared" ca="1" si="1"/>
        <v>620.13079999999991</v>
      </c>
      <c r="E96" s="3"/>
      <c r="F96" s="3"/>
    </row>
    <row r="97" spans="1:6" ht="14.25" x14ac:dyDescent="0.2">
      <c r="A97" s="13">
        <f ca="1">IFERROR(__xludf.DUMMYFUNCTION("""COMPUTED_VALUE"""),43972.6458333333)</f>
        <v>43972.645833333299</v>
      </c>
      <c r="B97" s="14">
        <f ca="1">IFERROR(__xludf.DUMMYFUNCTION("""COMPUTED_VALUE"""),720.63)</f>
        <v>720.63</v>
      </c>
      <c r="C97" s="15">
        <f t="shared" ca="1" si="0"/>
        <v>5.2730696798493071E-3</v>
      </c>
      <c r="D97" s="14">
        <f t="shared" ca="1" si="1"/>
        <v>621.27219999999988</v>
      </c>
      <c r="E97" s="3"/>
      <c r="F97" s="3"/>
    </row>
    <row r="98" spans="1:6" ht="14.25" x14ac:dyDescent="0.2">
      <c r="A98" s="13">
        <f ca="1">IFERROR(__xludf.DUMMYFUNCTION("""COMPUTED_VALUE"""),43973.6458333333)</f>
        <v>43973.645833333299</v>
      </c>
      <c r="B98" s="14">
        <f ca="1">IFERROR(__xludf.DUMMYFUNCTION("""COMPUTED_VALUE"""),715.78)</f>
        <v>715.78</v>
      </c>
      <c r="C98" s="15">
        <f t="shared" ca="1" si="0"/>
        <v>-6.7302221667152606E-3</v>
      </c>
      <c r="D98" s="14">
        <f t="shared" ca="1" si="1"/>
        <v>622.59939999999995</v>
      </c>
      <c r="E98" s="3"/>
      <c r="F98" s="3"/>
    </row>
    <row r="99" spans="1:6" ht="14.25" x14ac:dyDescent="0.2">
      <c r="A99" s="13">
        <f ca="1">IFERROR(__xludf.DUMMYFUNCTION("""COMPUTED_VALUE"""),43977.6458333333)</f>
        <v>43977.645833333299</v>
      </c>
      <c r="B99" s="14">
        <f ca="1">IFERROR(__xludf.DUMMYFUNCTION("""COMPUTED_VALUE"""),712.03)</f>
        <v>712.03</v>
      </c>
      <c r="C99" s="15">
        <f t="shared" ca="1" si="0"/>
        <v>-5.2390399284696354E-3</v>
      </c>
      <c r="D99" s="14">
        <f t="shared" ca="1" si="1"/>
        <v>624.24939999999992</v>
      </c>
      <c r="E99" s="3"/>
      <c r="F99" s="3"/>
    </row>
    <row r="100" spans="1:6" ht="14.25" x14ac:dyDescent="0.2">
      <c r="A100" s="13">
        <f ca="1">IFERROR(__xludf.DUMMYFUNCTION("""COMPUTED_VALUE"""),43978.6458333333)</f>
        <v>43978.645833333299</v>
      </c>
      <c r="B100" s="14">
        <f ca="1">IFERROR(__xludf.DUMMYFUNCTION("""COMPUTED_VALUE"""),722.78)</f>
        <v>722.78</v>
      </c>
      <c r="C100" s="15">
        <f t="shared" ca="1" si="0"/>
        <v>1.5097678468603881E-2</v>
      </c>
      <c r="D100" s="14">
        <f t="shared" ca="1" si="1"/>
        <v>627.66819999999996</v>
      </c>
      <c r="E100" s="3"/>
      <c r="F100" s="3"/>
    </row>
    <row r="101" spans="1:6" ht="14.25" x14ac:dyDescent="0.2">
      <c r="A101" s="13">
        <f ca="1">IFERROR(__xludf.DUMMYFUNCTION("""COMPUTED_VALUE"""),43979.6458333333)</f>
        <v>43979.645833333299</v>
      </c>
      <c r="B101" s="14">
        <f ca="1">IFERROR(__xludf.DUMMYFUNCTION("""COMPUTED_VALUE"""),736.13)</f>
        <v>736.13</v>
      </c>
      <c r="C101" s="15">
        <f t="shared" ca="1" si="0"/>
        <v>1.847035059077462E-2</v>
      </c>
      <c r="D101" s="14">
        <f t="shared" ca="1" si="1"/>
        <v>630.96360000000004</v>
      </c>
      <c r="E101" s="3"/>
      <c r="F101" s="3"/>
    </row>
    <row r="102" spans="1:6" ht="14.25" x14ac:dyDescent="0.2">
      <c r="A102" s="13">
        <f ca="1">IFERROR(__xludf.DUMMYFUNCTION("""COMPUTED_VALUE"""),43980.6458333333)</f>
        <v>43980.645833333299</v>
      </c>
      <c r="B102" s="14">
        <f ca="1">IFERROR(__xludf.DUMMYFUNCTION("""COMPUTED_VALUE"""),732.2)</f>
        <v>732.2</v>
      </c>
      <c r="C102" s="15">
        <f t="shared" ca="1" si="0"/>
        <v>-5.3387309306779374E-3</v>
      </c>
      <c r="D102" s="14">
        <f t="shared" ca="1" si="1"/>
        <v>635.07740000000001</v>
      </c>
      <c r="E102" s="3"/>
      <c r="F102" s="3"/>
    </row>
    <row r="103" spans="1:6" ht="14.25" x14ac:dyDescent="0.2">
      <c r="A103" s="13">
        <f ca="1">IFERROR(__xludf.DUMMYFUNCTION("""COMPUTED_VALUE"""),43983.6458333333)</f>
        <v>43983.645833333299</v>
      </c>
      <c r="B103" s="14">
        <f ca="1">IFERROR(__xludf.DUMMYFUNCTION("""COMPUTED_VALUE"""),760.18)</f>
        <v>760.18</v>
      </c>
      <c r="C103" s="15">
        <f t="shared" ca="1" si="0"/>
        <v>3.8213602840753813E-2</v>
      </c>
      <c r="D103" s="14">
        <f t="shared" ca="1" si="1"/>
        <v>639.33180000000004</v>
      </c>
      <c r="E103" s="3"/>
      <c r="F103" s="3"/>
    </row>
    <row r="104" spans="1:6" ht="14.25" x14ac:dyDescent="0.2">
      <c r="A104" s="13">
        <f ca="1">IFERROR(__xludf.DUMMYFUNCTION("""COMPUTED_VALUE"""),43984.6458333333)</f>
        <v>43984.645833333299</v>
      </c>
      <c r="B104" s="14">
        <f ca="1">IFERROR(__xludf.DUMMYFUNCTION("""COMPUTED_VALUE"""),767.85)</f>
        <v>767.85</v>
      </c>
      <c r="C104" s="15">
        <f t="shared" ca="1" si="0"/>
        <v>1.0089715593675219E-2</v>
      </c>
      <c r="D104" s="14">
        <f t="shared" ca="1" si="1"/>
        <v>644.62720000000013</v>
      </c>
      <c r="E104" s="3"/>
      <c r="F104" s="3"/>
    </row>
    <row r="105" spans="1:6" ht="14.25" x14ac:dyDescent="0.2">
      <c r="A105" s="13">
        <f ca="1">IFERROR(__xludf.DUMMYFUNCTION("""COMPUTED_VALUE"""),43985.6458333333)</f>
        <v>43985.645833333299</v>
      </c>
      <c r="B105" s="14">
        <f ca="1">IFERROR(__xludf.DUMMYFUNCTION("""COMPUTED_VALUE"""),770.83)</f>
        <v>770.83</v>
      </c>
      <c r="C105" s="15">
        <f t="shared" ca="1" si="0"/>
        <v>3.8809663345704681E-3</v>
      </c>
      <c r="D105" s="14">
        <f t="shared" ca="1" si="1"/>
        <v>650.05840000000012</v>
      </c>
      <c r="E105" s="3"/>
      <c r="F105" s="3"/>
    </row>
    <row r="106" spans="1:6" ht="14.25" x14ac:dyDescent="0.2">
      <c r="A106" s="13">
        <f ca="1">IFERROR(__xludf.DUMMYFUNCTION("""COMPUTED_VALUE"""),43986.6458333333)</f>
        <v>43986.645833333299</v>
      </c>
      <c r="B106" s="14">
        <f ca="1">IFERROR(__xludf.DUMMYFUNCTION("""COMPUTED_VALUE"""),789.9)</f>
        <v>789.9</v>
      </c>
      <c r="C106" s="15">
        <f t="shared" ca="1" si="0"/>
        <v>2.4739566441368321E-2</v>
      </c>
      <c r="D106" s="14">
        <f t="shared" ca="1" si="1"/>
        <v>656.26240000000018</v>
      </c>
      <c r="E106" s="3"/>
      <c r="F106" s="3"/>
    </row>
    <row r="107" spans="1:6" ht="14.25" x14ac:dyDescent="0.2">
      <c r="A107" s="13">
        <f ca="1">IFERROR(__xludf.DUMMYFUNCTION("""COMPUTED_VALUE"""),43987.6458333333)</f>
        <v>43987.645833333299</v>
      </c>
      <c r="B107" s="14">
        <f ca="1">IFERROR(__xludf.DUMMYFUNCTION("""COMPUTED_VALUE"""),790.85)</f>
        <v>790.85</v>
      </c>
      <c r="C107" s="15">
        <f t="shared" ca="1" si="0"/>
        <v>1.2026838840359932E-3</v>
      </c>
      <c r="D107" s="14">
        <f t="shared" ca="1" si="1"/>
        <v>662.98860000000013</v>
      </c>
      <c r="E107" s="3"/>
      <c r="F107" s="3"/>
    </row>
    <row r="108" spans="1:6" ht="14.25" x14ac:dyDescent="0.2">
      <c r="A108" s="13">
        <f ca="1">IFERROR(__xludf.DUMMYFUNCTION("""COMPUTED_VALUE"""),43990.6458333333)</f>
        <v>43990.645833333299</v>
      </c>
      <c r="B108" s="14">
        <f ca="1">IFERROR(__xludf.DUMMYFUNCTION("""COMPUTED_VALUE"""),784.75)</f>
        <v>784.75</v>
      </c>
      <c r="C108" s="15">
        <f t="shared" ca="1" si="0"/>
        <v>-7.7132199532149448E-3</v>
      </c>
      <c r="D108" s="14">
        <f t="shared" ca="1" si="1"/>
        <v>668.59960000000001</v>
      </c>
      <c r="E108" s="3"/>
      <c r="F108" s="3"/>
    </row>
    <row r="109" spans="1:6" ht="14.25" x14ac:dyDescent="0.2">
      <c r="A109" s="13">
        <f ca="1">IFERROR(__xludf.DUMMYFUNCTION("""COMPUTED_VALUE"""),43991.6458333333)</f>
        <v>43991.645833333299</v>
      </c>
      <c r="B109" s="14">
        <f ca="1">IFERROR(__xludf.DUMMYFUNCTION("""COMPUTED_VALUE"""),768.58)</f>
        <v>768.58</v>
      </c>
      <c r="C109" s="15">
        <f t="shared" ca="1" si="0"/>
        <v>-2.0605288308378378E-2</v>
      </c>
      <c r="D109" s="14">
        <f t="shared" ca="1" si="1"/>
        <v>675.21379999999999</v>
      </c>
      <c r="E109" s="3"/>
      <c r="F109" s="3"/>
    </row>
    <row r="110" spans="1:6" ht="14.25" x14ac:dyDescent="0.2">
      <c r="A110" s="13">
        <f ca="1">IFERROR(__xludf.DUMMYFUNCTION("""COMPUTED_VALUE"""),43992.6458333333)</f>
        <v>43992.645833333299</v>
      </c>
      <c r="B110" s="14">
        <f ca="1">IFERROR(__xludf.DUMMYFUNCTION("""COMPUTED_VALUE"""),786.08)</f>
        <v>786.08</v>
      </c>
      <c r="C110" s="15">
        <f t="shared" ca="1" si="0"/>
        <v>2.2769262796325629E-2</v>
      </c>
      <c r="D110" s="14">
        <f t="shared" ca="1" si="1"/>
        <v>681.59000000000015</v>
      </c>
      <c r="E110" s="3"/>
      <c r="F110" s="3"/>
    </row>
    <row r="111" spans="1:6" ht="14.25" x14ac:dyDescent="0.2">
      <c r="A111" s="13">
        <f ca="1">IFERROR(__xludf.DUMMYFUNCTION("""COMPUTED_VALUE"""),43993.6458333333)</f>
        <v>43993.645833333299</v>
      </c>
      <c r="B111" s="14">
        <f ca="1">IFERROR(__xludf.DUMMYFUNCTION("""COMPUTED_VALUE"""),768.85)</f>
        <v>768.85</v>
      </c>
      <c r="C111" s="15">
        <f t="shared" ca="1" si="0"/>
        <v>-2.1918888662731506E-2</v>
      </c>
      <c r="D111" s="14">
        <f t="shared" ca="1" si="1"/>
        <v>686.24620000000004</v>
      </c>
      <c r="E111" s="3"/>
      <c r="F111" s="3"/>
    </row>
    <row r="112" spans="1:6" ht="14.25" x14ac:dyDescent="0.2">
      <c r="A112" s="13">
        <f ca="1">IFERROR(__xludf.DUMMYFUNCTION("""COMPUTED_VALUE"""),43994.6458333333)</f>
        <v>43994.645833333299</v>
      </c>
      <c r="B112" s="14">
        <f ca="1">IFERROR(__xludf.DUMMYFUNCTION("""COMPUTED_VALUE"""),794.4)</f>
        <v>794.4</v>
      </c>
      <c r="C112" s="15">
        <f t="shared" ca="1" si="0"/>
        <v>3.3231449567535876E-2</v>
      </c>
      <c r="D112" s="14">
        <f t="shared" ca="1" si="1"/>
        <v>691.57240000000002</v>
      </c>
      <c r="E112" s="3"/>
      <c r="F112" s="3"/>
    </row>
    <row r="113" spans="1:6" ht="14.25" x14ac:dyDescent="0.2">
      <c r="A113" s="13">
        <f ca="1">IFERROR(__xludf.DUMMYFUNCTION("""COMPUTED_VALUE"""),43997.6458333333)</f>
        <v>43997.645833333299</v>
      </c>
      <c r="B113" s="14">
        <f ca="1">IFERROR(__xludf.DUMMYFUNCTION("""COMPUTED_VALUE"""),807.28)</f>
        <v>807.28</v>
      </c>
      <c r="C113" s="15">
        <f t="shared" ca="1" si="0"/>
        <v>1.6213494461228661E-2</v>
      </c>
      <c r="D113" s="14">
        <f t="shared" ca="1" si="1"/>
        <v>697.16200000000015</v>
      </c>
      <c r="E113" s="3"/>
      <c r="F113" s="3"/>
    </row>
    <row r="114" spans="1:6" ht="14.25" x14ac:dyDescent="0.2">
      <c r="A114" s="13">
        <f ca="1">IFERROR(__xludf.DUMMYFUNCTION("""COMPUTED_VALUE"""),43998.6458333333)</f>
        <v>43998.645833333299</v>
      </c>
      <c r="B114" s="14">
        <f ca="1">IFERROR(__xludf.DUMMYFUNCTION("""COMPUTED_VALUE"""),808.85)</f>
        <v>808.85</v>
      </c>
      <c r="C114" s="15">
        <f t="shared" ca="1" si="0"/>
        <v>1.9448022990784519E-3</v>
      </c>
      <c r="D114" s="14">
        <f t="shared" ca="1" si="1"/>
        <v>703.13119999999992</v>
      </c>
      <c r="E114" s="3"/>
      <c r="F114" s="3"/>
    </row>
    <row r="115" spans="1:6" ht="14.25" x14ac:dyDescent="0.2">
      <c r="A115" s="13">
        <f ca="1">IFERROR(__xludf.DUMMYFUNCTION("""COMPUTED_VALUE"""),43999.6458333333)</f>
        <v>43999.645833333299</v>
      </c>
      <c r="B115" s="14">
        <f ca="1">IFERROR(__xludf.DUMMYFUNCTION("""COMPUTED_VALUE"""),807.68)</f>
        <v>807.68</v>
      </c>
      <c r="C115" s="15">
        <f t="shared" ca="1" si="0"/>
        <v>-1.4464981146072864E-3</v>
      </c>
      <c r="D115" s="14">
        <f t="shared" ca="1" si="1"/>
        <v>708.25179999999989</v>
      </c>
      <c r="E115" s="3"/>
      <c r="F115" s="3"/>
    </row>
    <row r="116" spans="1:6" ht="14.25" x14ac:dyDescent="0.2">
      <c r="A116" s="13">
        <f ca="1">IFERROR(__xludf.DUMMYFUNCTION("""COMPUTED_VALUE"""),44000.6458333333)</f>
        <v>44000.645833333299</v>
      </c>
      <c r="B116" s="14">
        <f ca="1">IFERROR(__xludf.DUMMYFUNCTION("""COMPUTED_VALUE"""),827.95)</f>
        <v>827.95</v>
      </c>
      <c r="C116" s="15">
        <f t="shared" ca="1" si="0"/>
        <v>2.5096572900158653E-2</v>
      </c>
      <c r="D116" s="14">
        <f t="shared" ca="1" si="1"/>
        <v>714.10780000000011</v>
      </c>
      <c r="E116" s="3"/>
      <c r="F116" s="3"/>
    </row>
    <row r="117" spans="1:6" ht="14.25" x14ac:dyDescent="0.2">
      <c r="A117" s="13">
        <f ca="1">IFERROR(__xludf.DUMMYFUNCTION("""COMPUTED_VALUE"""),44001.6458333333)</f>
        <v>44001.645833333299</v>
      </c>
      <c r="B117" s="14">
        <f ca="1">IFERROR(__xludf.DUMMYFUNCTION("""COMPUTED_VALUE"""),879.7)</f>
        <v>879.7</v>
      </c>
      <c r="C117" s="15">
        <f t="shared" ca="1" si="0"/>
        <v>6.2503774382510979E-2</v>
      </c>
      <c r="D117" s="14">
        <f t="shared" ca="1" si="1"/>
        <v>721.02839999999992</v>
      </c>
      <c r="E117" s="3"/>
      <c r="F117" s="3"/>
    </row>
    <row r="118" spans="1:6" ht="14.25" x14ac:dyDescent="0.2">
      <c r="A118" s="13">
        <f ca="1">IFERROR(__xludf.DUMMYFUNCTION("""COMPUTED_VALUE"""),44004.6458333333)</f>
        <v>44004.645833333299</v>
      </c>
      <c r="B118" s="14">
        <f ca="1">IFERROR(__xludf.DUMMYFUNCTION("""COMPUTED_VALUE"""),873.08)</f>
        <v>873.08</v>
      </c>
      <c r="C118" s="15">
        <f t="shared" ca="1" si="0"/>
        <v>-7.525292713425058E-3</v>
      </c>
      <c r="D118" s="14">
        <f t="shared" ca="1" si="1"/>
        <v>726.54219999999998</v>
      </c>
      <c r="E118" s="3"/>
      <c r="F118" s="3"/>
    </row>
    <row r="119" spans="1:6" ht="14.25" x14ac:dyDescent="0.2">
      <c r="A119" s="13">
        <f ca="1">IFERROR(__xludf.DUMMYFUNCTION("""COMPUTED_VALUE"""),44005.6458333333)</f>
        <v>44005.645833333299</v>
      </c>
      <c r="B119" s="14">
        <f ca="1">IFERROR(__xludf.DUMMYFUNCTION("""COMPUTED_VALUE"""),860.45)</f>
        <v>860.45</v>
      </c>
      <c r="C119" s="15">
        <f t="shared" ca="1" si="0"/>
        <v>-1.4466028313556589E-2</v>
      </c>
      <c r="D119" s="14">
        <f t="shared" ca="1" si="1"/>
        <v>731.94159999999988</v>
      </c>
      <c r="E119" s="3"/>
      <c r="F119" s="3"/>
    </row>
    <row r="120" spans="1:6" ht="14.25" x14ac:dyDescent="0.2">
      <c r="A120" s="13">
        <f ca="1">IFERROR(__xludf.DUMMYFUNCTION("""COMPUTED_VALUE"""),44006.6458333333)</f>
        <v>44006.645833333299</v>
      </c>
      <c r="B120" s="14">
        <f ca="1">IFERROR(__xludf.DUMMYFUNCTION("""COMPUTED_VALUE"""),863.93)</f>
        <v>863.93</v>
      </c>
      <c r="C120" s="15">
        <f t="shared" ca="1" si="0"/>
        <v>4.0443953745132877E-3</v>
      </c>
      <c r="D120" s="14">
        <f t="shared" ca="1" si="1"/>
        <v>737.13519999999994</v>
      </c>
      <c r="E120" s="3"/>
      <c r="F120" s="3"/>
    </row>
    <row r="121" spans="1:6" ht="14.25" x14ac:dyDescent="0.2">
      <c r="A121" s="13">
        <f ca="1">IFERROR(__xludf.DUMMYFUNCTION("""COMPUTED_VALUE"""),44007.6458333333)</f>
        <v>44007.645833333299</v>
      </c>
      <c r="B121" s="14">
        <f ca="1">IFERROR(__xludf.DUMMYFUNCTION("""COMPUTED_VALUE"""),858.95)</f>
        <v>858.95</v>
      </c>
      <c r="C121" s="15">
        <f t="shared" ca="1" si="0"/>
        <v>-5.7643559084646911E-3</v>
      </c>
      <c r="D121" s="14">
        <f t="shared" ca="1" si="1"/>
        <v>742.53439999999978</v>
      </c>
      <c r="E121" s="3"/>
      <c r="F121" s="3"/>
    </row>
    <row r="122" spans="1:6" ht="14.25" x14ac:dyDescent="0.2">
      <c r="A122" s="13">
        <f ca="1">IFERROR(__xludf.DUMMYFUNCTION("""COMPUTED_VALUE"""),44008.6458333333)</f>
        <v>44008.645833333299</v>
      </c>
      <c r="B122" s="14">
        <f ca="1">IFERROR(__xludf.DUMMYFUNCTION("""COMPUTED_VALUE"""),870.83)</f>
        <v>870.83</v>
      </c>
      <c r="C122" s="15">
        <f t="shared" ca="1" si="0"/>
        <v>1.3830839979044107E-2</v>
      </c>
      <c r="D122" s="14">
        <f t="shared" ca="1" si="1"/>
        <v>748.56039999999996</v>
      </c>
      <c r="E122" s="3"/>
      <c r="F122" s="3"/>
    </row>
    <row r="123" spans="1:6" ht="14.25" x14ac:dyDescent="0.2">
      <c r="A123" s="13">
        <f ca="1">IFERROR(__xludf.DUMMYFUNCTION("""COMPUTED_VALUE"""),44011.6458333333)</f>
        <v>44011.645833333299</v>
      </c>
      <c r="B123" s="14">
        <f ca="1">IFERROR(__xludf.DUMMYFUNCTION("""COMPUTED_VALUE"""),861.58)</f>
        <v>861.58</v>
      </c>
      <c r="C123" s="15">
        <f t="shared" ca="1" si="0"/>
        <v>-1.0622050227943491E-2</v>
      </c>
      <c r="D123" s="14">
        <f t="shared" ca="1" si="1"/>
        <v>754.22119999999995</v>
      </c>
      <c r="E123" s="3"/>
      <c r="F123" s="3"/>
    </row>
    <row r="124" spans="1:6" ht="14.25" x14ac:dyDescent="0.2">
      <c r="A124" s="13">
        <f ca="1">IFERROR(__xludf.DUMMYFUNCTION("""COMPUTED_VALUE"""),44012.6458333333)</f>
        <v>44012.645833333299</v>
      </c>
      <c r="B124" s="14">
        <f ca="1">IFERROR(__xludf.DUMMYFUNCTION("""COMPUTED_VALUE"""),852.05)</f>
        <v>852.05</v>
      </c>
      <c r="C124" s="15">
        <f t="shared" ca="1" si="0"/>
        <v>-1.1061073841082791E-2</v>
      </c>
      <c r="D124" s="14">
        <f t="shared" ca="1" si="1"/>
        <v>759.13720000000001</v>
      </c>
      <c r="E124" s="3"/>
      <c r="F124" s="3"/>
    </row>
    <row r="125" spans="1:6" ht="14.25" x14ac:dyDescent="0.2">
      <c r="A125" s="13">
        <f ca="1">IFERROR(__xludf.DUMMYFUNCTION("""COMPUTED_VALUE"""),44013.6458333333)</f>
        <v>44013.645833333299</v>
      </c>
      <c r="B125" s="14">
        <f ca="1">IFERROR(__xludf.DUMMYFUNCTION("""COMPUTED_VALUE"""),868.8)</f>
        <v>868.8</v>
      </c>
      <c r="C125" s="15">
        <f t="shared" ca="1" si="0"/>
        <v>1.9658470747021983E-2</v>
      </c>
      <c r="D125" s="14">
        <f t="shared" ca="1" si="1"/>
        <v>764.19200000000012</v>
      </c>
      <c r="E125" s="3"/>
      <c r="F125" s="3"/>
    </row>
    <row r="126" spans="1:6" ht="14.25" x14ac:dyDescent="0.2">
      <c r="A126" s="13">
        <f ca="1">IFERROR(__xludf.DUMMYFUNCTION("""COMPUTED_VALUE"""),44014.6458333333)</f>
        <v>44014.645833333299</v>
      </c>
      <c r="B126" s="14">
        <f ca="1">IFERROR(__xludf.DUMMYFUNCTION("""COMPUTED_VALUE"""),880.18)</f>
        <v>880.18</v>
      </c>
      <c r="C126" s="15">
        <f t="shared" ca="1" si="0"/>
        <v>1.3098526703499092E-2</v>
      </c>
      <c r="D126" s="14">
        <f t="shared" ca="1" si="1"/>
        <v>769.53820000000019</v>
      </c>
      <c r="E126" s="3"/>
      <c r="F126" s="3"/>
    </row>
    <row r="127" spans="1:6" ht="14.25" x14ac:dyDescent="0.2">
      <c r="A127" s="13">
        <f ca="1">IFERROR(__xludf.DUMMYFUNCTION("""COMPUTED_VALUE"""),44015.6458333333)</f>
        <v>44015.645833333299</v>
      </c>
      <c r="B127" s="14">
        <f ca="1">IFERROR(__xludf.DUMMYFUNCTION("""COMPUTED_VALUE"""),893.95)</f>
        <v>893.95</v>
      </c>
      <c r="C127" s="15">
        <f t="shared" ca="1" si="0"/>
        <v>1.5644527255788798E-2</v>
      </c>
      <c r="D127" s="14">
        <f t="shared" ca="1" si="1"/>
        <v>773.90920000000028</v>
      </c>
      <c r="E127" s="3"/>
      <c r="F127" s="3"/>
    </row>
    <row r="128" spans="1:6" ht="14.25" x14ac:dyDescent="0.2">
      <c r="A128" s="13">
        <f ca="1">IFERROR(__xludf.DUMMYFUNCTION("""COMPUTED_VALUE"""),44018.6458333333)</f>
        <v>44018.645833333299</v>
      </c>
      <c r="B128" s="14">
        <f ca="1">IFERROR(__xludf.DUMMYFUNCTION("""COMPUTED_VALUE"""),925.9)</f>
        <v>925.9</v>
      </c>
      <c r="C128" s="15">
        <f t="shared" ca="1" si="0"/>
        <v>3.5740253929190668E-2</v>
      </c>
      <c r="D128" s="14">
        <f t="shared" ca="1" si="1"/>
        <v>778.84700000000021</v>
      </c>
      <c r="E128" s="3"/>
      <c r="F128" s="3"/>
    </row>
    <row r="129" spans="1:6" ht="14.25" x14ac:dyDescent="0.2">
      <c r="A129" s="13">
        <f ca="1">IFERROR(__xludf.DUMMYFUNCTION("""COMPUTED_VALUE"""),44019.6458333333)</f>
        <v>44019.645833333299</v>
      </c>
      <c r="B129" s="14">
        <f ca="1">IFERROR(__xludf.DUMMYFUNCTION("""COMPUTED_VALUE"""),911.73)</f>
        <v>911.73</v>
      </c>
      <c r="C129" s="15">
        <f t="shared" ca="1" si="0"/>
        <v>-1.5304028512798329E-2</v>
      </c>
      <c r="D129" s="14">
        <f t="shared" ca="1" si="1"/>
        <v>783.0446000000004</v>
      </c>
      <c r="E129" s="3"/>
      <c r="F129" s="3"/>
    </row>
    <row r="130" spans="1:6" ht="14.25" x14ac:dyDescent="0.2">
      <c r="A130" s="13">
        <f ca="1">IFERROR(__xludf.DUMMYFUNCTION("""COMPUTED_VALUE"""),44020.6458333333)</f>
        <v>44020.645833333299</v>
      </c>
      <c r="B130" s="14">
        <f ca="1">IFERROR(__xludf.DUMMYFUNCTION("""COMPUTED_VALUE"""),899)</f>
        <v>899</v>
      </c>
      <c r="C130" s="15">
        <f t="shared" ca="1" si="0"/>
        <v>-1.3962466958419739E-2</v>
      </c>
      <c r="D130" s="14">
        <f t="shared" ca="1" si="1"/>
        <v>786.86140000000023</v>
      </c>
      <c r="E130" s="3"/>
      <c r="F130" s="3"/>
    </row>
    <row r="131" spans="1:6" ht="14.25" x14ac:dyDescent="0.2">
      <c r="A131" s="13">
        <f ca="1">IFERROR(__xludf.DUMMYFUNCTION("""COMPUTED_VALUE"""),44021.6458333333)</f>
        <v>44021.645833333299</v>
      </c>
      <c r="B131" s="14">
        <f ca="1">IFERROR(__xludf.DUMMYFUNCTION("""COMPUTED_VALUE"""),912.13)</f>
        <v>912.13</v>
      </c>
      <c r="C131" s="15">
        <f t="shared" ca="1" si="0"/>
        <v>1.4605116796440498E-2</v>
      </c>
      <c r="D131" s="14">
        <f t="shared" ca="1" si="1"/>
        <v>790.95660000000032</v>
      </c>
      <c r="E131" s="3"/>
      <c r="F131" s="3"/>
    </row>
    <row r="132" spans="1:6" ht="14.25" x14ac:dyDescent="0.2">
      <c r="A132" s="13">
        <f ca="1">IFERROR(__xludf.DUMMYFUNCTION("""COMPUTED_VALUE"""),44022.6458333333)</f>
        <v>44022.645833333299</v>
      </c>
      <c r="B132" s="14">
        <f ca="1">IFERROR(__xludf.DUMMYFUNCTION("""COMPUTED_VALUE"""),939.03)</f>
        <v>939.03</v>
      </c>
      <c r="C132" s="15">
        <f t="shared" ca="1" si="0"/>
        <v>2.9491410215649161E-2</v>
      </c>
      <c r="D132" s="14">
        <f t="shared" ca="1" si="1"/>
        <v>795.60160000000019</v>
      </c>
      <c r="E132" s="3"/>
      <c r="F132" s="3"/>
    </row>
    <row r="133" spans="1:6" ht="14.25" x14ac:dyDescent="0.2">
      <c r="A133" s="13">
        <f ca="1">IFERROR(__xludf.DUMMYFUNCTION("""COMPUTED_VALUE"""),44025.6458333333)</f>
        <v>44025.645833333299</v>
      </c>
      <c r="B133" s="14">
        <f ca="1">IFERROR(__xludf.DUMMYFUNCTION("""COMPUTED_VALUE"""),967.5)</f>
        <v>967.5</v>
      </c>
      <c r="C133" s="15">
        <f t="shared" ca="1" si="0"/>
        <v>3.0318520175074415E-2</v>
      </c>
      <c r="D133" s="14">
        <f t="shared" ca="1" si="1"/>
        <v>800.42920000000015</v>
      </c>
      <c r="E133" s="3"/>
      <c r="F133" s="3"/>
    </row>
    <row r="134" spans="1:6" ht="14.25" x14ac:dyDescent="0.2">
      <c r="A134" s="13">
        <f ca="1">IFERROR(__xludf.DUMMYFUNCTION("""COMPUTED_VALUE"""),44026.6458333333)</f>
        <v>44026.645833333299</v>
      </c>
      <c r="B134" s="14">
        <f ca="1">IFERROR(__xludf.DUMMYFUNCTION("""COMPUTED_VALUE"""),958.5)</f>
        <v>958.5</v>
      </c>
      <c r="C134" s="15">
        <f t="shared" ca="1" si="0"/>
        <v>-9.302325581395321E-3</v>
      </c>
      <c r="D134" s="14">
        <f t="shared" ca="1" si="1"/>
        <v>805.38200000000006</v>
      </c>
      <c r="E134" s="3"/>
      <c r="F134" s="3"/>
    </row>
    <row r="135" spans="1:6" ht="14.25" x14ac:dyDescent="0.2">
      <c r="A135" s="13">
        <f ca="1">IFERROR(__xludf.DUMMYFUNCTION("""COMPUTED_VALUE"""),44027.6458333333)</f>
        <v>44027.645833333299</v>
      </c>
      <c r="B135" s="14">
        <f ca="1">IFERROR(__xludf.DUMMYFUNCTION("""COMPUTED_VALUE"""),922)</f>
        <v>922</v>
      </c>
      <c r="C135" s="15">
        <f t="shared" ca="1" si="0"/>
        <v>-3.8080333854981774E-2</v>
      </c>
      <c r="D135" s="14">
        <f t="shared" ca="1" si="1"/>
        <v>809.35260000000028</v>
      </c>
      <c r="E135" s="3"/>
      <c r="F135" s="3"/>
    </row>
    <row r="136" spans="1:6" ht="14.25" x14ac:dyDescent="0.2">
      <c r="A136" s="13">
        <f ca="1">IFERROR(__xludf.DUMMYFUNCTION("""COMPUTED_VALUE"""),44028.6458333333)</f>
        <v>44028.645833333299</v>
      </c>
      <c r="B136" s="14">
        <f ca="1">IFERROR(__xludf.DUMMYFUNCTION("""COMPUTED_VALUE"""),921.7)</f>
        <v>921.7</v>
      </c>
      <c r="C136" s="15">
        <f t="shared" ca="1" si="0"/>
        <v>-3.2537960954437395E-4</v>
      </c>
      <c r="D136" s="14">
        <f t="shared" ca="1" si="1"/>
        <v>813.31620000000009</v>
      </c>
      <c r="E136" s="3"/>
      <c r="F136" s="3"/>
    </row>
    <row r="137" spans="1:6" ht="14.25" x14ac:dyDescent="0.2">
      <c r="A137" s="13">
        <f ca="1">IFERROR(__xludf.DUMMYFUNCTION("""COMPUTED_VALUE"""),44029.6458333333)</f>
        <v>44029.645833333299</v>
      </c>
      <c r="B137" s="14">
        <f ca="1">IFERROR(__xludf.DUMMYFUNCTION("""COMPUTED_VALUE"""),955.85)</f>
        <v>955.85</v>
      </c>
      <c r="C137" s="15">
        <f t="shared" ca="1" si="0"/>
        <v>3.7051101225995309E-2</v>
      </c>
      <c r="D137" s="14">
        <f t="shared" ca="1" si="1"/>
        <v>817.50520000000006</v>
      </c>
      <c r="E137" s="3"/>
      <c r="F137" s="3"/>
    </row>
    <row r="138" spans="1:6" ht="14.25" x14ac:dyDescent="0.2">
      <c r="A138" s="13">
        <f ca="1">IFERROR(__xludf.DUMMYFUNCTION("""COMPUTED_VALUE"""),44032.6458333333)</f>
        <v>44032.645833333299</v>
      </c>
      <c r="B138" s="14">
        <f ca="1">IFERROR(__xludf.DUMMYFUNCTION("""COMPUTED_VALUE"""),959.95)</f>
        <v>959.95</v>
      </c>
      <c r="C138" s="15">
        <f t="shared" ca="1" si="0"/>
        <v>4.2893759481090754E-3</v>
      </c>
      <c r="D138" s="14">
        <f t="shared" ca="1" si="1"/>
        <v>821.2328</v>
      </c>
      <c r="E138" s="3"/>
      <c r="F138" s="3"/>
    </row>
    <row r="139" spans="1:6" ht="14.25" x14ac:dyDescent="0.2">
      <c r="A139" s="13">
        <f ca="1">IFERROR(__xludf.DUMMYFUNCTION("""COMPUTED_VALUE"""),44033.6458333333)</f>
        <v>44033.645833333299</v>
      </c>
      <c r="B139" s="14">
        <f ca="1">IFERROR(__xludf.DUMMYFUNCTION("""COMPUTED_VALUE"""),985.78)</f>
        <v>985.78</v>
      </c>
      <c r="C139" s="15">
        <f t="shared" ca="1" si="0"/>
        <v>2.6907651440179148E-2</v>
      </c>
      <c r="D139" s="14">
        <f t="shared" ca="1" si="1"/>
        <v>825.32839999999999</v>
      </c>
      <c r="E139" s="3"/>
      <c r="F139" s="3"/>
    </row>
    <row r="140" spans="1:6" ht="14.25" x14ac:dyDescent="0.2">
      <c r="A140" s="13">
        <f ca="1">IFERROR(__xludf.DUMMYFUNCTION("""COMPUTED_VALUE"""),44034.6458333333)</f>
        <v>44034.645833333299</v>
      </c>
      <c r="B140" s="14">
        <f ca="1">IFERROR(__xludf.DUMMYFUNCTION("""COMPUTED_VALUE"""),1002)</f>
        <v>1002</v>
      </c>
      <c r="C140" s="15">
        <f t="shared" ca="1" si="0"/>
        <v>1.6453975532066067E-2</v>
      </c>
      <c r="D140" s="14">
        <f t="shared" ca="1" si="1"/>
        <v>830.71479999999997</v>
      </c>
      <c r="E140" s="3"/>
      <c r="F140" s="3"/>
    </row>
    <row r="141" spans="1:6" ht="14.25" x14ac:dyDescent="0.2">
      <c r="A141" s="13">
        <f ca="1">IFERROR(__xludf.DUMMYFUNCTION("""COMPUTED_VALUE"""),44035.6458333333)</f>
        <v>44035.645833333299</v>
      </c>
      <c r="B141" s="14">
        <f ca="1">IFERROR(__xludf.DUMMYFUNCTION("""COMPUTED_VALUE"""),1028.9)</f>
        <v>1028.9000000000001</v>
      </c>
      <c r="C141" s="15">
        <f t="shared" ca="1" si="0"/>
        <v>2.684630738522964E-2</v>
      </c>
      <c r="D141" s="14">
        <f t="shared" ca="1" si="1"/>
        <v>836.32820000000004</v>
      </c>
      <c r="E141" s="3"/>
      <c r="F141" s="3"/>
    </row>
    <row r="142" spans="1:6" ht="14.25" x14ac:dyDescent="0.2">
      <c r="A142" s="13">
        <f ca="1">IFERROR(__xludf.DUMMYFUNCTION("""COMPUTED_VALUE"""),44036.6458333333)</f>
        <v>44036.645833333299</v>
      </c>
      <c r="B142" s="14">
        <f ca="1">IFERROR(__xludf.DUMMYFUNCTION("""COMPUTED_VALUE"""),1073.08)</f>
        <v>1073.08</v>
      </c>
      <c r="C142" s="15">
        <f t="shared" ca="1" si="0"/>
        <v>4.2939061133248968E-2</v>
      </c>
      <c r="D142" s="14">
        <f t="shared" ca="1" si="1"/>
        <v>843.43020000000001</v>
      </c>
      <c r="E142" s="3"/>
      <c r="F142" s="3"/>
    </row>
    <row r="143" spans="1:6" ht="14.25" x14ac:dyDescent="0.2">
      <c r="A143" s="13">
        <f ca="1">IFERROR(__xludf.DUMMYFUNCTION("""COMPUTED_VALUE"""),44039.6458333333)</f>
        <v>44039.645833333299</v>
      </c>
      <c r="B143" s="14">
        <f ca="1">IFERROR(__xludf.DUMMYFUNCTION("""COMPUTED_VALUE"""),1078.1)</f>
        <v>1078.0999999999999</v>
      </c>
      <c r="C143" s="15">
        <f t="shared" ca="1" si="0"/>
        <v>4.6781227867447317E-3</v>
      </c>
      <c r="D143" s="14">
        <f t="shared" ca="1" si="1"/>
        <v>850.39820000000009</v>
      </c>
      <c r="E143" s="3"/>
      <c r="F143" s="3"/>
    </row>
    <row r="144" spans="1:6" ht="14.25" x14ac:dyDescent="0.2">
      <c r="A144" s="13">
        <f ca="1">IFERROR(__xludf.DUMMYFUNCTION("""COMPUTED_VALUE"""),44040.6458333333)</f>
        <v>44040.645833333299</v>
      </c>
      <c r="B144" s="14">
        <f ca="1">IFERROR(__xludf.DUMMYFUNCTION("""COMPUTED_VALUE"""),1088.85)</f>
        <v>1088.8499999999999</v>
      </c>
      <c r="C144" s="15">
        <f t="shared" ca="1" si="0"/>
        <v>9.9712457100453733E-3</v>
      </c>
      <c r="D144" s="14">
        <f t="shared" ca="1" si="1"/>
        <v>857.76760000000013</v>
      </c>
      <c r="E144" s="3"/>
      <c r="F144" s="3"/>
    </row>
    <row r="145" spans="1:6" ht="14.25" x14ac:dyDescent="0.2">
      <c r="A145" s="13">
        <f ca="1">IFERROR(__xludf.DUMMYFUNCTION("""COMPUTED_VALUE"""),44041.6458333333)</f>
        <v>44041.645833333299</v>
      </c>
      <c r="B145" s="14">
        <f ca="1">IFERROR(__xludf.DUMMYFUNCTION("""COMPUTED_VALUE"""),1048.33)</f>
        <v>1048.33</v>
      </c>
      <c r="C145" s="15">
        <f t="shared" ca="1" si="0"/>
        <v>-3.7213573954171797E-2</v>
      </c>
      <c r="D145" s="14">
        <f t="shared" ca="1" si="1"/>
        <v>864.64520000000005</v>
      </c>
      <c r="E145" s="3"/>
      <c r="F145" s="3"/>
    </row>
    <row r="146" spans="1:6" ht="14.25" x14ac:dyDescent="0.2">
      <c r="A146" s="13">
        <f ca="1">IFERROR(__xludf.DUMMYFUNCTION("""COMPUTED_VALUE"""),44042.6458333333)</f>
        <v>44042.645833333299</v>
      </c>
      <c r="B146" s="14">
        <f ca="1">IFERROR(__xludf.DUMMYFUNCTION("""COMPUTED_VALUE"""),1054.43)</f>
        <v>1054.43</v>
      </c>
      <c r="C146" s="15">
        <f t="shared" ca="1" si="0"/>
        <v>5.8187784380874241E-3</v>
      </c>
      <c r="D146" s="14">
        <f t="shared" ca="1" si="1"/>
        <v>871.3968000000001</v>
      </c>
      <c r="E146" s="3"/>
      <c r="F146" s="3"/>
    </row>
    <row r="147" spans="1:6" ht="14.25" x14ac:dyDescent="0.2">
      <c r="A147" s="13">
        <f ca="1">IFERROR(__xludf.DUMMYFUNCTION("""COMPUTED_VALUE"""),44043.6458333333)</f>
        <v>44043.645833333299</v>
      </c>
      <c r="B147" s="14">
        <f ca="1">IFERROR(__xludf.DUMMYFUNCTION("""COMPUTED_VALUE"""),1033.55)</f>
        <v>1033.55</v>
      </c>
      <c r="C147" s="15">
        <f t="shared" ca="1" si="0"/>
        <v>-1.9802167995979003E-2</v>
      </c>
      <c r="D147" s="14">
        <f t="shared" ca="1" si="1"/>
        <v>877.65520000000015</v>
      </c>
      <c r="E147" s="3"/>
      <c r="F147" s="3"/>
    </row>
    <row r="148" spans="1:6" ht="14.25" x14ac:dyDescent="0.2">
      <c r="A148" s="13">
        <f ca="1">IFERROR(__xludf.DUMMYFUNCTION("""COMPUTED_VALUE"""),44046.6458333333)</f>
        <v>44046.645833333299</v>
      </c>
      <c r="B148" s="14">
        <f ca="1">IFERROR(__xludf.DUMMYFUNCTION("""COMPUTED_VALUE"""),1004.5)</f>
        <v>1004.5</v>
      </c>
      <c r="C148" s="15">
        <f t="shared" ca="1" si="0"/>
        <v>-2.81070098205215E-2</v>
      </c>
      <c r="D148" s="14">
        <f t="shared" ca="1" si="1"/>
        <v>883.42960000000016</v>
      </c>
      <c r="E148" s="3"/>
      <c r="F148" s="3"/>
    </row>
    <row r="149" spans="1:6" ht="14.25" x14ac:dyDescent="0.2">
      <c r="A149" s="13">
        <f ca="1">IFERROR(__xludf.DUMMYFUNCTION("""COMPUTED_VALUE"""),44047.6458333333)</f>
        <v>44047.645833333299</v>
      </c>
      <c r="B149" s="14">
        <f ca="1">IFERROR(__xludf.DUMMYFUNCTION("""COMPUTED_VALUE"""),1075.3)</f>
        <v>1075.3</v>
      </c>
      <c r="C149" s="15">
        <f t="shared" ca="1" si="0"/>
        <v>7.0482827277252413E-2</v>
      </c>
      <c r="D149" s="14">
        <f t="shared" ca="1" si="1"/>
        <v>890.69500000000028</v>
      </c>
      <c r="E149" s="3"/>
      <c r="F149" s="3"/>
    </row>
    <row r="150" spans="1:6" ht="14.25" x14ac:dyDescent="0.2">
      <c r="A150" s="13">
        <f ca="1">IFERROR(__xludf.DUMMYFUNCTION("""COMPUTED_VALUE"""),44048.6458333333)</f>
        <v>44048.645833333299</v>
      </c>
      <c r="B150" s="14">
        <f ca="1">IFERROR(__xludf.DUMMYFUNCTION("""COMPUTED_VALUE"""),1063.22)</f>
        <v>1063.22</v>
      </c>
      <c r="C150" s="15">
        <f t="shared" ca="1" si="0"/>
        <v>-1.1234074211847744E-2</v>
      </c>
      <c r="D150" s="14">
        <f t="shared" ca="1" si="1"/>
        <v>897.5038000000003</v>
      </c>
      <c r="E150" s="3"/>
      <c r="F150" s="3"/>
    </row>
    <row r="151" spans="1:6" ht="14.25" x14ac:dyDescent="0.2">
      <c r="A151" s="13">
        <f ca="1">IFERROR(__xludf.DUMMYFUNCTION("""COMPUTED_VALUE"""),44049.6458333333)</f>
        <v>44049.645833333299</v>
      </c>
      <c r="B151" s="14">
        <f ca="1">IFERROR(__xludf.DUMMYFUNCTION("""COMPUTED_VALUE"""),1067.05)</f>
        <v>1067.05</v>
      </c>
      <c r="C151" s="15">
        <f t="shared" ca="1" si="0"/>
        <v>3.6022648181937011E-3</v>
      </c>
      <c r="D151" s="14">
        <f t="shared" ca="1" si="1"/>
        <v>904.12220000000025</v>
      </c>
      <c r="E151" s="3"/>
      <c r="F151" s="3"/>
    </row>
    <row r="152" spans="1:6" ht="14.25" x14ac:dyDescent="0.2">
      <c r="A152" s="13">
        <f ca="1">IFERROR(__xludf.DUMMYFUNCTION("""COMPUTED_VALUE"""),44050.6458333333)</f>
        <v>44050.645833333299</v>
      </c>
      <c r="B152" s="14">
        <f ca="1">IFERROR(__xludf.DUMMYFUNCTION("""COMPUTED_VALUE"""),1073.22)</f>
        <v>1073.22</v>
      </c>
      <c r="C152" s="15">
        <f t="shared" ca="1" si="0"/>
        <v>5.7822969870202634E-3</v>
      </c>
      <c r="D152" s="14">
        <f t="shared" ca="1" si="1"/>
        <v>910.94260000000043</v>
      </c>
      <c r="E152" s="3"/>
      <c r="F152" s="3"/>
    </row>
    <row r="153" spans="1:6" ht="14.25" x14ac:dyDescent="0.2">
      <c r="A153" s="13">
        <f ca="1">IFERROR(__xludf.DUMMYFUNCTION("""COMPUTED_VALUE"""),44053.6458333333)</f>
        <v>44053.645833333299</v>
      </c>
      <c r="B153" s="14">
        <f ca="1">IFERROR(__xludf.DUMMYFUNCTION("""COMPUTED_VALUE"""),1059.93)</f>
        <v>1059.93</v>
      </c>
      <c r="C153" s="15">
        <f t="shared" ca="1" si="0"/>
        <v>-1.2383295130541705E-2</v>
      </c>
      <c r="D153" s="14">
        <f t="shared" ca="1" si="1"/>
        <v>916.9376000000002</v>
      </c>
      <c r="E153" s="3"/>
      <c r="F153" s="3"/>
    </row>
    <row r="154" spans="1:6" ht="14.25" x14ac:dyDescent="0.2">
      <c r="A154" s="13">
        <f ca="1">IFERROR(__xludf.DUMMYFUNCTION("""COMPUTED_VALUE"""),44054.6458333333)</f>
        <v>44054.645833333299</v>
      </c>
      <c r="B154" s="14">
        <f ca="1">IFERROR(__xludf.DUMMYFUNCTION("""COMPUTED_VALUE"""),1066.9)</f>
        <v>1066.9000000000001</v>
      </c>
      <c r="C154" s="15">
        <f t="shared" ca="1" si="0"/>
        <v>6.5759059560537292E-3</v>
      </c>
      <c r="D154" s="14">
        <f t="shared" ca="1" si="1"/>
        <v>922.91860000000031</v>
      </c>
      <c r="E154" s="3"/>
      <c r="F154" s="3"/>
    </row>
    <row r="155" spans="1:6" ht="14.25" x14ac:dyDescent="0.2">
      <c r="A155" s="13">
        <f ca="1">IFERROR(__xludf.DUMMYFUNCTION("""COMPUTED_VALUE"""),44055.6458333333)</f>
        <v>44055.645833333299</v>
      </c>
      <c r="B155" s="14">
        <f ca="1">IFERROR(__xludf.DUMMYFUNCTION("""COMPUTED_VALUE"""),1063.8)</f>
        <v>1063.8</v>
      </c>
      <c r="C155" s="15">
        <f t="shared" ca="1" si="0"/>
        <v>-2.9056143968507753E-3</v>
      </c>
      <c r="D155" s="14">
        <f t="shared" ca="1" si="1"/>
        <v>928.77800000000036</v>
      </c>
      <c r="E155" s="3"/>
      <c r="F155" s="3"/>
    </row>
    <row r="156" spans="1:6" ht="14.25" x14ac:dyDescent="0.2">
      <c r="A156" s="13">
        <f ca="1">IFERROR(__xludf.DUMMYFUNCTION("""COMPUTED_VALUE"""),44056.6458333333)</f>
        <v>44056.645833333299</v>
      </c>
      <c r="B156" s="14">
        <f ca="1">IFERROR(__xludf.DUMMYFUNCTION("""COMPUTED_VALUE"""),1061.03)</f>
        <v>1061.03</v>
      </c>
      <c r="C156" s="15">
        <f t="shared" ca="1" si="0"/>
        <v>-2.6038729084414403E-3</v>
      </c>
      <c r="D156" s="14">
        <f t="shared" ca="1" si="1"/>
        <v>934.20060000000024</v>
      </c>
      <c r="E156" s="3"/>
      <c r="F156" s="3"/>
    </row>
    <row r="157" spans="1:6" ht="14.25" x14ac:dyDescent="0.2">
      <c r="A157" s="13">
        <f ca="1">IFERROR(__xludf.DUMMYFUNCTION("""COMPUTED_VALUE"""),44057.6458333333)</f>
        <v>44057.645833333299</v>
      </c>
      <c r="B157" s="14">
        <f ca="1">IFERROR(__xludf.DUMMYFUNCTION("""COMPUTED_VALUE"""),1056.9)</f>
        <v>1056.9000000000001</v>
      </c>
      <c r="C157" s="15">
        <f t="shared" ca="1" si="0"/>
        <v>-3.8924441344729832E-3</v>
      </c>
      <c r="D157" s="14">
        <f t="shared" ca="1" si="1"/>
        <v>939.52160000000038</v>
      </c>
      <c r="E157" s="3"/>
      <c r="F157" s="3"/>
    </row>
    <row r="158" spans="1:6" ht="14.25" x14ac:dyDescent="0.2">
      <c r="A158" s="13">
        <f ca="1">IFERROR(__xludf.DUMMYFUNCTION("""COMPUTED_VALUE"""),44060.6458333333)</f>
        <v>44060.645833333299</v>
      </c>
      <c r="B158" s="14">
        <f ca="1">IFERROR(__xludf.DUMMYFUNCTION("""COMPUTED_VALUE"""),1045.68)</f>
        <v>1045.68</v>
      </c>
      <c r="C158" s="15">
        <f t="shared" ca="1" si="0"/>
        <v>-1.0615952313369315E-2</v>
      </c>
      <c r="D158" s="14">
        <f t="shared" ca="1" si="1"/>
        <v>944.7402000000003</v>
      </c>
      <c r="E158" s="3"/>
      <c r="F158" s="3"/>
    </row>
    <row r="159" spans="1:6" ht="14.25" x14ac:dyDescent="0.2">
      <c r="A159" s="13">
        <f ca="1">IFERROR(__xludf.DUMMYFUNCTION("""COMPUTED_VALUE"""),44061.6458333333)</f>
        <v>44061.645833333299</v>
      </c>
      <c r="B159" s="14">
        <f ca="1">IFERROR(__xludf.DUMMYFUNCTION("""COMPUTED_VALUE"""),1059.28)</f>
        <v>1059.28</v>
      </c>
      <c r="C159" s="15">
        <f t="shared" ca="1" si="0"/>
        <v>1.3005890903526884E-2</v>
      </c>
      <c r="D159" s="14">
        <f t="shared" ca="1" si="1"/>
        <v>950.55420000000026</v>
      </c>
      <c r="E159" s="3"/>
      <c r="F159" s="3"/>
    </row>
    <row r="160" spans="1:6" ht="14.25" x14ac:dyDescent="0.2">
      <c r="A160" s="13">
        <f ca="1">IFERROR(__xludf.DUMMYFUNCTION("""COMPUTED_VALUE"""),44062.6458333333)</f>
        <v>44062.645833333299</v>
      </c>
      <c r="B160" s="14">
        <f ca="1">IFERROR(__xludf.DUMMYFUNCTION("""COMPUTED_VALUE"""),1065.78)</f>
        <v>1065.78</v>
      </c>
      <c r="C160" s="15">
        <f t="shared" ca="1" si="0"/>
        <v>6.1362434861416126E-3</v>
      </c>
      <c r="D160" s="14">
        <f t="shared" ca="1" si="1"/>
        <v>956.1482000000002</v>
      </c>
      <c r="E160" s="3"/>
      <c r="F160" s="3"/>
    </row>
    <row r="161" spans="1:6" ht="14.25" x14ac:dyDescent="0.2">
      <c r="A161" s="13">
        <f ca="1">IFERROR(__xludf.DUMMYFUNCTION("""COMPUTED_VALUE"""),44063.6458333333)</f>
        <v>44063.645833333299</v>
      </c>
      <c r="B161" s="14">
        <f ca="1">IFERROR(__xludf.DUMMYFUNCTION("""COMPUTED_VALUE"""),1048.53)</f>
        <v>1048.53</v>
      </c>
      <c r="C161" s="15">
        <f t="shared" ca="1" si="0"/>
        <v>-1.6185329054776765E-2</v>
      </c>
      <c r="D161" s="14">
        <f t="shared" ca="1" si="1"/>
        <v>961.74180000000024</v>
      </c>
      <c r="E161" s="3"/>
      <c r="F161" s="3"/>
    </row>
    <row r="162" spans="1:6" ht="14.25" x14ac:dyDescent="0.2">
      <c r="A162" s="13">
        <f ca="1">IFERROR(__xludf.DUMMYFUNCTION("""COMPUTED_VALUE"""),44064.6458333333)</f>
        <v>44064.645833333299</v>
      </c>
      <c r="B162" s="14">
        <f ca="1">IFERROR(__xludf.DUMMYFUNCTION("""COMPUTED_VALUE"""),1040.93)</f>
        <v>1040.93</v>
      </c>
      <c r="C162" s="15">
        <f t="shared" ca="1" si="0"/>
        <v>-7.2482427779843039E-3</v>
      </c>
      <c r="D162" s="14">
        <f t="shared" ca="1" si="1"/>
        <v>966.67240000000004</v>
      </c>
      <c r="E162" s="3"/>
      <c r="F162" s="3"/>
    </row>
    <row r="163" spans="1:6" ht="14.25" x14ac:dyDescent="0.2">
      <c r="A163" s="13">
        <f ca="1">IFERROR(__xludf.DUMMYFUNCTION("""COMPUTED_VALUE"""),44067.6458333333)</f>
        <v>44067.645833333299</v>
      </c>
      <c r="B163" s="14">
        <f ca="1">IFERROR(__xludf.DUMMYFUNCTION("""COMPUTED_VALUE"""),1047.88)</f>
        <v>1047.8800000000001</v>
      </c>
      <c r="C163" s="15">
        <f t="shared" ca="1" si="0"/>
        <v>6.6767217776411147E-3</v>
      </c>
      <c r="D163" s="14">
        <f t="shared" ca="1" si="1"/>
        <v>971.48440000000005</v>
      </c>
      <c r="E163" s="3"/>
      <c r="F163" s="3"/>
    </row>
    <row r="164" spans="1:6" ht="14.25" x14ac:dyDescent="0.2">
      <c r="A164" s="13">
        <f ca="1">IFERROR(__xludf.DUMMYFUNCTION("""COMPUTED_VALUE"""),44068.6458333333)</f>
        <v>44068.645833333299</v>
      </c>
      <c r="B164" s="14">
        <f ca="1">IFERROR(__xludf.DUMMYFUNCTION("""COMPUTED_VALUE"""),1041.05)</f>
        <v>1041.05</v>
      </c>
      <c r="C164" s="15">
        <f t="shared" ca="1" si="0"/>
        <v>-6.5179218994543264E-3</v>
      </c>
      <c r="D164" s="14">
        <f t="shared" ca="1" si="1"/>
        <v>976.12840000000006</v>
      </c>
      <c r="E164" s="3"/>
      <c r="F164" s="3"/>
    </row>
    <row r="165" spans="1:6" ht="14.25" x14ac:dyDescent="0.2">
      <c r="A165" s="13">
        <f ca="1">IFERROR(__xludf.DUMMYFUNCTION("""COMPUTED_VALUE"""),44069.6458333333)</f>
        <v>44069.645833333299</v>
      </c>
      <c r="B165" s="14">
        <f ca="1">IFERROR(__xludf.DUMMYFUNCTION("""COMPUTED_VALUE"""),1068.65)</f>
        <v>1068.6500000000001</v>
      </c>
      <c r="C165" s="15">
        <f t="shared" ca="1" si="0"/>
        <v>2.651169492339478E-2</v>
      </c>
      <c r="D165" s="14">
        <f t="shared" ca="1" si="1"/>
        <v>981.34780000000012</v>
      </c>
      <c r="E165" s="3"/>
      <c r="F165" s="3"/>
    </row>
    <row r="166" spans="1:6" ht="14.25" x14ac:dyDescent="0.2">
      <c r="A166" s="13">
        <f ca="1">IFERROR(__xludf.DUMMYFUNCTION("""COMPUTED_VALUE"""),44070.6458333333)</f>
        <v>44070.645833333299</v>
      </c>
      <c r="B166" s="14">
        <f ca="1">IFERROR(__xludf.DUMMYFUNCTION("""COMPUTED_VALUE"""),1055.3)</f>
        <v>1055.3</v>
      </c>
      <c r="C166" s="15">
        <f t="shared" ca="1" si="0"/>
        <v>-1.249239694942228E-2</v>
      </c>
      <c r="D166" s="14">
        <f t="shared" ca="1" si="1"/>
        <v>985.89480000000026</v>
      </c>
      <c r="E166" s="3"/>
      <c r="F166" s="3"/>
    </row>
    <row r="167" spans="1:6" ht="14.25" x14ac:dyDescent="0.2">
      <c r="A167" s="13">
        <f ca="1">IFERROR(__xludf.DUMMYFUNCTION("""COMPUTED_VALUE"""),44071.6458333333)</f>
        <v>44071.645833333299</v>
      </c>
      <c r="B167" s="14">
        <f ca="1">IFERROR(__xludf.DUMMYFUNCTION("""COMPUTED_VALUE"""),1058.08)</f>
        <v>1058.08</v>
      </c>
      <c r="C167" s="15">
        <f t="shared" ca="1" si="0"/>
        <v>2.6343219937459139E-3</v>
      </c>
      <c r="D167" s="14">
        <f t="shared" ca="1" si="1"/>
        <v>989.4624</v>
      </c>
      <c r="E167" s="3"/>
      <c r="F167" s="3"/>
    </row>
    <row r="168" spans="1:6" ht="14.25" x14ac:dyDescent="0.2">
      <c r="A168" s="13">
        <f ca="1">IFERROR(__xludf.DUMMYFUNCTION("""COMPUTED_VALUE"""),44074.6458333333)</f>
        <v>44074.645833333299</v>
      </c>
      <c r="B168" s="14">
        <f ca="1">IFERROR(__xludf.DUMMYFUNCTION("""COMPUTED_VALUE"""),1040.35)</f>
        <v>1040.3499999999999</v>
      </c>
      <c r="C168" s="15">
        <f t="shared" ca="1" si="0"/>
        <v>-1.6756766974141857E-2</v>
      </c>
      <c r="D168" s="14">
        <f t="shared" ca="1" si="1"/>
        <v>992.80780000000016</v>
      </c>
      <c r="E168" s="3"/>
      <c r="F168" s="3"/>
    </row>
    <row r="169" spans="1:6" ht="14.25" x14ac:dyDescent="0.2">
      <c r="A169" s="13">
        <f ca="1">IFERROR(__xludf.DUMMYFUNCTION("""COMPUTED_VALUE"""),44075.6458333333)</f>
        <v>44075.645833333299</v>
      </c>
      <c r="B169" s="14">
        <f ca="1">IFERROR(__xludf.DUMMYFUNCTION("""COMPUTED_VALUE"""),1043.63)</f>
        <v>1043.6300000000001</v>
      </c>
      <c r="C169" s="15">
        <f t="shared" ca="1" si="0"/>
        <v>3.1527851203922985E-3</v>
      </c>
      <c r="D169" s="14">
        <f t="shared" ca="1" si="1"/>
        <v>996.47140000000002</v>
      </c>
      <c r="E169" s="3"/>
      <c r="F169" s="3"/>
    </row>
    <row r="170" spans="1:6" ht="14.25" x14ac:dyDescent="0.2">
      <c r="A170" s="13">
        <f ca="1">IFERROR(__xludf.DUMMYFUNCTION("""COMPUTED_VALUE"""),44076.6458333333)</f>
        <v>44076.645833333299</v>
      </c>
      <c r="B170" s="14">
        <f ca="1">IFERROR(__xludf.DUMMYFUNCTION("""COMPUTED_VALUE"""),1064.1)</f>
        <v>1064.0999999999999</v>
      </c>
      <c r="C170" s="15">
        <f t="shared" ca="1" si="0"/>
        <v>1.9614231097227819E-2</v>
      </c>
      <c r="D170" s="14">
        <f t="shared" ca="1" si="1"/>
        <v>1000.4748</v>
      </c>
      <c r="E170" s="3"/>
      <c r="F170" s="3"/>
    </row>
    <row r="171" spans="1:6" ht="14.25" x14ac:dyDescent="0.2">
      <c r="A171" s="13">
        <f ca="1">IFERROR(__xludf.DUMMYFUNCTION("""COMPUTED_VALUE"""),44077.6458333333)</f>
        <v>44077.645833333299</v>
      </c>
      <c r="B171" s="14">
        <f ca="1">IFERROR(__xludf.DUMMYFUNCTION("""COMPUTED_VALUE"""),1056.05)</f>
        <v>1056.05</v>
      </c>
      <c r="C171" s="15">
        <f t="shared" ca="1" si="0"/>
        <v>-7.565078470068598E-3</v>
      </c>
      <c r="D171" s="14">
        <f t="shared" ca="1" si="1"/>
        <v>1004.4168000000001</v>
      </c>
      <c r="E171" s="3"/>
      <c r="F171" s="3"/>
    </row>
    <row r="172" spans="1:6" ht="14.25" x14ac:dyDescent="0.2">
      <c r="A172" s="13">
        <f ca="1">IFERROR(__xludf.DUMMYFUNCTION("""COMPUTED_VALUE"""),44078.6458333333)</f>
        <v>44078.645833333299</v>
      </c>
      <c r="B172" s="14">
        <f ca="1">IFERROR(__xludf.DUMMYFUNCTION("""COMPUTED_VALUE"""),1038.63)</f>
        <v>1038.6300000000001</v>
      </c>
      <c r="C172" s="15">
        <f t="shared" ca="1" si="0"/>
        <v>-1.6495431087543033E-2</v>
      </c>
      <c r="D172" s="14">
        <f t="shared" ca="1" si="1"/>
        <v>1007.7728000000002</v>
      </c>
      <c r="E172" s="3"/>
      <c r="F172" s="3"/>
    </row>
    <row r="173" spans="1:6" ht="14.25" x14ac:dyDescent="0.2">
      <c r="A173" s="13">
        <f ca="1">IFERROR(__xludf.DUMMYFUNCTION("""COMPUTED_VALUE"""),44081.6458333333)</f>
        <v>44081.645833333299</v>
      </c>
      <c r="B173" s="14">
        <f ca="1">IFERROR(__xludf.DUMMYFUNCTION("""COMPUTED_VALUE"""),1041.33)</f>
        <v>1041.33</v>
      </c>
      <c r="C173" s="15">
        <f t="shared" ca="1" si="0"/>
        <v>2.5995782906327314E-3</v>
      </c>
      <c r="D173" s="14">
        <f t="shared" ca="1" si="1"/>
        <v>1011.3678</v>
      </c>
      <c r="E173" s="3"/>
      <c r="F173" s="3"/>
    </row>
    <row r="174" spans="1:6" ht="14.25" x14ac:dyDescent="0.2">
      <c r="A174" s="13">
        <f ca="1">IFERROR(__xludf.DUMMYFUNCTION("""COMPUTED_VALUE"""),44082.6458333333)</f>
        <v>44082.645833333299</v>
      </c>
      <c r="B174" s="14">
        <f ca="1">IFERROR(__xludf.DUMMYFUNCTION("""COMPUTED_VALUE"""),1053.55)</f>
        <v>1053.55</v>
      </c>
      <c r="C174" s="15">
        <f t="shared" ca="1" si="0"/>
        <v>1.1734992749656614E-2</v>
      </c>
      <c r="D174" s="14">
        <f t="shared" ca="1" si="1"/>
        <v>1015.3978000000002</v>
      </c>
      <c r="E174" s="3"/>
      <c r="F174" s="3"/>
    </row>
    <row r="175" spans="1:6" ht="14.25" x14ac:dyDescent="0.2">
      <c r="A175" s="13">
        <f ca="1">IFERROR(__xludf.DUMMYFUNCTION("""COMPUTED_VALUE"""),44083.6458333333)</f>
        <v>44083.645833333299</v>
      </c>
      <c r="B175" s="14">
        <f ca="1">IFERROR(__xludf.DUMMYFUNCTION("""COMPUTED_VALUE"""),1080.68)</f>
        <v>1080.68</v>
      </c>
      <c r="C175" s="15">
        <f t="shared" ca="1" si="0"/>
        <v>2.5751032224384351E-2</v>
      </c>
      <c r="D175" s="14">
        <f t="shared" ca="1" si="1"/>
        <v>1019.6354000000001</v>
      </c>
      <c r="E175" s="3"/>
      <c r="F175" s="3"/>
    </row>
    <row r="176" spans="1:6" ht="14.25" x14ac:dyDescent="0.2">
      <c r="A176" s="13">
        <f ca="1">IFERROR(__xludf.DUMMYFUNCTION("""COMPUTED_VALUE"""),44084.6458333333)</f>
        <v>44084.645833333299</v>
      </c>
      <c r="B176" s="14">
        <f ca="1">IFERROR(__xludf.DUMMYFUNCTION("""COMPUTED_VALUE"""),1157)</f>
        <v>1157</v>
      </c>
      <c r="C176" s="15">
        <f t="shared" ca="1" si="0"/>
        <v>7.0622200836510274E-2</v>
      </c>
      <c r="D176" s="14">
        <f t="shared" ca="1" si="1"/>
        <v>1025.1718000000001</v>
      </c>
      <c r="E176" s="3"/>
      <c r="F176" s="3"/>
    </row>
    <row r="177" spans="1:6" ht="14.25" x14ac:dyDescent="0.2">
      <c r="A177" s="13">
        <f ca="1">IFERROR(__xludf.DUMMYFUNCTION("""COMPUTED_VALUE"""),44085.6458333333)</f>
        <v>44085.645833333299</v>
      </c>
      <c r="B177" s="14">
        <f ca="1">IFERROR(__xludf.DUMMYFUNCTION("""COMPUTED_VALUE"""),1159.88)</f>
        <v>1159.8800000000001</v>
      </c>
      <c r="C177" s="15">
        <f t="shared" ca="1" si="0"/>
        <v>2.4891961970614496E-3</v>
      </c>
      <c r="D177" s="14">
        <f t="shared" ca="1" si="1"/>
        <v>1030.4904000000001</v>
      </c>
      <c r="E177" s="3"/>
      <c r="F177" s="3"/>
    </row>
    <row r="178" spans="1:6" ht="14.25" x14ac:dyDescent="0.2">
      <c r="A178" s="13">
        <f ca="1">IFERROR(__xludf.DUMMYFUNCTION("""COMPUTED_VALUE"""),44088.6458333333)</f>
        <v>44088.645833333299</v>
      </c>
      <c r="B178" s="14">
        <f ca="1">IFERROR(__xludf.DUMMYFUNCTION("""COMPUTED_VALUE"""),1151.28)</f>
        <v>1151.28</v>
      </c>
      <c r="C178" s="15">
        <f t="shared" ca="1" si="0"/>
        <v>-7.414560126909775E-3</v>
      </c>
      <c r="D178" s="14">
        <f t="shared" ca="1" si="1"/>
        <v>1034.998</v>
      </c>
      <c r="E178" s="3"/>
      <c r="F178" s="3"/>
    </row>
    <row r="179" spans="1:6" ht="14.25" x14ac:dyDescent="0.2">
      <c r="A179" s="13">
        <f ca="1">IFERROR(__xludf.DUMMYFUNCTION("""COMPUTED_VALUE"""),44089.6458333333)</f>
        <v>44089.645833333299</v>
      </c>
      <c r="B179" s="14">
        <f ca="1">IFERROR(__xludf.DUMMYFUNCTION("""COMPUTED_VALUE"""),1159.43)</f>
        <v>1159.43</v>
      </c>
      <c r="C179" s="15">
        <f t="shared" ca="1" si="0"/>
        <v>7.0790772010285163E-3</v>
      </c>
      <c r="D179" s="14">
        <f t="shared" ca="1" si="1"/>
        <v>1039.952</v>
      </c>
      <c r="E179" s="3"/>
      <c r="F179" s="3"/>
    </row>
    <row r="180" spans="1:6" ht="14.25" x14ac:dyDescent="0.2">
      <c r="A180" s="13">
        <f ca="1">IFERROR(__xludf.DUMMYFUNCTION("""COMPUTED_VALUE"""),44090.6458333333)</f>
        <v>44090.645833333299</v>
      </c>
      <c r="B180" s="14">
        <f ca="1">IFERROR(__xludf.DUMMYFUNCTION("""COMPUTED_VALUE"""),1162.28)</f>
        <v>1162.28</v>
      </c>
      <c r="C180" s="15">
        <f t="shared" ca="1" si="0"/>
        <v>2.4581044133753505E-3</v>
      </c>
      <c r="D180" s="14">
        <f t="shared" ca="1" si="1"/>
        <v>1045.2175999999999</v>
      </c>
      <c r="E180" s="3"/>
      <c r="F180" s="3"/>
    </row>
    <row r="181" spans="1:6" ht="14.25" x14ac:dyDescent="0.2">
      <c r="A181" s="13">
        <f ca="1">IFERROR(__xludf.DUMMYFUNCTION("""COMPUTED_VALUE"""),44091.6458333333)</f>
        <v>44091.645833333299</v>
      </c>
      <c r="B181" s="14">
        <f ca="1">IFERROR(__xludf.DUMMYFUNCTION("""COMPUTED_VALUE"""),1149.38)</f>
        <v>1149.3800000000001</v>
      </c>
      <c r="C181" s="15">
        <f t="shared" ca="1" si="0"/>
        <v>-1.1098874625735555E-2</v>
      </c>
      <c r="D181" s="14">
        <f t="shared" ca="1" si="1"/>
        <v>1049.9625999999998</v>
      </c>
      <c r="E181" s="3"/>
      <c r="F181" s="3"/>
    </row>
    <row r="182" spans="1:6" ht="14.25" x14ac:dyDescent="0.2">
      <c r="A182" s="13">
        <f ca="1">IFERROR(__xludf.DUMMYFUNCTION("""COMPUTED_VALUE"""),44092.6458333333)</f>
        <v>44092.645833333299</v>
      </c>
      <c r="B182" s="14">
        <f ca="1">IFERROR(__xludf.DUMMYFUNCTION("""COMPUTED_VALUE"""),1152.85)</f>
        <v>1152.8499999999999</v>
      </c>
      <c r="C182" s="15">
        <f t="shared" ca="1" si="0"/>
        <v>3.0190189493464192E-3</v>
      </c>
      <c r="D182" s="14">
        <f t="shared" ca="1" si="1"/>
        <v>1054.239</v>
      </c>
      <c r="E182" s="3"/>
      <c r="F182" s="3"/>
    </row>
    <row r="183" spans="1:6" ht="14.25" x14ac:dyDescent="0.2">
      <c r="A183" s="13">
        <f ca="1">IFERROR(__xludf.DUMMYFUNCTION("""COMPUTED_VALUE"""),44095.6458333333)</f>
        <v>44095.645833333299</v>
      </c>
      <c r="B183" s="14">
        <f ca="1">IFERROR(__xludf.DUMMYFUNCTION("""COMPUTED_VALUE"""),1127.93)</f>
        <v>1127.93</v>
      </c>
      <c r="C183" s="15">
        <f t="shared" ca="1" si="0"/>
        <v>-2.1615995142472921E-2</v>
      </c>
      <c r="D183" s="14">
        <f t="shared" ca="1" si="1"/>
        <v>1057.4476</v>
      </c>
      <c r="E183" s="3"/>
      <c r="F183" s="3"/>
    </row>
    <row r="184" spans="1:6" ht="14.25" x14ac:dyDescent="0.2">
      <c r="A184" s="13">
        <f ca="1">IFERROR(__xludf.DUMMYFUNCTION("""COMPUTED_VALUE"""),44096.6458333333)</f>
        <v>44096.645833333299</v>
      </c>
      <c r="B184" s="14">
        <f ca="1">IFERROR(__xludf.DUMMYFUNCTION("""COMPUTED_VALUE"""),1105.58)</f>
        <v>1105.58</v>
      </c>
      <c r="C184" s="15">
        <f t="shared" ca="1" si="0"/>
        <v>-1.9815059445178473E-2</v>
      </c>
      <c r="D184" s="14">
        <f t="shared" ca="1" si="1"/>
        <v>1060.3892000000001</v>
      </c>
      <c r="E184" s="3"/>
      <c r="F184" s="3"/>
    </row>
    <row r="185" spans="1:6" ht="14.25" x14ac:dyDescent="0.2">
      <c r="A185" s="13">
        <f ca="1">IFERROR(__xludf.DUMMYFUNCTION("""COMPUTED_VALUE"""),44097.6458333333)</f>
        <v>44097.645833333299</v>
      </c>
      <c r="B185" s="14">
        <f ca="1">IFERROR(__xludf.DUMMYFUNCTION("""COMPUTED_VALUE"""),1115.4)</f>
        <v>1115.4000000000001</v>
      </c>
      <c r="C185" s="15">
        <f t="shared" ca="1" si="0"/>
        <v>8.8822156696033439E-3</v>
      </c>
      <c r="D185" s="14">
        <f t="shared" ca="1" si="1"/>
        <v>1064.2571999999998</v>
      </c>
      <c r="E185" s="3"/>
      <c r="F185" s="3"/>
    </row>
    <row r="186" spans="1:6" ht="14.25" x14ac:dyDescent="0.2">
      <c r="A186" s="13">
        <f ca="1">IFERROR(__xludf.DUMMYFUNCTION("""COMPUTED_VALUE"""),44098.6458333333)</f>
        <v>44098.645833333299</v>
      </c>
      <c r="B186" s="14">
        <f ca="1">IFERROR(__xludf.DUMMYFUNCTION("""COMPUTED_VALUE"""),1090.6)</f>
        <v>1090.5999999999999</v>
      </c>
      <c r="C186" s="15">
        <f t="shared" ca="1" si="0"/>
        <v>-2.223417608033007E-2</v>
      </c>
      <c r="D186" s="14">
        <f t="shared" ca="1" si="1"/>
        <v>1067.6351999999997</v>
      </c>
      <c r="E186" s="3"/>
      <c r="F186" s="3"/>
    </row>
    <row r="187" spans="1:6" ht="14.25" x14ac:dyDescent="0.2">
      <c r="A187" s="13">
        <f ca="1">IFERROR(__xludf.DUMMYFUNCTION("""COMPUTED_VALUE"""),44099.6458333333)</f>
        <v>44099.645833333299</v>
      </c>
      <c r="B187" s="14">
        <f ca="1">IFERROR(__xludf.DUMMYFUNCTION("""COMPUTED_VALUE"""),1100.85)</f>
        <v>1100.8499999999999</v>
      </c>
      <c r="C187" s="15">
        <f t="shared" ca="1" si="0"/>
        <v>9.3984962406015171E-3</v>
      </c>
      <c r="D187" s="14">
        <f t="shared" ca="1" si="1"/>
        <v>1070.5351999999998</v>
      </c>
      <c r="E187" s="3"/>
      <c r="F187" s="3"/>
    </row>
    <row r="188" spans="1:6" ht="14.25" x14ac:dyDescent="0.2">
      <c r="A188" s="13">
        <f ca="1">IFERROR(__xludf.DUMMYFUNCTION("""COMPUTED_VALUE"""),44102.6458333333)</f>
        <v>44102.645833333299</v>
      </c>
      <c r="B188" s="14">
        <f ca="1">IFERROR(__xludf.DUMMYFUNCTION("""COMPUTED_VALUE"""),1108.13)</f>
        <v>1108.1300000000001</v>
      </c>
      <c r="C188" s="15">
        <f t="shared" ca="1" si="0"/>
        <v>6.6130717173096265E-3</v>
      </c>
      <c r="D188" s="14">
        <f t="shared" ca="1" si="1"/>
        <v>1073.4987999999998</v>
      </c>
      <c r="E188" s="3"/>
      <c r="F188" s="3"/>
    </row>
    <row r="189" spans="1:6" ht="14.25" x14ac:dyDescent="0.2">
      <c r="A189" s="13">
        <f ca="1">IFERROR(__xludf.DUMMYFUNCTION("""COMPUTED_VALUE"""),44103.6458333333)</f>
        <v>44103.645833333299</v>
      </c>
      <c r="B189" s="14">
        <f ca="1">IFERROR(__xludf.DUMMYFUNCTION("""COMPUTED_VALUE"""),1122.53)</f>
        <v>1122.53</v>
      </c>
      <c r="C189" s="15">
        <f t="shared" ca="1" si="0"/>
        <v>1.2994865223394214E-2</v>
      </c>
      <c r="D189" s="14">
        <f t="shared" ca="1" si="1"/>
        <v>1076.2337999999995</v>
      </c>
      <c r="E189" s="3"/>
      <c r="F189" s="3"/>
    </row>
    <row r="190" spans="1:6" ht="14.25" x14ac:dyDescent="0.2">
      <c r="A190" s="13">
        <f ca="1">IFERROR(__xludf.DUMMYFUNCTION("""COMPUTED_VALUE"""),44104.6458333333)</f>
        <v>44104.645833333299</v>
      </c>
      <c r="B190" s="14">
        <f ca="1">IFERROR(__xludf.DUMMYFUNCTION("""COMPUTED_VALUE"""),1117.18)</f>
        <v>1117.18</v>
      </c>
      <c r="C190" s="15">
        <f t="shared" ca="1" si="0"/>
        <v>-4.7660196164021063E-3</v>
      </c>
      <c r="D190" s="14">
        <f t="shared" ca="1" si="1"/>
        <v>1078.5373999999997</v>
      </c>
      <c r="E190" s="3"/>
      <c r="F190" s="3"/>
    </row>
    <row r="191" spans="1:6" ht="14.25" x14ac:dyDescent="0.2">
      <c r="A191" s="13">
        <f ca="1">IFERROR(__xludf.DUMMYFUNCTION("""COMPUTED_VALUE"""),44105.6458333333)</f>
        <v>44105.645833333299</v>
      </c>
      <c r="B191" s="14">
        <f ca="1">IFERROR(__xludf.DUMMYFUNCTION("""COMPUTED_VALUE"""),1112.63)</f>
        <v>1112.6300000000001</v>
      </c>
      <c r="C191" s="15">
        <f t="shared" ca="1" si="0"/>
        <v>-4.0727546142966808E-3</v>
      </c>
      <c r="D191" s="14">
        <f t="shared" ca="1" si="1"/>
        <v>1080.2119999999998</v>
      </c>
      <c r="E191" s="3"/>
      <c r="F191" s="3"/>
    </row>
    <row r="192" spans="1:6" ht="14.25" x14ac:dyDescent="0.2">
      <c r="A192" s="13">
        <f ca="1">IFERROR(__xludf.DUMMYFUNCTION("""COMPUTED_VALUE"""),44109.6458333333)</f>
        <v>44109.645833333299</v>
      </c>
      <c r="B192" s="14">
        <f ca="1">IFERROR(__xludf.DUMMYFUNCTION("""COMPUTED_VALUE"""),1106.1)</f>
        <v>1106.0999999999999</v>
      </c>
      <c r="C192" s="15">
        <f t="shared" ca="1" si="0"/>
        <v>-5.8689771082931497E-3</v>
      </c>
      <c r="D192" s="14">
        <f t="shared" ca="1" si="1"/>
        <v>1080.8723999999995</v>
      </c>
      <c r="E192" s="3"/>
      <c r="F192" s="3"/>
    </row>
    <row r="193" spans="1:6" ht="14.25" x14ac:dyDescent="0.2">
      <c r="A193" s="13">
        <f ca="1">IFERROR(__xludf.DUMMYFUNCTION("""COMPUTED_VALUE"""),44110.6458333333)</f>
        <v>44110.645833333299</v>
      </c>
      <c r="B193" s="14">
        <f ca="1">IFERROR(__xludf.DUMMYFUNCTION("""COMPUTED_VALUE"""),1105.18)</f>
        <v>1105.18</v>
      </c>
      <c r="C193" s="15">
        <f t="shared" ca="1" si="0"/>
        <v>-8.3175119790235286E-4</v>
      </c>
      <c r="D193" s="14">
        <f t="shared" ca="1" si="1"/>
        <v>1081.4139999999995</v>
      </c>
      <c r="E193" s="3"/>
      <c r="F193" s="3"/>
    </row>
    <row r="194" spans="1:6" ht="14.25" x14ac:dyDescent="0.2">
      <c r="A194" s="13">
        <f ca="1">IFERROR(__xludf.DUMMYFUNCTION("""COMPUTED_VALUE"""),44111.6458333333)</f>
        <v>44111.645833333299</v>
      </c>
      <c r="B194" s="14">
        <f ca="1">IFERROR(__xludf.DUMMYFUNCTION("""COMPUTED_VALUE"""),1128.75)</f>
        <v>1128.75</v>
      </c>
      <c r="C194" s="15">
        <f t="shared" ca="1" si="0"/>
        <v>2.1326842686259173E-2</v>
      </c>
      <c r="D194" s="14">
        <f t="shared" ca="1" si="1"/>
        <v>1082.2119999999998</v>
      </c>
      <c r="E194" s="3"/>
      <c r="F194" s="3"/>
    </row>
    <row r="195" spans="1:6" ht="14.25" x14ac:dyDescent="0.2">
      <c r="A195" s="13">
        <f ca="1">IFERROR(__xludf.DUMMYFUNCTION("""COMPUTED_VALUE"""),44112.6458333333)</f>
        <v>44112.645833333299</v>
      </c>
      <c r="B195" s="14">
        <f ca="1">IFERROR(__xludf.DUMMYFUNCTION("""COMPUTED_VALUE"""),1119.63)</f>
        <v>1119.6300000000001</v>
      </c>
      <c r="C195" s="15">
        <f t="shared" ca="1" si="0"/>
        <v>-8.0797342192689969E-3</v>
      </c>
      <c r="D195" s="14">
        <f t="shared" ca="1" si="1"/>
        <v>1083.6379999999997</v>
      </c>
      <c r="E195" s="3"/>
      <c r="F195" s="3"/>
    </row>
    <row r="196" spans="1:6" ht="14.25" x14ac:dyDescent="0.2">
      <c r="A196" s="13">
        <f ca="1">IFERROR(__xludf.DUMMYFUNCTION("""COMPUTED_VALUE"""),44113.6458333333)</f>
        <v>44113.645833333299</v>
      </c>
      <c r="B196" s="14">
        <f ca="1">IFERROR(__xludf.DUMMYFUNCTION("""COMPUTED_VALUE"""),1116.72)</f>
        <v>1116.72</v>
      </c>
      <c r="C196" s="15">
        <f t="shared" ca="1" si="0"/>
        <v>-2.5990729080143105E-3</v>
      </c>
      <c r="D196" s="14">
        <f t="shared" ca="1" si="1"/>
        <v>1084.8837999999998</v>
      </c>
      <c r="E196" s="3"/>
      <c r="F196" s="3"/>
    </row>
    <row r="197" spans="1:6" ht="14.25" x14ac:dyDescent="0.2">
      <c r="A197" s="13">
        <f ca="1">IFERROR(__xludf.DUMMYFUNCTION("""COMPUTED_VALUE"""),44116.6458333333)</f>
        <v>44116.645833333299</v>
      </c>
      <c r="B197" s="14">
        <f ca="1">IFERROR(__xludf.DUMMYFUNCTION("""COMPUTED_VALUE"""),1118.53)</f>
        <v>1118.53</v>
      </c>
      <c r="C197" s="15">
        <f t="shared" ca="1" si="0"/>
        <v>1.6208181101797781E-3</v>
      </c>
      <c r="D197" s="14">
        <f t="shared" ca="1" si="1"/>
        <v>1086.5833999999998</v>
      </c>
      <c r="E197" s="3"/>
      <c r="F197" s="3"/>
    </row>
    <row r="198" spans="1:6" ht="14.25" x14ac:dyDescent="0.2">
      <c r="A198" s="13">
        <f ca="1">IFERROR(__xludf.DUMMYFUNCTION("""COMPUTED_VALUE"""),44117.6458333333)</f>
        <v>44117.645833333299</v>
      </c>
      <c r="B198" s="14">
        <f ca="1">IFERROR(__xludf.DUMMYFUNCTION("""COMPUTED_VALUE"""),1140.35)</f>
        <v>1140.3499999999999</v>
      </c>
      <c r="C198" s="15">
        <f t="shared" ca="1" si="0"/>
        <v>1.9507746774784618E-2</v>
      </c>
      <c r="D198" s="14">
        <f t="shared" ca="1" si="1"/>
        <v>1089.3003999999996</v>
      </c>
      <c r="E198" s="3"/>
      <c r="F198" s="3"/>
    </row>
    <row r="199" spans="1:6" ht="14.25" x14ac:dyDescent="0.2">
      <c r="A199" s="13">
        <f ca="1">IFERROR(__xludf.DUMMYFUNCTION("""COMPUTED_VALUE"""),44118.6458333333)</f>
        <v>44118.645833333299</v>
      </c>
      <c r="B199" s="14">
        <f ca="1">IFERROR(__xludf.DUMMYFUNCTION("""COMPUTED_VALUE"""),1143.75)</f>
        <v>1143.75</v>
      </c>
      <c r="C199" s="15">
        <f t="shared" ca="1" si="0"/>
        <v>2.98154075503132E-3</v>
      </c>
      <c r="D199" s="14">
        <f t="shared" ca="1" si="1"/>
        <v>1090.6693999999995</v>
      </c>
      <c r="E199" s="3"/>
      <c r="F199" s="3"/>
    </row>
    <row r="200" spans="1:6" ht="14.25" x14ac:dyDescent="0.2">
      <c r="A200" s="13">
        <f ca="1">IFERROR(__xludf.DUMMYFUNCTION("""COMPUTED_VALUE"""),44119.6458333333)</f>
        <v>44119.645833333299</v>
      </c>
      <c r="B200" s="14">
        <f ca="1">IFERROR(__xludf.DUMMYFUNCTION("""COMPUTED_VALUE"""),1103.25)</f>
        <v>1103.25</v>
      </c>
      <c r="C200" s="15">
        <f t="shared" ca="1" si="0"/>
        <v>-3.5409836065573796E-2</v>
      </c>
      <c r="D200" s="14">
        <f t="shared" ca="1" si="1"/>
        <v>1091.4699999999998</v>
      </c>
      <c r="E200" s="3"/>
      <c r="F200" s="3"/>
    </row>
    <row r="201" spans="1:6" ht="14.25" x14ac:dyDescent="0.2">
      <c r="A201" s="13">
        <f ca="1">IFERROR(__xludf.DUMMYFUNCTION("""COMPUTED_VALUE"""),44120.6458333333)</f>
        <v>44120.645833333299</v>
      </c>
      <c r="B201" s="14">
        <f ca="1">IFERROR(__xludf.DUMMYFUNCTION("""COMPUTED_VALUE"""),1087.9)</f>
        <v>1087.9000000000001</v>
      </c>
      <c r="C201" s="15">
        <f t="shared" ca="1" si="0"/>
        <v>-1.3913437570813425E-2</v>
      </c>
      <c r="D201" s="14">
        <f t="shared" ca="1" si="1"/>
        <v>1091.8869999999997</v>
      </c>
      <c r="E201" s="3"/>
      <c r="F201" s="3"/>
    </row>
    <row r="202" spans="1:6" ht="14.25" x14ac:dyDescent="0.2">
      <c r="A202" s="13">
        <f ca="1">IFERROR(__xludf.DUMMYFUNCTION("""COMPUTED_VALUE"""),44123.6458333333)</f>
        <v>44123.645833333299</v>
      </c>
      <c r="B202" s="14">
        <f ca="1">IFERROR(__xludf.DUMMYFUNCTION("""COMPUTED_VALUE"""),1088.1)</f>
        <v>1088.0999999999999</v>
      </c>
      <c r="C202" s="15">
        <f t="shared" ca="1" si="0"/>
        <v>1.8384042650954058E-4</v>
      </c>
      <c r="D202" s="14">
        <f t="shared" ca="1" si="1"/>
        <v>1092.1845999999996</v>
      </c>
      <c r="E202" s="3"/>
      <c r="F202" s="3"/>
    </row>
    <row r="203" spans="1:6" ht="14.25" x14ac:dyDescent="0.2">
      <c r="A203" s="13">
        <f ca="1">IFERROR(__xludf.DUMMYFUNCTION("""COMPUTED_VALUE"""),44124.6458333333)</f>
        <v>44124.645833333299</v>
      </c>
      <c r="B203" s="14">
        <f ca="1">IFERROR(__xludf.DUMMYFUNCTION("""COMPUTED_VALUE"""),1077.95)</f>
        <v>1077.95</v>
      </c>
      <c r="C203" s="15">
        <f t="shared" ca="1" si="0"/>
        <v>-9.3281867475414337E-3</v>
      </c>
      <c r="D203" s="14">
        <f t="shared" ca="1" si="1"/>
        <v>1092.5449999999996</v>
      </c>
      <c r="E203" s="3"/>
      <c r="F203" s="3"/>
    </row>
    <row r="204" spans="1:6" ht="14.25" x14ac:dyDescent="0.2">
      <c r="A204" s="13">
        <f ca="1">IFERROR(__xludf.DUMMYFUNCTION("""COMPUTED_VALUE"""),44125.6458333333)</f>
        <v>44125.645833333299</v>
      </c>
      <c r="B204" s="14">
        <f ca="1">IFERROR(__xludf.DUMMYFUNCTION("""COMPUTED_VALUE"""),1062.3)</f>
        <v>1062.3</v>
      </c>
      <c r="C204" s="15">
        <f t="shared" ca="1" si="0"/>
        <v>-1.4518298622385184E-2</v>
      </c>
      <c r="D204" s="14">
        <f t="shared" ca="1" si="1"/>
        <v>1092.4529999999995</v>
      </c>
      <c r="E204" s="3"/>
      <c r="F204" s="3"/>
    </row>
    <row r="205" spans="1:6" ht="14.25" x14ac:dyDescent="0.2">
      <c r="A205" s="13">
        <f ca="1">IFERROR(__xludf.DUMMYFUNCTION("""COMPUTED_VALUE"""),44126.6458333333)</f>
        <v>44126.645833333299</v>
      </c>
      <c r="B205" s="14">
        <f ca="1">IFERROR(__xludf.DUMMYFUNCTION("""COMPUTED_VALUE"""),1053.47)</f>
        <v>1053.47</v>
      </c>
      <c r="C205" s="15">
        <f t="shared" ca="1" si="0"/>
        <v>-8.3121528758354213E-3</v>
      </c>
      <c r="D205" s="14">
        <f t="shared" ca="1" si="1"/>
        <v>1092.2463999999998</v>
      </c>
      <c r="E205" s="3"/>
      <c r="F205" s="3"/>
    </row>
    <row r="206" spans="1:6" ht="14.25" x14ac:dyDescent="0.2">
      <c r="A206" s="13">
        <f ca="1">IFERROR(__xludf.DUMMYFUNCTION("""COMPUTED_VALUE"""),44127.6458333333)</f>
        <v>44127.645833333299</v>
      </c>
      <c r="B206" s="14">
        <f ca="1">IFERROR(__xludf.DUMMYFUNCTION("""COMPUTED_VALUE"""),1056.53)</f>
        <v>1056.53</v>
      </c>
      <c r="C206" s="15">
        <f t="shared" ca="1" si="0"/>
        <v>2.9046864172685982E-3</v>
      </c>
      <c r="D206" s="14">
        <f t="shared" ca="1" si="1"/>
        <v>1092.1563999999996</v>
      </c>
      <c r="E206" s="3"/>
      <c r="F206" s="3"/>
    </row>
    <row r="207" spans="1:6" ht="14.25" x14ac:dyDescent="0.2">
      <c r="A207" s="13">
        <f ca="1">IFERROR(__xludf.DUMMYFUNCTION("""COMPUTED_VALUE"""),44130.6458333333)</f>
        <v>44130.645833333299</v>
      </c>
      <c r="B207" s="14">
        <f ca="1">IFERROR(__xludf.DUMMYFUNCTION("""COMPUTED_VALUE"""),1014.55)</f>
        <v>1014.55</v>
      </c>
      <c r="C207" s="15">
        <f t="shared" ca="1" si="0"/>
        <v>-3.9733845702440984E-2</v>
      </c>
      <c r="D207" s="14">
        <f t="shared" ca="1" si="1"/>
        <v>1091.3093999999996</v>
      </c>
      <c r="E207" s="3"/>
      <c r="F207" s="3"/>
    </row>
    <row r="208" spans="1:6" ht="14.25" x14ac:dyDescent="0.2">
      <c r="A208" s="13">
        <f ca="1">IFERROR(__xludf.DUMMYFUNCTION("""COMPUTED_VALUE"""),44131.6458333333)</f>
        <v>44131.645833333299</v>
      </c>
      <c r="B208" s="14">
        <f ca="1">IFERROR(__xludf.DUMMYFUNCTION("""COMPUTED_VALUE"""),1017.25)</f>
        <v>1017.25</v>
      </c>
      <c r="C208" s="15">
        <f t="shared" ca="1" si="0"/>
        <v>2.6612783992903122E-3</v>
      </c>
      <c r="D208" s="14">
        <f t="shared" ca="1" si="1"/>
        <v>1090.7407999999998</v>
      </c>
      <c r="E208" s="3"/>
      <c r="F208" s="3"/>
    </row>
    <row r="209" spans="1:6" ht="14.25" x14ac:dyDescent="0.2">
      <c r="A209" s="13">
        <f ca="1">IFERROR(__xludf.DUMMYFUNCTION("""COMPUTED_VALUE"""),44132.6458333333)</f>
        <v>44132.645833333299</v>
      </c>
      <c r="B209" s="14">
        <f ca="1">IFERROR(__xludf.DUMMYFUNCTION("""COMPUTED_VALUE"""),1005.73)</f>
        <v>1005.73</v>
      </c>
      <c r="C209" s="15">
        <f t="shared" ca="1" si="0"/>
        <v>-1.132464979110348E-2</v>
      </c>
      <c r="D209" s="14">
        <f t="shared" ca="1" si="1"/>
        <v>1089.6697999999999</v>
      </c>
      <c r="E209" s="3"/>
      <c r="F209" s="3"/>
    </row>
    <row r="210" spans="1:6" ht="14.25" x14ac:dyDescent="0.2">
      <c r="A210" s="13">
        <f ca="1">IFERROR(__xludf.DUMMYFUNCTION("""COMPUTED_VALUE"""),44133.6458333333)</f>
        <v>44133.645833333299</v>
      </c>
      <c r="B210" s="14">
        <f ca="1">IFERROR(__xludf.DUMMYFUNCTION("""COMPUTED_VALUE"""),1013.45)</f>
        <v>1013.45</v>
      </c>
      <c r="C210" s="15">
        <f t="shared" ca="1" si="0"/>
        <v>7.6760164258797836E-3</v>
      </c>
      <c r="D210" s="14">
        <f t="shared" ca="1" si="1"/>
        <v>1088.6232</v>
      </c>
      <c r="E210" s="3"/>
      <c r="F210" s="3"/>
    </row>
    <row r="211" spans="1:6" ht="14.25" x14ac:dyDescent="0.2">
      <c r="A211" s="13">
        <f ca="1">IFERROR(__xludf.DUMMYFUNCTION("""COMPUTED_VALUE"""),44134.6458333333)</f>
        <v>44134.645833333299</v>
      </c>
      <c r="B211" s="14">
        <f ca="1">IFERROR(__xludf.DUMMYFUNCTION("""COMPUTED_VALUE"""),1027.25)</f>
        <v>1027.25</v>
      </c>
      <c r="C211" s="15">
        <f t="shared" ca="1" si="0"/>
        <v>1.3616853322808264E-2</v>
      </c>
      <c r="D211" s="14">
        <f t="shared" ca="1" si="1"/>
        <v>1088.1975999999997</v>
      </c>
      <c r="E211" s="3"/>
      <c r="F211" s="3"/>
    </row>
    <row r="212" spans="1:6" ht="14.25" x14ac:dyDescent="0.2">
      <c r="A212" s="13">
        <f ca="1">IFERROR(__xludf.DUMMYFUNCTION("""COMPUTED_VALUE"""),44137.6458333333)</f>
        <v>44137.645833333299</v>
      </c>
      <c r="B212" s="14">
        <f ca="1">IFERROR(__xludf.DUMMYFUNCTION("""COMPUTED_VALUE"""),938.73)</f>
        <v>938.73</v>
      </c>
      <c r="C212" s="15">
        <f t="shared" ca="1" si="0"/>
        <v>-8.6171817960574382E-2</v>
      </c>
      <c r="D212" s="14">
        <f t="shared" ca="1" si="1"/>
        <v>1086.1535999999999</v>
      </c>
      <c r="E212" s="3"/>
      <c r="F212" s="3"/>
    </row>
    <row r="213" spans="1:6" ht="14.25" x14ac:dyDescent="0.2">
      <c r="A213" s="13">
        <f ca="1">IFERROR(__xludf.DUMMYFUNCTION("""COMPUTED_VALUE"""),44138.6458333333)</f>
        <v>44138.645833333299</v>
      </c>
      <c r="B213" s="14">
        <f ca="1">IFERROR(__xludf.DUMMYFUNCTION("""COMPUTED_VALUE"""),925.2)</f>
        <v>925.2</v>
      </c>
      <c r="C213" s="15">
        <f t="shared" ca="1" si="0"/>
        <v>-1.4413090025885977E-2</v>
      </c>
      <c r="D213" s="14">
        <f t="shared" ca="1" si="1"/>
        <v>1083.6999999999998</v>
      </c>
      <c r="E213" s="3"/>
      <c r="F213" s="3"/>
    </row>
    <row r="214" spans="1:6" ht="14.25" x14ac:dyDescent="0.2">
      <c r="A214" s="13">
        <f ca="1">IFERROR(__xludf.DUMMYFUNCTION("""COMPUTED_VALUE"""),44139.6458333333)</f>
        <v>44139.645833333299</v>
      </c>
      <c r="B214" s="14">
        <f ca="1">IFERROR(__xludf.DUMMYFUNCTION("""COMPUTED_VALUE"""),956.6)</f>
        <v>956.6</v>
      </c>
      <c r="C214" s="15">
        <f t="shared" ca="1" si="0"/>
        <v>3.3938607868568837E-2</v>
      </c>
      <c r="D214" s="14">
        <f t="shared" ca="1" si="1"/>
        <v>1082.011</v>
      </c>
      <c r="E214" s="3"/>
      <c r="F214" s="3"/>
    </row>
    <row r="215" spans="1:6" ht="14.25" x14ac:dyDescent="0.2">
      <c r="A215" s="13">
        <f ca="1">IFERROR(__xludf.DUMMYFUNCTION("""COMPUTED_VALUE"""),44140.6458333333)</f>
        <v>44140.645833333299</v>
      </c>
      <c r="B215" s="14">
        <f ca="1">IFERROR(__xludf.DUMMYFUNCTION("""COMPUTED_VALUE"""),977.5)</f>
        <v>977.5</v>
      </c>
      <c r="C215" s="15">
        <f t="shared" ca="1" si="0"/>
        <v>2.1848212418983826E-2</v>
      </c>
      <c r="D215" s="14">
        <f t="shared" ca="1" si="1"/>
        <v>1080.1880000000001</v>
      </c>
      <c r="E215" s="3"/>
      <c r="F215" s="3"/>
    </row>
    <row r="216" spans="1:6" ht="14.25" x14ac:dyDescent="0.2">
      <c r="A216" s="13">
        <f ca="1">IFERROR(__xludf.DUMMYFUNCTION("""COMPUTED_VALUE"""),44141.6458333333)</f>
        <v>44141.645833333299</v>
      </c>
      <c r="B216" s="14">
        <f ca="1">IFERROR(__xludf.DUMMYFUNCTION("""COMPUTED_VALUE"""),1014.58)</f>
        <v>1014.58</v>
      </c>
      <c r="C216" s="15">
        <f t="shared" ca="1" si="0"/>
        <v>3.7933503836317106E-2</v>
      </c>
      <c r="D216" s="14">
        <f t="shared" ca="1" si="1"/>
        <v>1079.3735999999999</v>
      </c>
      <c r="E216" s="3"/>
      <c r="F216" s="3"/>
    </row>
    <row r="217" spans="1:6" ht="14.25" x14ac:dyDescent="0.2">
      <c r="A217" s="13">
        <f ca="1">IFERROR(__xludf.DUMMYFUNCTION("""COMPUTED_VALUE"""),44144.6458333333)</f>
        <v>44144.645833333299</v>
      </c>
      <c r="B217" s="14">
        <f ca="1">IFERROR(__xludf.DUMMYFUNCTION("""COMPUTED_VALUE"""),1025.35)</f>
        <v>1025.3499999999999</v>
      </c>
      <c r="C217" s="15">
        <f t="shared" ca="1" si="0"/>
        <v>1.0615229947367189E-2</v>
      </c>
      <c r="D217" s="14">
        <f t="shared" ca="1" si="1"/>
        <v>1078.7190000000001</v>
      </c>
      <c r="E217" s="3"/>
      <c r="F217" s="3"/>
    </row>
    <row r="218" spans="1:6" ht="14.25" x14ac:dyDescent="0.2">
      <c r="A218" s="13">
        <f ca="1">IFERROR(__xludf.DUMMYFUNCTION("""COMPUTED_VALUE"""),44145.6458333333)</f>
        <v>44145.645833333299</v>
      </c>
      <c r="B218" s="14">
        <f ca="1">IFERROR(__xludf.DUMMYFUNCTION("""COMPUTED_VALUE"""),1042.28)</f>
        <v>1042.28</v>
      </c>
      <c r="C218" s="15">
        <f t="shared" ca="1" si="0"/>
        <v>1.6511435119715312E-2</v>
      </c>
      <c r="D218" s="14">
        <f t="shared" ca="1" si="1"/>
        <v>1078.7576000000001</v>
      </c>
      <c r="E218" s="3"/>
      <c r="F218" s="3"/>
    </row>
    <row r="219" spans="1:6" ht="14.25" x14ac:dyDescent="0.2">
      <c r="A219" s="13">
        <f ca="1">IFERROR(__xludf.DUMMYFUNCTION("""COMPUTED_VALUE"""),44146.6458333333)</f>
        <v>44146.645833333299</v>
      </c>
      <c r="B219" s="14">
        <f ca="1">IFERROR(__xludf.DUMMYFUNCTION("""COMPUTED_VALUE"""),998.6)</f>
        <v>998.6</v>
      </c>
      <c r="C219" s="15">
        <f t="shared" ca="1" si="0"/>
        <v>-4.190812449629655E-2</v>
      </c>
      <c r="D219" s="14">
        <f t="shared" ca="1" si="1"/>
        <v>1077.857</v>
      </c>
      <c r="E219" s="3"/>
      <c r="F219" s="3"/>
    </row>
    <row r="220" spans="1:6" ht="14.25" x14ac:dyDescent="0.2">
      <c r="A220" s="13">
        <f ca="1">IFERROR(__xludf.DUMMYFUNCTION("""COMPUTED_VALUE"""),44147.6458333333)</f>
        <v>44147.645833333299</v>
      </c>
      <c r="B220" s="14">
        <f ca="1">IFERROR(__xludf.DUMMYFUNCTION("""COMPUTED_VALUE"""),990)</f>
        <v>990</v>
      </c>
      <c r="C220" s="15">
        <f t="shared" ca="1" si="0"/>
        <v>-8.6120568796315133E-3</v>
      </c>
      <c r="D220" s="14">
        <f t="shared" ca="1" si="1"/>
        <v>1076.375</v>
      </c>
      <c r="E220" s="3"/>
      <c r="F220" s="3"/>
    </row>
    <row r="221" spans="1:6" ht="14.25" x14ac:dyDescent="0.2">
      <c r="A221" s="13">
        <f ca="1">IFERROR(__xludf.DUMMYFUNCTION("""COMPUTED_VALUE"""),44148.6458333333)</f>
        <v>44148.645833333299</v>
      </c>
      <c r="B221" s="14">
        <f ca="1">IFERROR(__xludf.DUMMYFUNCTION("""COMPUTED_VALUE"""),998.2)</f>
        <v>998.2</v>
      </c>
      <c r="C221" s="15">
        <f t="shared" ca="1" si="0"/>
        <v>8.2828282828282251E-3</v>
      </c>
      <c r="D221" s="14">
        <f t="shared" ca="1" si="1"/>
        <v>1075.2179999999998</v>
      </c>
      <c r="E221" s="3"/>
      <c r="F221" s="3"/>
    </row>
    <row r="222" spans="1:6" ht="14.25" x14ac:dyDescent="0.2">
      <c r="A222" s="13">
        <f ca="1">IFERROR(__xludf.DUMMYFUNCTION("""COMPUTED_VALUE"""),44152.6458333333)</f>
        <v>44152.645833333299</v>
      </c>
      <c r="B222" s="14">
        <f ca="1">IFERROR(__xludf.DUMMYFUNCTION("""COMPUTED_VALUE"""),996.63)</f>
        <v>996.63</v>
      </c>
      <c r="C222" s="15">
        <f t="shared" ca="1" si="0"/>
        <v>-1.5728310959728375E-3</v>
      </c>
      <c r="D222" s="14">
        <f t="shared" ca="1" si="1"/>
        <v>1074.3779999999999</v>
      </c>
      <c r="E222" s="3"/>
      <c r="F222" s="3"/>
    </row>
    <row r="223" spans="1:6" ht="14.25" x14ac:dyDescent="0.2">
      <c r="A223" s="13">
        <f ca="1">IFERROR(__xludf.DUMMYFUNCTION("""COMPUTED_VALUE"""),44153.6458333333)</f>
        <v>44153.645833333299</v>
      </c>
      <c r="B223" s="14">
        <f ca="1">IFERROR(__xludf.DUMMYFUNCTION("""COMPUTED_VALUE"""),993.6)</f>
        <v>993.6</v>
      </c>
      <c r="C223" s="15">
        <f t="shared" ca="1" si="0"/>
        <v>-3.0402456277655032E-3</v>
      </c>
      <c r="D223" s="14">
        <f t="shared" ca="1" si="1"/>
        <v>1073.4233999999999</v>
      </c>
      <c r="E223" s="3"/>
      <c r="F223" s="3"/>
    </row>
    <row r="224" spans="1:6" ht="14.25" x14ac:dyDescent="0.2">
      <c r="A224" s="13">
        <f ca="1">IFERROR(__xludf.DUMMYFUNCTION("""COMPUTED_VALUE"""),44154.6458333333)</f>
        <v>44154.645833333299</v>
      </c>
      <c r="B224" s="14">
        <f ca="1">IFERROR(__xludf.DUMMYFUNCTION("""COMPUTED_VALUE"""),986.58)</f>
        <v>986.58</v>
      </c>
      <c r="C224" s="15">
        <f t="shared" ca="1" si="0"/>
        <v>-7.0652173913042793E-3</v>
      </c>
      <c r="D224" s="14">
        <f t="shared" ca="1" si="1"/>
        <v>1072.0839999999998</v>
      </c>
      <c r="E224" s="3"/>
      <c r="F224" s="3"/>
    </row>
    <row r="225" spans="1:6" ht="14.25" x14ac:dyDescent="0.2">
      <c r="A225" s="13">
        <f ca="1">IFERROR(__xludf.DUMMYFUNCTION("""COMPUTED_VALUE"""),44155.6458333333)</f>
        <v>44155.645833333299</v>
      </c>
      <c r="B225" s="14">
        <f ca="1">IFERROR(__xludf.DUMMYFUNCTION("""COMPUTED_VALUE"""),949.75)</f>
        <v>949.75</v>
      </c>
      <c r="C225" s="15">
        <f t="shared" ca="1" si="0"/>
        <v>-3.7330981775426264E-2</v>
      </c>
      <c r="D225" s="14">
        <f t="shared" ca="1" si="1"/>
        <v>1069.4653999999998</v>
      </c>
      <c r="E225" s="3"/>
      <c r="F225" s="3"/>
    </row>
    <row r="226" spans="1:6" ht="14.25" x14ac:dyDescent="0.2">
      <c r="A226" s="13">
        <f ca="1">IFERROR(__xludf.DUMMYFUNCTION("""COMPUTED_VALUE"""),44158.6458333333)</f>
        <v>44158.645833333299</v>
      </c>
      <c r="B226" s="14">
        <f ca="1">IFERROR(__xludf.DUMMYFUNCTION("""COMPUTED_VALUE"""),975.35)</f>
        <v>975.35</v>
      </c>
      <c r="C226" s="15">
        <f t="shared" ca="1" si="0"/>
        <v>2.6954461700447574E-2</v>
      </c>
      <c r="D226" s="14">
        <f t="shared" ca="1" si="1"/>
        <v>1065.8324</v>
      </c>
      <c r="E226" s="3"/>
      <c r="F226" s="3"/>
    </row>
    <row r="227" spans="1:6" ht="14.25" x14ac:dyDescent="0.2">
      <c r="A227" s="13">
        <f ca="1">IFERROR(__xludf.DUMMYFUNCTION("""COMPUTED_VALUE"""),44159.6458333333)</f>
        <v>44159.645833333299</v>
      </c>
      <c r="B227" s="14">
        <f ca="1">IFERROR(__xludf.DUMMYFUNCTION("""COMPUTED_VALUE"""),982.03)</f>
        <v>982.03</v>
      </c>
      <c r="C227" s="15">
        <f t="shared" ca="1" si="0"/>
        <v>6.8488234992565289E-3</v>
      </c>
      <c r="D227" s="14">
        <f t="shared" ca="1" si="1"/>
        <v>1062.2753999999998</v>
      </c>
      <c r="E227" s="3"/>
      <c r="F227" s="3"/>
    </row>
    <row r="228" spans="1:6" ht="14.25" x14ac:dyDescent="0.2">
      <c r="A228" s="13">
        <f ca="1">IFERROR(__xludf.DUMMYFUNCTION("""COMPUTED_VALUE"""),44160.6458333333)</f>
        <v>44160.645833333299</v>
      </c>
      <c r="B228" s="14">
        <f ca="1">IFERROR(__xludf.DUMMYFUNCTION("""COMPUTED_VALUE"""),973.9)</f>
        <v>973.9</v>
      </c>
      <c r="C228" s="15">
        <f t="shared" ca="1" si="0"/>
        <v>-8.2787694876939044E-3</v>
      </c>
      <c r="D228" s="14">
        <f t="shared" ca="1" si="1"/>
        <v>1058.7277999999999</v>
      </c>
      <c r="E228" s="3"/>
      <c r="F228" s="3"/>
    </row>
    <row r="229" spans="1:6" ht="14.25" x14ac:dyDescent="0.2">
      <c r="A229" s="13">
        <f ca="1">IFERROR(__xludf.DUMMYFUNCTION("""COMPUTED_VALUE"""),44161.6458333333)</f>
        <v>44161.645833333299</v>
      </c>
      <c r="B229" s="14">
        <f ca="1">IFERROR(__xludf.DUMMYFUNCTION("""COMPUTED_VALUE"""),976.3)</f>
        <v>976.3</v>
      </c>
      <c r="C229" s="15">
        <f t="shared" ca="1" si="0"/>
        <v>2.464318718554237E-3</v>
      </c>
      <c r="D229" s="14">
        <f t="shared" ca="1" si="1"/>
        <v>1055.0652</v>
      </c>
      <c r="E229" s="3"/>
      <c r="F229" s="3"/>
    </row>
    <row r="230" spans="1:6" ht="14.25" x14ac:dyDescent="0.2">
      <c r="A230" s="13">
        <f ca="1">IFERROR(__xludf.DUMMYFUNCTION("""COMPUTED_VALUE"""),44162.6458333333)</f>
        <v>44162.645833333299</v>
      </c>
      <c r="B230" s="14">
        <f ca="1">IFERROR(__xludf.DUMMYFUNCTION("""COMPUTED_VALUE"""),964.9)</f>
        <v>964.9</v>
      </c>
      <c r="C230" s="15">
        <f t="shared" ca="1" si="0"/>
        <v>-1.167673870736452E-2</v>
      </c>
      <c r="D230" s="14">
        <f t="shared" ca="1" si="1"/>
        <v>1051.1175999999998</v>
      </c>
      <c r="E230" s="3"/>
      <c r="F230" s="3"/>
    </row>
    <row r="231" spans="1:6" ht="14.25" x14ac:dyDescent="0.2">
      <c r="A231" s="13">
        <f ca="1">IFERROR(__xludf.DUMMYFUNCTION("""COMPUTED_VALUE"""),44166.6458333333)</f>
        <v>44166.645833333299</v>
      </c>
      <c r="B231" s="14">
        <f ca="1">IFERROR(__xludf.DUMMYFUNCTION("""COMPUTED_VALUE"""),977.45)</f>
        <v>977.45</v>
      </c>
      <c r="C231" s="15">
        <f t="shared" ca="1" si="0"/>
        <v>1.3006529174007797E-2</v>
      </c>
      <c r="D231" s="14">
        <f t="shared" ca="1" si="1"/>
        <v>1047.6789999999999</v>
      </c>
      <c r="E231" s="3"/>
      <c r="F231" s="3"/>
    </row>
    <row r="232" spans="1:6" ht="14.25" x14ac:dyDescent="0.2">
      <c r="A232" s="13">
        <f ca="1">IFERROR(__xludf.DUMMYFUNCTION("""COMPUTED_VALUE"""),44167.6458333333)</f>
        <v>44167.645833333299</v>
      </c>
      <c r="B232" s="14">
        <f ca="1">IFERROR(__xludf.DUMMYFUNCTION("""COMPUTED_VALUE"""),979.08)</f>
        <v>979.08</v>
      </c>
      <c r="C232" s="15">
        <f t="shared" ca="1" si="0"/>
        <v>1.6676044810475243E-3</v>
      </c>
      <c r="D232" s="14">
        <f t="shared" ca="1" si="1"/>
        <v>1044.2035999999998</v>
      </c>
      <c r="E232" s="3"/>
      <c r="F232" s="3"/>
    </row>
    <row r="233" spans="1:6" ht="14.25" x14ac:dyDescent="0.2">
      <c r="A233" s="13">
        <f ca="1">IFERROR(__xludf.DUMMYFUNCTION("""COMPUTED_VALUE"""),44168.6458333333)</f>
        <v>44168.645833333299</v>
      </c>
      <c r="B233" s="14">
        <f ca="1">IFERROR(__xludf.DUMMYFUNCTION("""COMPUTED_VALUE"""),982.03)</f>
        <v>982.03</v>
      </c>
      <c r="C233" s="15">
        <f t="shared" ca="1" si="0"/>
        <v>3.0130326428892129E-3</v>
      </c>
      <c r="D233" s="14">
        <f t="shared" ca="1" si="1"/>
        <v>1041.2855999999999</v>
      </c>
      <c r="E233" s="3"/>
      <c r="F233" s="3"/>
    </row>
    <row r="234" spans="1:6" ht="14.25" x14ac:dyDescent="0.2">
      <c r="A234" s="13">
        <f ca="1">IFERROR(__xludf.DUMMYFUNCTION("""COMPUTED_VALUE"""),44169.6458333333)</f>
        <v>44169.645833333299</v>
      </c>
      <c r="B234" s="14">
        <f ca="1">IFERROR(__xludf.DUMMYFUNCTION("""COMPUTED_VALUE"""),973.38)</f>
        <v>973.38</v>
      </c>
      <c r="C234" s="15">
        <f t="shared" ca="1" si="0"/>
        <v>-8.8082848792806478E-3</v>
      </c>
      <c r="D234" s="14">
        <f t="shared" ca="1" si="1"/>
        <v>1038.6415999999997</v>
      </c>
      <c r="E234" s="3"/>
      <c r="F234" s="3"/>
    </row>
    <row r="235" spans="1:6" ht="14.25" x14ac:dyDescent="0.2">
      <c r="A235" s="13">
        <f ca="1">IFERROR(__xludf.DUMMYFUNCTION("""COMPUTED_VALUE"""),44172.6458333333)</f>
        <v>44172.645833333299</v>
      </c>
      <c r="B235" s="14">
        <f ca="1">IFERROR(__xludf.DUMMYFUNCTION("""COMPUTED_VALUE"""),979.1)</f>
        <v>979.1</v>
      </c>
      <c r="C235" s="15">
        <f t="shared" ca="1" si="0"/>
        <v>5.8764305820953044E-3</v>
      </c>
      <c r="D235" s="14">
        <f t="shared" ca="1" si="1"/>
        <v>1035.9155999999996</v>
      </c>
      <c r="E235" s="3"/>
      <c r="F235" s="3"/>
    </row>
    <row r="236" spans="1:6" ht="14.25" x14ac:dyDescent="0.2">
      <c r="A236" s="13">
        <f ca="1">IFERROR(__xludf.DUMMYFUNCTION("""COMPUTED_VALUE"""),44173.6458333333)</f>
        <v>44173.645833333299</v>
      </c>
      <c r="B236" s="14">
        <f ca="1">IFERROR(__xludf.DUMMYFUNCTION("""COMPUTED_VALUE"""),996.88)</f>
        <v>996.88</v>
      </c>
      <c r="C236" s="15">
        <f t="shared" ca="1" si="0"/>
        <v>1.815953426616268E-2</v>
      </c>
      <c r="D236" s="14">
        <f t="shared" ca="1" si="1"/>
        <v>1034.0411999999997</v>
      </c>
      <c r="E236" s="3"/>
      <c r="F236" s="3"/>
    </row>
    <row r="237" spans="1:6" ht="14.25" x14ac:dyDescent="0.2">
      <c r="A237" s="13">
        <f ca="1">IFERROR(__xludf.DUMMYFUNCTION("""COMPUTED_VALUE"""),44174.6458333333)</f>
        <v>44174.645833333299</v>
      </c>
      <c r="B237" s="14">
        <f ca="1">IFERROR(__xludf.DUMMYFUNCTION("""COMPUTED_VALUE"""),1013.48)</f>
        <v>1013.48</v>
      </c>
      <c r="C237" s="15">
        <f t="shared" ca="1" si="0"/>
        <v>1.6651954096781996E-2</v>
      </c>
      <c r="D237" s="14">
        <f t="shared" ca="1" si="1"/>
        <v>1032.2937999999997</v>
      </c>
      <c r="E237" s="3"/>
      <c r="F237" s="3"/>
    </row>
    <row r="238" spans="1:6" ht="14.25" x14ac:dyDescent="0.2">
      <c r="A238" s="13">
        <f ca="1">IFERROR(__xludf.DUMMYFUNCTION("""COMPUTED_VALUE"""),44175.6458333333)</f>
        <v>44175.645833333299</v>
      </c>
      <c r="B238" s="14">
        <f ca="1">IFERROR(__xludf.DUMMYFUNCTION("""COMPUTED_VALUE"""),1003.5)</f>
        <v>1003.5</v>
      </c>
      <c r="C238" s="15">
        <f t="shared" ca="1" si="0"/>
        <v>-9.8472589493625584E-3</v>
      </c>
      <c r="D238" s="14">
        <f t="shared" ca="1" si="1"/>
        <v>1030.2011999999997</v>
      </c>
      <c r="E238" s="3"/>
      <c r="F238" s="3"/>
    </row>
    <row r="239" spans="1:6" ht="14.25" x14ac:dyDescent="0.2">
      <c r="A239" s="13">
        <f ca="1">IFERROR(__xludf.DUMMYFUNCTION("""COMPUTED_VALUE"""),44176.6458333333)</f>
        <v>44176.645833333299</v>
      </c>
      <c r="B239" s="14">
        <f ca="1">IFERROR(__xludf.DUMMYFUNCTION("""COMPUTED_VALUE"""),1002.9)</f>
        <v>1002.9</v>
      </c>
      <c r="C239" s="15">
        <f t="shared" ca="1" si="0"/>
        <v>-5.9790732436471039E-4</v>
      </c>
      <c r="D239" s="14">
        <f t="shared" ca="1" si="1"/>
        <v>1027.8085999999998</v>
      </c>
      <c r="E239" s="3"/>
      <c r="F239" s="3"/>
    </row>
    <row r="240" spans="1:6" ht="14.25" x14ac:dyDescent="0.2">
      <c r="A240" s="13">
        <f ca="1">IFERROR(__xludf.DUMMYFUNCTION("""COMPUTED_VALUE"""),44179.6458333333)</f>
        <v>44179.645833333299</v>
      </c>
      <c r="B240" s="14">
        <f ca="1">IFERROR(__xludf.DUMMYFUNCTION("""COMPUTED_VALUE"""),995.65)</f>
        <v>995.65</v>
      </c>
      <c r="C240" s="15">
        <f t="shared" ca="1" si="0"/>
        <v>-7.2290357961910523E-3</v>
      </c>
      <c r="D240" s="14">
        <f t="shared" ca="1" si="1"/>
        <v>1025.3779999999999</v>
      </c>
      <c r="E240" s="3"/>
      <c r="F240" s="3"/>
    </row>
    <row r="241" spans="1:6" ht="14.25" x14ac:dyDescent="0.2">
      <c r="A241" s="13">
        <f ca="1">IFERROR(__xludf.DUMMYFUNCTION("""COMPUTED_VALUE"""),44180.6458333333)</f>
        <v>44180.645833333299</v>
      </c>
      <c r="B241" s="14">
        <f ca="1">IFERROR(__xludf.DUMMYFUNCTION("""COMPUTED_VALUE"""),987.18)</f>
        <v>987.18</v>
      </c>
      <c r="C241" s="15">
        <f t="shared" ca="1" si="0"/>
        <v>-8.5070054738111134E-3</v>
      </c>
      <c r="D241" s="14">
        <f t="shared" ca="1" si="1"/>
        <v>1022.8689999999999</v>
      </c>
      <c r="E241" s="3"/>
      <c r="F241" s="3"/>
    </row>
    <row r="242" spans="1:6" ht="14.25" x14ac:dyDescent="0.2">
      <c r="A242" s="13">
        <f ca="1">IFERROR(__xludf.DUMMYFUNCTION("""COMPUTED_VALUE"""),44181.6458333333)</f>
        <v>44181.645833333299</v>
      </c>
      <c r="B242" s="14">
        <f ca="1">IFERROR(__xludf.DUMMYFUNCTION("""COMPUTED_VALUE"""),988.28)</f>
        <v>988.28</v>
      </c>
      <c r="C242" s="15">
        <f t="shared" ca="1" si="0"/>
        <v>1.1142851354362104E-3</v>
      </c>
      <c r="D242" s="14">
        <f t="shared" ca="1" si="1"/>
        <v>1020.5125999999999</v>
      </c>
      <c r="E242" s="3"/>
      <c r="F242" s="3"/>
    </row>
    <row r="243" spans="1:6" ht="14.25" x14ac:dyDescent="0.2">
      <c r="A243" s="13">
        <f ca="1">IFERROR(__xludf.DUMMYFUNCTION("""COMPUTED_VALUE"""),44182.6458333333)</f>
        <v>44182.645833333299</v>
      </c>
      <c r="B243" s="14">
        <f ca="1">IFERROR(__xludf.DUMMYFUNCTION("""COMPUTED_VALUE"""),992.8)</f>
        <v>992.8</v>
      </c>
      <c r="C243" s="15">
        <f t="shared" ca="1" si="0"/>
        <v>4.5736026227385373E-3</v>
      </c>
      <c r="D243" s="14">
        <f t="shared" ca="1" si="1"/>
        <v>1018.265</v>
      </c>
      <c r="E243" s="3"/>
      <c r="F243" s="3"/>
    </row>
    <row r="244" spans="1:6" ht="14.25" x14ac:dyDescent="0.2">
      <c r="A244" s="13">
        <f ca="1">IFERROR(__xludf.DUMMYFUNCTION("""COMPUTED_VALUE"""),44183.6458333333)</f>
        <v>44183.645833333299</v>
      </c>
      <c r="B244" s="14">
        <f ca="1">IFERROR(__xludf.DUMMYFUNCTION("""COMPUTED_VALUE"""),995.78)</f>
        <v>995.78</v>
      </c>
      <c r="C244" s="15">
        <f t="shared" ca="1" si="0"/>
        <v>3.0016116035456175E-3</v>
      </c>
      <c r="D244" s="14">
        <f t="shared" ca="1" si="1"/>
        <v>1015.6056</v>
      </c>
      <c r="E244" s="3"/>
      <c r="F244" s="3"/>
    </row>
    <row r="245" spans="1:6" ht="14.25" x14ac:dyDescent="0.2">
      <c r="A245" s="13">
        <f ca="1">IFERROR(__xludf.DUMMYFUNCTION("""COMPUTED_VALUE"""),44186.6458333333)</f>
        <v>44186.645833333299</v>
      </c>
      <c r="B245" s="14">
        <f ca="1">IFERROR(__xludf.DUMMYFUNCTION("""COMPUTED_VALUE"""),969.85)</f>
        <v>969.85</v>
      </c>
      <c r="C245" s="15">
        <f t="shared" ca="1" si="0"/>
        <v>-2.6039888328747263E-2</v>
      </c>
      <c r="D245" s="14">
        <f t="shared" ca="1" si="1"/>
        <v>1012.61</v>
      </c>
      <c r="E245" s="3"/>
      <c r="F245" s="3"/>
    </row>
    <row r="246" spans="1:6" ht="14.25" x14ac:dyDescent="0.2">
      <c r="A246" s="13">
        <f ca="1">IFERROR(__xludf.DUMMYFUNCTION("""COMPUTED_VALUE"""),44187.6458333333)</f>
        <v>44187.645833333299</v>
      </c>
      <c r="B246" s="14">
        <f ca="1">IFERROR(__xludf.DUMMYFUNCTION("""COMPUTED_VALUE"""),968.35)</f>
        <v>968.35</v>
      </c>
      <c r="C246" s="15">
        <f t="shared" ca="1" si="0"/>
        <v>-1.5466309223075569E-3</v>
      </c>
      <c r="D246" s="14">
        <f t="shared" ca="1" si="1"/>
        <v>1009.6425999999999</v>
      </c>
      <c r="E246" s="3"/>
      <c r="F246" s="3"/>
    </row>
    <row r="247" spans="1:6" ht="14.25" x14ac:dyDescent="0.2">
      <c r="A247" s="13">
        <f ca="1">IFERROR(__xludf.DUMMYFUNCTION("""COMPUTED_VALUE"""),44188.6458333333)</f>
        <v>44188.645833333299</v>
      </c>
      <c r="B247" s="14">
        <f ca="1">IFERROR(__xludf.DUMMYFUNCTION("""COMPUTED_VALUE"""),971.93)</f>
        <v>971.93</v>
      </c>
      <c r="C247" s="15">
        <f t="shared" ca="1" si="0"/>
        <v>3.6970103784788044E-3</v>
      </c>
      <c r="D247" s="14">
        <f t="shared" ca="1" si="1"/>
        <v>1006.7105999999999</v>
      </c>
      <c r="E247" s="3"/>
      <c r="F247" s="3"/>
    </row>
    <row r="248" spans="1:6" ht="14.25" x14ac:dyDescent="0.2">
      <c r="A248" s="13">
        <f ca="1">IFERROR(__xludf.DUMMYFUNCTION("""COMPUTED_VALUE"""),44189.6458333333)</f>
        <v>44189.645833333299</v>
      </c>
      <c r="B248" s="14">
        <f ca="1">IFERROR(__xludf.DUMMYFUNCTION("""COMPUTED_VALUE"""),997.08)</f>
        <v>997.08</v>
      </c>
      <c r="C248" s="15">
        <f t="shared" ca="1" si="0"/>
        <v>2.5876349119792641E-2</v>
      </c>
      <c r="D248" s="14">
        <f t="shared" ca="1" si="1"/>
        <v>1003.8451999999999</v>
      </c>
      <c r="E248" s="3"/>
      <c r="F248" s="3"/>
    </row>
    <row r="249" spans="1:6" ht="14.25" x14ac:dyDescent="0.2">
      <c r="A249" s="13">
        <f ca="1">IFERROR(__xludf.DUMMYFUNCTION("""COMPUTED_VALUE"""),44193.6458333333)</f>
        <v>44193.645833333299</v>
      </c>
      <c r="B249" s="14">
        <f ca="1">IFERROR(__xludf.DUMMYFUNCTION("""COMPUTED_VALUE"""),1001.65)</f>
        <v>1001.65</v>
      </c>
      <c r="C249" s="15">
        <f t="shared" ca="1" si="0"/>
        <v>4.5833834797608386E-3</v>
      </c>
      <c r="D249" s="14">
        <f t="shared" ca="1" si="1"/>
        <v>1001.0032000000001</v>
      </c>
      <c r="E249" s="3"/>
      <c r="F249" s="3"/>
    </row>
    <row r="250" spans="1:6" ht="14.25" x14ac:dyDescent="0.2">
      <c r="A250" s="13">
        <f ca="1">IFERROR(__xludf.DUMMYFUNCTION("""COMPUTED_VALUE"""),44194.6458333333)</f>
        <v>44194.645833333299</v>
      </c>
      <c r="B250" s="14">
        <f ca="1">IFERROR(__xludf.DUMMYFUNCTION("""COMPUTED_VALUE"""),995.03)</f>
        <v>995.03</v>
      </c>
      <c r="C250" s="15">
        <f t="shared" ca="1" si="0"/>
        <v>-6.609094993261122E-3</v>
      </c>
      <c r="D250" s="14">
        <f t="shared" ca="1" si="1"/>
        <v>998.83879999999999</v>
      </c>
      <c r="E250" s="3"/>
      <c r="F250" s="3"/>
    </row>
    <row r="251" spans="1:6" ht="14.25" x14ac:dyDescent="0.2">
      <c r="A251" s="13">
        <f ca="1">IFERROR(__xludf.DUMMYFUNCTION("""COMPUTED_VALUE"""),44195.6458333333)</f>
        <v>44195.645833333299</v>
      </c>
      <c r="B251" s="14">
        <f ca="1">IFERROR(__xludf.DUMMYFUNCTION("""COMPUTED_VALUE"""),997.75)</f>
        <v>997.75</v>
      </c>
      <c r="C251" s="15">
        <f t="shared" ca="1" si="0"/>
        <v>2.7335859220325442E-3</v>
      </c>
      <c r="D251" s="14">
        <f t="shared" ca="1" si="1"/>
        <v>997.03580000000011</v>
      </c>
      <c r="E251" s="3"/>
      <c r="F251" s="3"/>
    </row>
    <row r="252" spans="1:6" ht="14.25" x14ac:dyDescent="0.2">
      <c r="A252" s="13">
        <f ca="1">IFERROR(__xludf.DUMMYFUNCTION("""COMPUTED_VALUE"""),44196.6458333333)</f>
        <v>44196.645833333299</v>
      </c>
      <c r="B252" s="14">
        <f ca="1">IFERROR(__xludf.DUMMYFUNCTION("""COMPUTED_VALUE"""),992.65)</f>
        <v>992.65</v>
      </c>
      <c r="C252" s="15">
        <f t="shared" ca="1" si="0"/>
        <v>-5.1115008769732073E-3</v>
      </c>
      <c r="D252" s="14">
        <f t="shared" ca="1" si="1"/>
        <v>995.12680000000023</v>
      </c>
      <c r="E252" s="3"/>
      <c r="F252" s="3"/>
    </row>
    <row r="253" spans="1:6" ht="14.25" x14ac:dyDescent="0.2">
      <c r="A253" s="13">
        <f ca="1">IFERROR(__xludf.DUMMYFUNCTION("""COMPUTED_VALUE"""),44197.6458333333)</f>
        <v>44197.645833333299</v>
      </c>
      <c r="B253" s="14">
        <f ca="1">IFERROR(__xludf.DUMMYFUNCTION("""COMPUTED_VALUE"""),993.75)</f>
        <v>993.75</v>
      </c>
      <c r="C253" s="15">
        <f t="shared" ca="1" si="0"/>
        <v>1.1081448647560777E-3</v>
      </c>
      <c r="D253" s="14">
        <f t="shared" ca="1" si="1"/>
        <v>993.44280000000026</v>
      </c>
      <c r="E253" s="3"/>
      <c r="F253" s="3"/>
    </row>
    <row r="254" spans="1:6" ht="14.25" x14ac:dyDescent="0.2">
      <c r="A254" s="13">
        <f ca="1">IFERROR(__xludf.DUMMYFUNCTION("""COMPUTED_VALUE"""),44200.6458333333)</f>
        <v>44200.645833333299</v>
      </c>
      <c r="B254" s="14">
        <f ca="1">IFERROR(__xludf.DUMMYFUNCTION("""COMPUTED_VALUE"""),995.43)</f>
        <v>995.43</v>
      </c>
      <c r="C254" s="15">
        <f t="shared" ca="1" si="0"/>
        <v>1.6905660377357634E-3</v>
      </c>
      <c r="D254" s="14">
        <f t="shared" ca="1" si="1"/>
        <v>992.10540000000026</v>
      </c>
      <c r="E254" s="3"/>
      <c r="F254" s="3"/>
    </row>
    <row r="255" spans="1:6" ht="14.25" x14ac:dyDescent="0.2">
      <c r="A255" s="13">
        <f ca="1">IFERROR(__xludf.DUMMYFUNCTION("""COMPUTED_VALUE"""),44201.6458333333)</f>
        <v>44201.645833333299</v>
      </c>
      <c r="B255" s="14">
        <f ca="1">IFERROR(__xludf.DUMMYFUNCTION("""COMPUTED_VALUE"""),983.05)</f>
        <v>983.05</v>
      </c>
      <c r="C255" s="15">
        <f t="shared" ca="1" si="0"/>
        <v>-1.2436836342083368E-2</v>
      </c>
      <c r="D255" s="14">
        <f t="shared" ca="1" si="1"/>
        <v>990.69700000000012</v>
      </c>
      <c r="E255" s="3"/>
      <c r="F255" s="3"/>
    </row>
    <row r="256" spans="1:6" ht="14.25" x14ac:dyDescent="0.2">
      <c r="A256" s="13">
        <f ca="1">IFERROR(__xludf.DUMMYFUNCTION("""COMPUTED_VALUE"""),44202.6458333333)</f>
        <v>44202.645833333299</v>
      </c>
      <c r="B256" s="14">
        <f ca="1">IFERROR(__xludf.DUMMYFUNCTION("""COMPUTED_VALUE"""),957.13)</f>
        <v>957.13</v>
      </c>
      <c r="C256" s="15">
        <f t="shared" ca="1" si="0"/>
        <v>-2.6366919281826884E-2</v>
      </c>
      <c r="D256" s="14">
        <f t="shared" ca="1" si="1"/>
        <v>988.70900000000006</v>
      </c>
      <c r="E256" s="3"/>
      <c r="F256" s="3"/>
    </row>
    <row r="257" spans="1:6" ht="14.25" x14ac:dyDescent="0.2">
      <c r="A257" s="13">
        <f ca="1">IFERROR(__xludf.DUMMYFUNCTION("""COMPUTED_VALUE"""),44203.6458333333)</f>
        <v>44203.645833333299</v>
      </c>
      <c r="B257" s="14">
        <f ca="1">IFERROR(__xludf.DUMMYFUNCTION("""COMPUTED_VALUE"""),955.58)</f>
        <v>955.58</v>
      </c>
      <c r="C257" s="15">
        <f t="shared" ca="1" si="0"/>
        <v>-1.6194247385412641E-3</v>
      </c>
      <c r="D257" s="14">
        <f t="shared" ca="1" si="1"/>
        <v>987.52960000000019</v>
      </c>
      <c r="E257" s="3"/>
      <c r="F257" s="3"/>
    </row>
    <row r="258" spans="1:6" ht="14.25" x14ac:dyDescent="0.2">
      <c r="A258" s="13">
        <f ca="1">IFERROR(__xludf.DUMMYFUNCTION("""COMPUTED_VALUE"""),44204.6458333333)</f>
        <v>44204.645833333299</v>
      </c>
      <c r="B258" s="14">
        <f ca="1">IFERROR(__xludf.DUMMYFUNCTION("""COMPUTED_VALUE"""),966.85)</f>
        <v>966.85</v>
      </c>
      <c r="C258" s="15">
        <f t="shared" ref="C258:C512" ca="1" si="2">(B258/B257)-1</f>
        <v>1.1793884342493621E-2</v>
      </c>
      <c r="D258" s="14">
        <f t="shared" ca="1" si="1"/>
        <v>986.52160000000015</v>
      </c>
      <c r="E258" s="3"/>
      <c r="F258" s="3"/>
    </row>
    <row r="259" spans="1:6" ht="14.25" x14ac:dyDescent="0.2">
      <c r="A259" s="13">
        <f ca="1">IFERROR(__xludf.DUMMYFUNCTION("""COMPUTED_VALUE"""),44207.6458333333)</f>
        <v>44207.645833333299</v>
      </c>
      <c r="B259" s="14">
        <f ca="1">IFERROR(__xludf.DUMMYFUNCTION("""COMPUTED_VALUE"""),948.63)</f>
        <v>948.63</v>
      </c>
      <c r="C259" s="15">
        <f t="shared" ca="1" si="2"/>
        <v>-1.8844701866887359E-2</v>
      </c>
      <c r="D259" s="14">
        <f t="shared" ca="1" si="1"/>
        <v>985.3796000000001</v>
      </c>
      <c r="E259" s="3"/>
      <c r="F259" s="3"/>
    </row>
    <row r="260" spans="1:6" ht="14.25" x14ac:dyDescent="0.2">
      <c r="A260" s="13">
        <f ca="1">IFERROR(__xludf.DUMMYFUNCTION("""COMPUTED_VALUE"""),44208.6458333333)</f>
        <v>44208.645833333299</v>
      </c>
      <c r="B260" s="14">
        <f ca="1">IFERROR(__xludf.DUMMYFUNCTION("""COMPUTED_VALUE"""),978.53)</f>
        <v>978.53</v>
      </c>
      <c r="C260" s="15">
        <f t="shared" ca="1" si="2"/>
        <v>3.1519138125507329E-2</v>
      </c>
      <c r="D260" s="14">
        <f t="shared" ca="1" si="1"/>
        <v>984.6812000000001</v>
      </c>
      <c r="E260" s="3"/>
      <c r="F260" s="3"/>
    </row>
    <row r="261" spans="1:6" ht="14.25" x14ac:dyDescent="0.2">
      <c r="A261" s="13">
        <f ca="1">IFERROR(__xludf.DUMMYFUNCTION("""COMPUTED_VALUE"""),44209.6458333333)</f>
        <v>44209.645833333299</v>
      </c>
      <c r="B261" s="14">
        <f ca="1">IFERROR(__xludf.DUMMYFUNCTION("""COMPUTED_VALUE"""),969.4)</f>
        <v>969.4</v>
      </c>
      <c r="C261" s="15">
        <f t="shared" ca="1" si="2"/>
        <v>-9.3303220136327081E-3</v>
      </c>
      <c r="D261" s="14">
        <f t="shared" ca="1" si="1"/>
        <v>983.52420000000018</v>
      </c>
      <c r="E261" s="3"/>
      <c r="F261" s="3"/>
    </row>
    <row r="262" spans="1:6" ht="14.25" x14ac:dyDescent="0.2">
      <c r="A262" s="13">
        <f ca="1">IFERROR(__xludf.DUMMYFUNCTION("""COMPUTED_VALUE"""),44210.6458333333)</f>
        <v>44210.645833333299</v>
      </c>
      <c r="B262" s="14">
        <f ca="1">IFERROR(__xludf.DUMMYFUNCTION("""COMPUTED_VALUE"""),980.3)</f>
        <v>980.3</v>
      </c>
      <c r="C262" s="15">
        <f t="shared" ca="1" si="2"/>
        <v>1.1244068495976922E-2</v>
      </c>
      <c r="D262" s="14">
        <f t="shared" ca="1" si="1"/>
        <v>984.35560000000009</v>
      </c>
      <c r="E262" s="3"/>
      <c r="F262" s="3"/>
    </row>
    <row r="263" spans="1:6" ht="14.25" x14ac:dyDescent="0.2">
      <c r="A263" s="13">
        <f ca="1">IFERROR(__xludf.DUMMYFUNCTION("""COMPUTED_VALUE"""),44211.6458333333)</f>
        <v>44211.645833333299</v>
      </c>
      <c r="B263" s="14">
        <f ca="1">IFERROR(__xludf.DUMMYFUNCTION("""COMPUTED_VALUE"""),968.73)</f>
        <v>968.73</v>
      </c>
      <c r="C263" s="15">
        <f t="shared" ca="1" si="2"/>
        <v>-1.1802509435886899E-2</v>
      </c>
      <c r="D263" s="14">
        <f t="shared" ca="1" si="1"/>
        <v>985.22620000000006</v>
      </c>
      <c r="E263" s="3"/>
      <c r="F263" s="3"/>
    </row>
    <row r="264" spans="1:6" ht="14.25" x14ac:dyDescent="0.2">
      <c r="A264" s="13">
        <f ca="1">IFERROR(__xludf.DUMMYFUNCTION("""COMPUTED_VALUE"""),44214.6458333333)</f>
        <v>44214.645833333299</v>
      </c>
      <c r="B264" s="14">
        <f ca="1">IFERROR(__xludf.DUMMYFUNCTION("""COMPUTED_VALUE"""),991.98)</f>
        <v>991.98</v>
      </c>
      <c r="C264" s="15">
        <f t="shared" ca="1" si="2"/>
        <v>2.4000495494100438E-2</v>
      </c>
      <c r="D264" s="14">
        <f t="shared" ca="1" si="1"/>
        <v>985.93380000000025</v>
      </c>
      <c r="E264" s="3"/>
      <c r="F264" s="3"/>
    </row>
    <row r="265" spans="1:6" ht="14.25" x14ac:dyDescent="0.2">
      <c r="A265" s="13">
        <f ca="1">IFERROR(__xludf.DUMMYFUNCTION("""COMPUTED_VALUE"""),44215.6458333333)</f>
        <v>44215.645833333299</v>
      </c>
      <c r="B265" s="14">
        <f ca="1">IFERROR(__xludf.DUMMYFUNCTION("""COMPUTED_VALUE"""),1008.2)</f>
        <v>1008.2</v>
      </c>
      <c r="C265" s="15">
        <f t="shared" ca="1" si="2"/>
        <v>1.6351136111615094E-2</v>
      </c>
      <c r="D265" s="14">
        <f t="shared" ca="1" si="1"/>
        <v>986.54780000000017</v>
      </c>
      <c r="E265" s="3"/>
      <c r="F265" s="3"/>
    </row>
    <row r="266" spans="1:6" ht="14.25" x14ac:dyDescent="0.2">
      <c r="A266" s="13">
        <f ca="1">IFERROR(__xludf.DUMMYFUNCTION("""COMPUTED_VALUE"""),44216.6458333333)</f>
        <v>44216.645833333299</v>
      </c>
      <c r="B266" s="14">
        <f ca="1">IFERROR(__xludf.DUMMYFUNCTION("""COMPUTED_VALUE"""),1027.35)</f>
        <v>1027.3499999999999</v>
      </c>
      <c r="C266" s="15">
        <f t="shared" ca="1" si="2"/>
        <v>1.8994247173179879E-2</v>
      </c>
      <c r="D266" s="14">
        <f t="shared" ca="1" si="1"/>
        <v>986.80320000000017</v>
      </c>
      <c r="E266" s="3"/>
      <c r="F266" s="3"/>
    </row>
    <row r="267" spans="1:6" ht="14.25" x14ac:dyDescent="0.2">
      <c r="A267" s="13">
        <f ca="1">IFERROR(__xludf.DUMMYFUNCTION("""COMPUTED_VALUE"""),44217.6458333333)</f>
        <v>44217.645833333299</v>
      </c>
      <c r="B267" s="14">
        <f ca="1">IFERROR(__xludf.DUMMYFUNCTION("""COMPUTED_VALUE"""),1049.7)</f>
        <v>1049.7</v>
      </c>
      <c r="C267" s="15">
        <f t="shared" ca="1" si="2"/>
        <v>2.175500073003378E-2</v>
      </c>
      <c r="D267" s="14">
        <f t="shared" ca="1" si="1"/>
        <v>987.29020000000003</v>
      </c>
      <c r="E267" s="3"/>
      <c r="F267" s="3"/>
    </row>
    <row r="268" spans="1:6" ht="14.25" x14ac:dyDescent="0.2">
      <c r="A268" s="13">
        <f ca="1">IFERROR(__xludf.DUMMYFUNCTION("""COMPUTED_VALUE"""),44218.6458333333)</f>
        <v>44218.645833333299</v>
      </c>
      <c r="B268" s="14">
        <f ca="1">IFERROR(__xludf.DUMMYFUNCTION("""COMPUTED_VALUE"""),1024.8)</f>
        <v>1024.8</v>
      </c>
      <c r="C268" s="15">
        <f t="shared" ca="1" si="2"/>
        <v>-2.3721063160903166E-2</v>
      </c>
      <c r="D268" s="14">
        <f t="shared" ca="1" si="1"/>
        <v>986.94060000000013</v>
      </c>
      <c r="E268" s="3"/>
      <c r="F268" s="3"/>
    </row>
    <row r="269" spans="1:6" ht="14.25" x14ac:dyDescent="0.2">
      <c r="A269" s="13">
        <f ca="1">IFERROR(__xludf.DUMMYFUNCTION("""COMPUTED_VALUE"""),44221.6458333333)</f>
        <v>44221.645833333299</v>
      </c>
      <c r="B269" s="14">
        <f ca="1">IFERROR(__xludf.DUMMYFUNCTION("""COMPUTED_VALUE"""),970.5)</f>
        <v>970.5</v>
      </c>
      <c r="C269" s="15">
        <f t="shared" ca="1" si="2"/>
        <v>-5.2985948477751732E-2</v>
      </c>
      <c r="D269" s="14">
        <f t="shared" ca="1" si="1"/>
        <v>986.37860000000012</v>
      </c>
      <c r="E269" s="3"/>
      <c r="F269" s="3"/>
    </row>
    <row r="270" spans="1:6" ht="14.25" x14ac:dyDescent="0.2">
      <c r="A270" s="13">
        <f ca="1">IFERROR(__xludf.DUMMYFUNCTION("""COMPUTED_VALUE"""),44223.6458333333)</f>
        <v>44223.645833333299</v>
      </c>
      <c r="B270" s="14">
        <f ca="1">IFERROR(__xludf.DUMMYFUNCTION("""COMPUTED_VALUE"""),947.5)</f>
        <v>947.5</v>
      </c>
      <c r="C270" s="15">
        <f t="shared" ca="1" si="2"/>
        <v>-2.3699124162802732E-2</v>
      </c>
      <c r="D270" s="14">
        <f t="shared" ca="1" si="1"/>
        <v>985.52859999999998</v>
      </c>
      <c r="E270" s="3"/>
      <c r="F270" s="3"/>
    </row>
    <row r="271" spans="1:6" ht="14.25" x14ac:dyDescent="0.2">
      <c r="A271" s="13">
        <f ca="1">IFERROR(__xludf.DUMMYFUNCTION("""COMPUTED_VALUE"""),44224.6458333333)</f>
        <v>44224.645833333299</v>
      </c>
      <c r="B271" s="14">
        <f ca="1">IFERROR(__xludf.DUMMYFUNCTION("""COMPUTED_VALUE"""),938.28)</f>
        <v>938.28</v>
      </c>
      <c r="C271" s="15">
        <f t="shared" ca="1" si="2"/>
        <v>-9.7308707124010851E-3</v>
      </c>
      <c r="D271" s="14">
        <f t="shared" ca="1" si="1"/>
        <v>984.33019999999999</v>
      </c>
      <c r="E271" s="3"/>
      <c r="F271" s="3"/>
    </row>
    <row r="272" spans="1:6" ht="14.25" x14ac:dyDescent="0.2">
      <c r="A272" s="13">
        <f ca="1">IFERROR(__xludf.DUMMYFUNCTION("""COMPUTED_VALUE"""),44225.6458333333)</f>
        <v>44225.645833333299</v>
      </c>
      <c r="B272" s="14">
        <f ca="1">IFERROR(__xludf.DUMMYFUNCTION("""COMPUTED_VALUE"""),920.98)</f>
        <v>920.98</v>
      </c>
      <c r="C272" s="15">
        <f t="shared" ca="1" si="2"/>
        <v>-1.8437992923221125E-2</v>
      </c>
      <c r="D272" s="14">
        <f t="shared" ca="1" si="1"/>
        <v>982.81719999999996</v>
      </c>
      <c r="E272" s="3"/>
      <c r="F272" s="3"/>
    </row>
    <row r="273" spans="1:6" ht="14.25" x14ac:dyDescent="0.2">
      <c r="A273" s="13">
        <f ca="1">IFERROR(__xludf.DUMMYFUNCTION("""COMPUTED_VALUE"""),44228.6458333333)</f>
        <v>44228.645833333299</v>
      </c>
      <c r="B273" s="14">
        <f ca="1">IFERROR(__xludf.DUMMYFUNCTION("""COMPUTED_VALUE"""),947.65)</f>
        <v>947.65</v>
      </c>
      <c r="C273" s="15">
        <f t="shared" ca="1" si="2"/>
        <v>2.8958283567504184E-2</v>
      </c>
      <c r="D273" s="14">
        <f t="shared" ca="1" si="1"/>
        <v>981.89820000000009</v>
      </c>
      <c r="E273" s="3"/>
      <c r="F273" s="3"/>
    </row>
    <row r="274" spans="1:6" ht="14.25" x14ac:dyDescent="0.2">
      <c r="A274" s="13">
        <f ca="1">IFERROR(__xludf.DUMMYFUNCTION("""COMPUTED_VALUE"""),44229.6458333333)</f>
        <v>44229.645833333299</v>
      </c>
      <c r="B274" s="14">
        <f ca="1">IFERROR(__xludf.DUMMYFUNCTION("""COMPUTED_VALUE"""),962.9)</f>
        <v>962.9</v>
      </c>
      <c r="C274" s="15">
        <f t="shared" ca="1" si="2"/>
        <v>1.6092439191684793E-2</v>
      </c>
      <c r="D274" s="14">
        <f t="shared" ca="1" si="1"/>
        <v>981.42460000000005</v>
      </c>
      <c r="E274" s="3"/>
      <c r="F274" s="3"/>
    </row>
    <row r="275" spans="1:6" ht="14.25" x14ac:dyDescent="0.2">
      <c r="A275" s="13">
        <f ca="1">IFERROR(__xludf.DUMMYFUNCTION("""COMPUTED_VALUE"""),44230.6458333333)</f>
        <v>44230.645833333299</v>
      </c>
      <c r="B275" s="14">
        <f ca="1">IFERROR(__xludf.DUMMYFUNCTION("""COMPUTED_VALUE"""),965.33)</f>
        <v>965.33</v>
      </c>
      <c r="C275" s="15">
        <f t="shared" ca="1" si="2"/>
        <v>2.5236265448125295E-3</v>
      </c>
      <c r="D275" s="14">
        <f t="shared" ca="1" si="1"/>
        <v>981.73620000000005</v>
      </c>
      <c r="E275" s="3"/>
      <c r="F275" s="3"/>
    </row>
    <row r="276" spans="1:6" ht="14.25" x14ac:dyDescent="0.2">
      <c r="A276" s="13">
        <f ca="1">IFERROR(__xludf.DUMMYFUNCTION("""COMPUTED_VALUE"""),44231.6458333333)</f>
        <v>44231.645833333299</v>
      </c>
      <c r="B276" s="14">
        <f ca="1">IFERROR(__xludf.DUMMYFUNCTION("""COMPUTED_VALUE"""),962.15)</f>
        <v>962.15</v>
      </c>
      <c r="C276" s="15">
        <f t="shared" ca="1" si="2"/>
        <v>-3.2942102700631581E-3</v>
      </c>
      <c r="D276" s="14">
        <f t="shared" ca="1" si="1"/>
        <v>981.47220000000027</v>
      </c>
      <c r="E276" s="3"/>
      <c r="F276" s="3"/>
    </row>
    <row r="277" spans="1:6" ht="14.25" x14ac:dyDescent="0.2">
      <c r="A277" s="13">
        <f ca="1">IFERROR(__xludf.DUMMYFUNCTION("""COMPUTED_VALUE"""),44232.6458333333)</f>
        <v>44232.645833333299</v>
      </c>
      <c r="B277" s="14">
        <f ca="1">IFERROR(__xludf.DUMMYFUNCTION("""COMPUTED_VALUE"""),961.88)</f>
        <v>961.88</v>
      </c>
      <c r="C277" s="15">
        <f t="shared" ca="1" si="2"/>
        <v>-2.8062152471031165E-4</v>
      </c>
      <c r="D277" s="14">
        <f t="shared" ca="1" si="1"/>
        <v>981.06920000000025</v>
      </c>
      <c r="E277" s="3"/>
      <c r="F277" s="3"/>
    </row>
    <row r="278" spans="1:6" ht="14.25" x14ac:dyDescent="0.2">
      <c r="A278" s="13">
        <f ca="1">IFERROR(__xludf.DUMMYFUNCTION("""COMPUTED_VALUE"""),44235.6458333333)</f>
        <v>44235.645833333299</v>
      </c>
      <c r="B278" s="14">
        <f ca="1">IFERROR(__xludf.DUMMYFUNCTION("""COMPUTED_VALUE"""),975.73)</f>
        <v>975.73</v>
      </c>
      <c r="C278" s="15">
        <f t="shared" ca="1" si="2"/>
        <v>1.4398885515864768E-2</v>
      </c>
      <c r="D278" s="14">
        <f t="shared" ca="1" si="1"/>
        <v>981.10580000000027</v>
      </c>
      <c r="E278" s="3"/>
      <c r="F278" s="3"/>
    </row>
    <row r="279" spans="1:6" ht="14.25" x14ac:dyDescent="0.2">
      <c r="A279" s="13">
        <f ca="1">IFERROR(__xludf.DUMMYFUNCTION("""COMPUTED_VALUE"""),44236.6458333333)</f>
        <v>44236.645833333299</v>
      </c>
      <c r="B279" s="14">
        <f ca="1">IFERROR(__xludf.DUMMYFUNCTION("""COMPUTED_VALUE"""),978.08)</f>
        <v>978.08</v>
      </c>
      <c r="C279" s="15">
        <f t="shared" ca="1" si="2"/>
        <v>2.4084531581483049E-3</v>
      </c>
      <c r="D279" s="14">
        <f t="shared" ca="1" si="1"/>
        <v>981.14140000000032</v>
      </c>
      <c r="E279" s="3"/>
      <c r="F279" s="3"/>
    </row>
    <row r="280" spans="1:6" ht="14.25" x14ac:dyDescent="0.2">
      <c r="A280" s="13">
        <f ca="1">IFERROR(__xludf.DUMMYFUNCTION("""COMPUTED_VALUE"""),44237.6458333333)</f>
        <v>44237.645833333299</v>
      </c>
      <c r="B280" s="14">
        <f ca="1">IFERROR(__xludf.DUMMYFUNCTION("""COMPUTED_VALUE"""),987.15)</f>
        <v>987.15</v>
      </c>
      <c r="C280" s="15">
        <f t="shared" ca="1" si="2"/>
        <v>9.2732700801569923E-3</v>
      </c>
      <c r="D280" s="14">
        <f t="shared" ca="1" si="1"/>
        <v>981.58640000000025</v>
      </c>
      <c r="E280" s="3"/>
      <c r="F280" s="3"/>
    </row>
    <row r="281" spans="1:6" ht="14.25" x14ac:dyDescent="0.2">
      <c r="A281" s="13">
        <f ca="1">IFERROR(__xludf.DUMMYFUNCTION("""COMPUTED_VALUE"""),44238.6458333333)</f>
        <v>44238.645833333299</v>
      </c>
      <c r="B281" s="14">
        <f ca="1">IFERROR(__xludf.DUMMYFUNCTION("""COMPUTED_VALUE"""),1027.85)</f>
        <v>1027.8499999999999</v>
      </c>
      <c r="C281" s="15">
        <f t="shared" ca="1" si="2"/>
        <v>4.1229802968140605E-2</v>
      </c>
      <c r="D281" s="14">
        <f t="shared" ca="1" si="1"/>
        <v>982.59440000000029</v>
      </c>
      <c r="E281" s="3"/>
      <c r="F281" s="3"/>
    </row>
    <row r="282" spans="1:6" ht="14.25" x14ac:dyDescent="0.2">
      <c r="A282" s="13">
        <f ca="1">IFERROR(__xludf.DUMMYFUNCTION("""COMPUTED_VALUE"""),44239.6458333333)</f>
        <v>44239.645833333299</v>
      </c>
      <c r="B282" s="14">
        <f ca="1">IFERROR(__xludf.DUMMYFUNCTION("""COMPUTED_VALUE"""),1020.8)</f>
        <v>1020.8</v>
      </c>
      <c r="C282" s="15">
        <f t="shared" ca="1" si="2"/>
        <v>-6.8589774772582768E-3</v>
      </c>
      <c r="D282" s="14">
        <f t="shared" ca="1" si="1"/>
        <v>983.42880000000036</v>
      </c>
      <c r="E282" s="3"/>
      <c r="F282" s="3"/>
    </row>
    <row r="283" spans="1:6" ht="14.25" x14ac:dyDescent="0.2">
      <c r="A283" s="13">
        <f ca="1">IFERROR(__xludf.DUMMYFUNCTION("""COMPUTED_VALUE"""),44242.6458333333)</f>
        <v>44242.645833333299</v>
      </c>
      <c r="B283" s="14">
        <f ca="1">IFERROR(__xludf.DUMMYFUNCTION("""COMPUTED_VALUE"""),1016.3)</f>
        <v>1016.3</v>
      </c>
      <c r="C283" s="15">
        <f t="shared" ca="1" si="2"/>
        <v>-4.4083072100313814E-3</v>
      </c>
      <c r="D283" s="14">
        <f t="shared" ca="1" si="1"/>
        <v>984.11420000000044</v>
      </c>
      <c r="E283" s="3"/>
      <c r="F283" s="3"/>
    </row>
    <row r="284" spans="1:6" ht="14.25" x14ac:dyDescent="0.2">
      <c r="A284" s="13">
        <f ca="1">IFERROR(__xludf.DUMMYFUNCTION("""COMPUTED_VALUE"""),44243.6458333333)</f>
        <v>44243.645833333299</v>
      </c>
      <c r="B284" s="14">
        <f ca="1">IFERROR(__xludf.DUMMYFUNCTION("""COMPUTED_VALUE"""),1029.75)</f>
        <v>1029.75</v>
      </c>
      <c r="C284" s="15">
        <f t="shared" ca="1" si="2"/>
        <v>1.3234281216176313E-2</v>
      </c>
      <c r="D284" s="14">
        <f t="shared" ca="1" si="1"/>
        <v>985.24160000000052</v>
      </c>
      <c r="E284" s="3"/>
      <c r="F284" s="3"/>
    </row>
    <row r="285" spans="1:6" ht="14.25" x14ac:dyDescent="0.2">
      <c r="A285" s="13">
        <f ca="1">IFERROR(__xludf.DUMMYFUNCTION("""COMPUTED_VALUE"""),44244.6458333333)</f>
        <v>44244.645833333299</v>
      </c>
      <c r="B285" s="14">
        <f ca="1">IFERROR(__xludf.DUMMYFUNCTION("""COMPUTED_VALUE"""),1041.63)</f>
        <v>1041.6300000000001</v>
      </c>
      <c r="C285" s="15">
        <f t="shared" ca="1" si="2"/>
        <v>1.1536780772032129E-2</v>
      </c>
      <c r="D285" s="14">
        <f t="shared" ca="1" si="1"/>
        <v>986.49220000000025</v>
      </c>
      <c r="E285" s="3"/>
      <c r="F285" s="3"/>
    </row>
    <row r="286" spans="1:6" ht="14.25" x14ac:dyDescent="0.2">
      <c r="A286" s="13">
        <f ca="1">IFERROR(__xludf.DUMMYFUNCTION("""COMPUTED_VALUE"""),44245.6458333333)</f>
        <v>44245.645833333299</v>
      </c>
      <c r="B286" s="14">
        <f ca="1">IFERROR(__xludf.DUMMYFUNCTION("""COMPUTED_VALUE"""),1033.85)</f>
        <v>1033.8499999999999</v>
      </c>
      <c r="C286" s="15">
        <f t="shared" ca="1" si="2"/>
        <v>-7.4690629110146789E-3</v>
      </c>
      <c r="D286" s="14">
        <f t="shared" ca="1" si="1"/>
        <v>987.2316000000003</v>
      </c>
      <c r="E286" s="3"/>
      <c r="F286" s="3"/>
    </row>
    <row r="287" spans="1:6" ht="14.25" x14ac:dyDescent="0.2">
      <c r="A287" s="13">
        <f ca="1">IFERROR(__xludf.DUMMYFUNCTION("""COMPUTED_VALUE"""),44246.6458333333)</f>
        <v>44246.645833333299</v>
      </c>
      <c r="B287" s="14">
        <f ca="1">IFERROR(__xludf.DUMMYFUNCTION("""COMPUTED_VALUE"""),1040.15)</f>
        <v>1040.1500000000001</v>
      </c>
      <c r="C287" s="15">
        <f t="shared" ca="1" si="2"/>
        <v>6.0937273298835581E-3</v>
      </c>
      <c r="D287" s="14">
        <f t="shared" ca="1" si="1"/>
        <v>987.76500000000033</v>
      </c>
      <c r="E287" s="3"/>
      <c r="F287" s="3"/>
    </row>
    <row r="288" spans="1:6" ht="14.25" x14ac:dyDescent="0.2">
      <c r="A288" s="13">
        <f ca="1">IFERROR(__xludf.DUMMYFUNCTION("""COMPUTED_VALUE"""),44249.6458333333)</f>
        <v>44249.645833333299</v>
      </c>
      <c r="B288" s="14">
        <f ca="1">IFERROR(__xludf.DUMMYFUNCTION("""COMPUTED_VALUE"""),1004.05)</f>
        <v>1004.05</v>
      </c>
      <c r="C288" s="15">
        <f t="shared" ca="1" si="2"/>
        <v>-3.4706532711628268E-2</v>
      </c>
      <c r="D288" s="14">
        <f t="shared" ca="1" si="1"/>
        <v>987.77600000000029</v>
      </c>
      <c r="E288" s="3"/>
      <c r="F288" s="3"/>
    </row>
    <row r="289" spans="1:6" ht="14.25" x14ac:dyDescent="0.2">
      <c r="A289" s="13">
        <f ca="1">IFERROR(__xludf.DUMMYFUNCTION("""COMPUTED_VALUE"""),44250.6458333333)</f>
        <v>44250.645833333299</v>
      </c>
      <c r="B289" s="14">
        <f ca="1">IFERROR(__xludf.DUMMYFUNCTION("""COMPUTED_VALUE"""),1011.73)</f>
        <v>1011.73</v>
      </c>
      <c r="C289" s="15">
        <f t="shared" ca="1" si="2"/>
        <v>7.6490214630746678E-3</v>
      </c>
      <c r="D289" s="14">
        <f t="shared" ca="1" si="1"/>
        <v>987.95260000000019</v>
      </c>
      <c r="E289" s="3"/>
      <c r="F289" s="3"/>
    </row>
    <row r="290" spans="1:6" ht="14.25" x14ac:dyDescent="0.2">
      <c r="A290" s="13">
        <f ca="1">IFERROR(__xludf.DUMMYFUNCTION("""COMPUTED_VALUE"""),44251.6458333333)</f>
        <v>44251.645833333299</v>
      </c>
      <c r="B290" s="14">
        <f ca="1">IFERROR(__xludf.DUMMYFUNCTION("""COMPUTED_VALUE"""),1030.5)</f>
        <v>1030.5</v>
      </c>
      <c r="C290" s="15">
        <f t="shared" ca="1" si="2"/>
        <v>1.8552380575845406E-2</v>
      </c>
      <c r="D290" s="14">
        <f t="shared" ca="1" si="1"/>
        <v>988.64960000000019</v>
      </c>
      <c r="E290" s="3"/>
      <c r="F290" s="3"/>
    </row>
    <row r="291" spans="1:6" ht="14.25" x14ac:dyDescent="0.2">
      <c r="A291" s="13">
        <f ca="1">IFERROR(__xludf.DUMMYFUNCTION("""COMPUTED_VALUE"""),44252.6458333333)</f>
        <v>44252.645833333299</v>
      </c>
      <c r="B291" s="14">
        <f ca="1">IFERROR(__xludf.DUMMYFUNCTION("""COMPUTED_VALUE"""),1072.18)</f>
        <v>1072.18</v>
      </c>
      <c r="C291" s="15">
        <f t="shared" ca="1" si="2"/>
        <v>4.0446385249878869E-2</v>
      </c>
      <c r="D291" s="14">
        <f t="shared" ca="1" si="1"/>
        <v>990.34960000000024</v>
      </c>
      <c r="E291" s="3"/>
      <c r="F291" s="3"/>
    </row>
    <row r="292" spans="1:6" ht="14.25" x14ac:dyDescent="0.2">
      <c r="A292" s="13">
        <f ca="1">IFERROR(__xludf.DUMMYFUNCTION("""COMPUTED_VALUE"""),44253.6458333333)</f>
        <v>44253.645833333299</v>
      </c>
      <c r="B292" s="14">
        <f ca="1">IFERROR(__xludf.DUMMYFUNCTION("""COMPUTED_VALUE"""),1042.9)</f>
        <v>1042.9000000000001</v>
      </c>
      <c r="C292" s="15">
        <f t="shared" ca="1" si="2"/>
        <v>-2.7308847395026925E-2</v>
      </c>
      <c r="D292" s="14">
        <f t="shared" ca="1" si="1"/>
        <v>991.44200000000023</v>
      </c>
      <c r="E292" s="3"/>
      <c r="F292" s="3"/>
    </row>
    <row r="293" spans="1:6" ht="14.25" x14ac:dyDescent="0.2">
      <c r="A293" s="13">
        <f ca="1">IFERROR(__xludf.DUMMYFUNCTION("""COMPUTED_VALUE"""),44256.6458333333)</f>
        <v>44256.645833333299</v>
      </c>
      <c r="B293" s="14">
        <f ca="1">IFERROR(__xludf.DUMMYFUNCTION("""COMPUTED_VALUE"""),1050.85)</f>
        <v>1050.8499999999999</v>
      </c>
      <c r="C293" s="15">
        <f t="shared" ca="1" si="2"/>
        <v>7.6229743983122766E-3</v>
      </c>
      <c r="D293" s="14">
        <f t="shared" ca="1" si="1"/>
        <v>992.60300000000029</v>
      </c>
      <c r="E293" s="3"/>
      <c r="F293" s="3"/>
    </row>
    <row r="294" spans="1:6" ht="14.25" x14ac:dyDescent="0.2">
      <c r="A294" s="13">
        <f ca="1">IFERROR(__xludf.DUMMYFUNCTION("""COMPUTED_VALUE"""),44257.6458333333)</f>
        <v>44257.645833333299</v>
      </c>
      <c r="B294" s="14">
        <f ca="1">IFERROR(__xludf.DUMMYFUNCTION("""COMPUTED_VALUE"""),1053)</f>
        <v>1053</v>
      </c>
      <c r="C294" s="15">
        <f t="shared" ca="1" si="2"/>
        <v>2.045962792025513E-3</v>
      </c>
      <c r="D294" s="14">
        <f t="shared" ca="1" si="1"/>
        <v>993.74740000000031</v>
      </c>
      <c r="E294" s="3"/>
      <c r="F294" s="3"/>
    </row>
    <row r="295" spans="1:6" ht="14.25" x14ac:dyDescent="0.2">
      <c r="A295" s="13">
        <f ca="1">IFERROR(__xludf.DUMMYFUNCTION("""COMPUTED_VALUE"""),44258.6458333333)</f>
        <v>44258.645833333299</v>
      </c>
      <c r="B295" s="14">
        <f ca="1">IFERROR(__xludf.DUMMYFUNCTION("""COMPUTED_VALUE"""),1101.05)</f>
        <v>1101.05</v>
      </c>
      <c r="C295" s="15">
        <f t="shared" ca="1" si="2"/>
        <v>4.5631528964862333E-2</v>
      </c>
      <c r="D295" s="14">
        <f t="shared" ca="1" si="1"/>
        <v>996.37140000000034</v>
      </c>
      <c r="E295" s="3"/>
      <c r="F295" s="3"/>
    </row>
    <row r="296" spans="1:6" ht="14.25" x14ac:dyDescent="0.2">
      <c r="A296" s="13">
        <f ca="1">IFERROR(__xludf.DUMMYFUNCTION("""COMPUTED_VALUE"""),44259.6458333333)</f>
        <v>44259.645833333299</v>
      </c>
      <c r="B296" s="14">
        <f ca="1">IFERROR(__xludf.DUMMYFUNCTION("""COMPUTED_VALUE"""),1087.93)</f>
        <v>1087.93</v>
      </c>
      <c r="C296" s="15">
        <f t="shared" ca="1" si="2"/>
        <v>-1.1915898460560292E-2</v>
      </c>
      <c r="D296" s="14">
        <f t="shared" ca="1" si="1"/>
        <v>998.76300000000037</v>
      </c>
      <c r="E296" s="3"/>
      <c r="F296" s="3"/>
    </row>
    <row r="297" spans="1:6" ht="14.25" x14ac:dyDescent="0.2">
      <c r="A297" s="13">
        <f ca="1">IFERROR(__xludf.DUMMYFUNCTION("""COMPUTED_VALUE"""),44260.6458333333)</f>
        <v>44260.645833333299</v>
      </c>
      <c r="B297" s="14">
        <f ca="1">IFERROR(__xludf.DUMMYFUNCTION("""COMPUTED_VALUE"""),1089.35)</f>
        <v>1089.3499999999999</v>
      </c>
      <c r="C297" s="15">
        <f t="shared" ca="1" si="2"/>
        <v>1.3052310350847307E-3</v>
      </c>
      <c r="D297" s="14">
        <f t="shared" ca="1" si="1"/>
        <v>1001.1114000000005</v>
      </c>
      <c r="E297" s="3"/>
      <c r="F297" s="3"/>
    </row>
    <row r="298" spans="1:6" ht="14.25" x14ac:dyDescent="0.2">
      <c r="A298" s="13">
        <f ca="1">IFERROR(__xludf.DUMMYFUNCTION("""COMPUTED_VALUE"""),44263.6458333333)</f>
        <v>44263.645833333299</v>
      </c>
      <c r="B298" s="14">
        <f ca="1">IFERROR(__xludf.DUMMYFUNCTION("""COMPUTED_VALUE"""),1095.55)</f>
        <v>1095.55</v>
      </c>
      <c r="C298" s="15">
        <f t="shared" ca="1" si="2"/>
        <v>5.6914673888099898E-3</v>
      </c>
      <c r="D298" s="14">
        <f t="shared" ca="1" si="1"/>
        <v>1003.0808000000003</v>
      </c>
      <c r="E298" s="3"/>
      <c r="F298" s="3"/>
    </row>
    <row r="299" spans="1:6" ht="14.25" x14ac:dyDescent="0.2">
      <c r="A299" s="13">
        <f ca="1">IFERROR(__xludf.DUMMYFUNCTION("""COMPUTED_VALUE"""),44264.6458333333)</f>
        <v>44264.645833333299</v>
      </c>
      <c r="B299" s="14">
        <f ca="1">IFERROR(__xludf.DUMMYFUNCTION("""COMPUTED_VALUE"""),1095.53)</f>
        <v>1095.53</v>
      </c>
      <c r="C299" s="15">
        <f t="shared" ca="1" si="2"/>
        <v>-1.8255670667710611E-5</v>
      </c>
      <c r="D299" s="14">
        <f t="shared" ca="1" si="1"/>
        <v>1004.9584000000002</v>
      </c>
      <c r="E299" s="3"/>
      <c r="F299" s="3"/>
    </row>
    <row r="300" spans="1:6" ht="14.25" x14ac:dyDescent="0.2">
      <c r="A300" s="13">
        <f ca="1">IFERROR(__xludf.DUMMYFUNCTION("""COMPUTED_VALUE"""),44265.6458333333)</f>
        <v>44265.645833333299</v>
      </c>
      <c r="B300" s="14">
        <f ca="1">IFERROR(__xludf.DUMMYFUNCTION("""COMPUTED_VALUE"""),1090.97)</f>
        <v>1090.97</v>
      </c>
      <c r="C300" s="15">
        <f t="shared" ca="1" si="2"/>
        <v>-4.1623688990716223E-3</v>
      </c>
      <c r="D300" s="14">
        <f t="shared" ca="1" si="1"/>
        <v>1006.8772000000001</v>
      </c>
      <c r="E300" s="3"/>
      <c r="F300" s="3"/>
    </row>
    <row r="301" spans="1:6" ht="14.25" x14ac:dyDescent="0.2">
      <c r="A301" s="13">
        <f ca="1">IFERROR(__xludf.DUMMYFUNCTION("""COMPUTED_VALUE"""),44267.6458333333)</f>
        <v>44267.645833333299</v>
      </c>
      <c r="B301" s="14">
        <f ca="1">IFERROR(__xludf.DUMMYFUNCTION("""COMPUTED_VALUE"""),1068.8)</f>
        <v>1068.8</v>
      </c>
      <c r="C301" s="15">
        <f t="shared" ca="1" si="2"/>
        <v>-2.0321365390432389E-2</v>
      </c>
      <c r="D301" s="14">
        <f t="shared" ca="1" si="1"/>
        <v>1008.2982000000004</v>
      </c>
      <c r="E301" s="3"/>
      <c r="F301" s="3"/>
    </row>
    <row r="302" spans="1:6" ht="14.25" x14ac:dyDescent="0.2">
      <c r="A302" s="13">
        <f ca="1">IFERROR(__xludf.DUMMYFUNCTION("""COMPUTED_VALUE"""),44270.6458333333)</f>
        <v>44270.645833333299</v>
      </c>
      <c r="B302" s="14">
        <f ca="1">IFERROR(__xludf.DUMMYFUNCTION("""COMPUTED_VALUE"""),1054.45)</f>
        <v>1054.45</v>
      </c>
      <c r="C302" s="15">
        <f t="shared" ca="1" si="2"/>
        <v>-1.3426272455089761E-2</v>
      </c>
      <c r="D302" s="14">
        <f t="shared" ca="1" si="1"/>
        <v>1009.5342000000004</v>
      </c>
      <c r="E302" s="3"/>
      <c r="F302" s="3"/>
    </row>
    <row r="303" spans="1:6" ht="14.25" x14ac:dyDescent="0.2">
      <c r="A303" s="13">
        <f ca="1">IFERROR(__xludf.DUMMYFUNCTION("""COMPUTED_VALUE"""),44271.6458333333)</f>
        <v>44271.645833333299</v>
      </c>
      <c r="B303" s="14">
        <f ca="1">IFERROR(__xludf.DUMMYFUNCTION("""COMPUTED_VALUE"""),1050.3)</f>
        <v>1050.3</v>
      </c>
      <c r="C303" s="15">
        <f t="shared" ca="1" si="2"/>
        <v>-3.9357010763906297E-3</v>
      </c>
      <c r="D303" s="14">
        <f t="shared" ca="1" si="1"/>
        <v>1010.6652000000004</v>
      </c>
      <c r="E303" s="3"/>
      <c r="F303" s="3"/>
    </row>
    <row r="304" spans="1:6" ht="14.25" x14ac:dyDescent="0.2">
      <c r="A304" s="13">
        <f ca="1">IFERROR(__xludf.DUMMYFUNCTION("""COMPUTED_VALUE"""),44272.6458333333)</f>
        <v>44272.645833333299</v>
      </c>
      <c r="B304" s="14">
        <f ca="1">IFERROR(__xludf.DUMMYFUNCTION("""COMPUTED_VALUE"""),1027.68)</f>
        <v>1027.68</v>
      </c>
      <c r="C304" s="15">
        <f t="shared" ca="1" si="2"/>
        <v>-2.1536703798914481E-2</v>
      </c>
      <c r="D304" s="14">
        <f t="shared" ca="1" si="1"/>
        <v>1011.3102000000003</v>
      </c>
      <c r="E304" s="3"/>
      <c r="F304" s="3"/>
    </row>
    <row r="305" spans="1:6" ht="14.25" x14ac:dyDescent="0.2">
      <c r="A305" s="13">
        <f ca="1">IFERROR(__xludf.DUMMYFUNCTION("""COMPUTED_VALUE"""),44273.6458333333)</f>
        <v>44273.645833333299</v>
      </c>
      <c r="B305" s="14">
        <f ca="1">IFERROR(__xludf.DUMMYFUNCTION("""COMPUTED_VALUE"""),1004.55)</f>
        <v>1004.55</v>
      </c>
      <c r="C305" s="15">
        <f t="shared" ca="1" si="2"/>
        <v>-2.2507006071929125E-2</v>
      </c>
      <c r="D305" s="14">
        <f t="shared" ca="1" si="1"/>
        <v>1011.7402000000005</v>
      </c>
      <c r="E305" s="3"/>
      <c r="F305" s="3"/>
    </row>
    <row r="306" spans="1:6" ht="14.25" x14ac:dyDescent="0.2">
      <c r="A306" s="13">
        <f ca="1">IFERROR(__xludf.DUMMYFUNCTION("""COMPUTED_VALUE"""),44274.6458333333)</f>
        <v>44274.645833333299</v>
      </c>
      <c r="B306" s="14">
        <f ca="1">IFERROR(__xludf.DUMMYFUNCTION("""COMPUTED_VALUE"""),1041)</f>
        <v>1041</v>
      </c>
      <c r="C306" s="15">
        <f t="shared" ca="1" si="2"/>
        <v>3.6284903688218684E-2</v>
      </c>
      <c r="D306" s="14">
        <f t="shared" ref="D306:D560" ca="1" si="3">AVERAGE(B257:B306)</f>
        <v>1013.4176000000003</v>
      </c>
      <c r="E306" s="3"/>
      <c r="F306" s="3"/>
    </row>
    <row r="307" spans="1:6" ht="14.25" x14ac:dyDescent="0.2">
      <c r="A307" s="13">
        <f ca="1">IFERROR(__xludf.DUMMYFUNCTION("""COMPUTED_VALUE"""),44277.6458333333)</f>
        <v>44277.645833333299</v>
      </c>
      <c r="B307" s="14">
        <f ca="1">IFERROR(__xludf.DUMMYFUNCTION("""COMPUTED_VALUE"""),1031.2)</f>
        <v>1031.2</v>
      </c>
      <c r="C307" s="15">
        <f t="shared" ca="1" si="2"/>
        <v>-9.4140249759845362E-3</v>
      </c>
      <c r="D307" s="14">
        <f t="shared" ca="1" si="3"/>
        <v>1014.9300000000002</v>
      </c>
      <c r="E307" s="3"/>
      <c r="F307" s="3"/>
    </row>
    <row r="308" spans="1:6" ht="14.25" x14ac:dyDescent="0.2">
      <c r="A308" s="13">
        <f ca="1">IFERROR(__xludf.DUMMYFUNCTION("""COMPUTED_VALUE"""),44278.6458333333)</f>
        <v>44278.645833333299</v>
      </c>
      <c r="B308" s="14">
        <f ca="1">IFERROR(__xludf.DUMMYFUNCTION("""COMPUTED_VALUE"""),1043.75)</f>
        <v>1043.75</v>
      </c>
      <c r="C308" s="15">
        <f t="shared" ca="1" si="2"/>
        <v>1.2170287044220185E-2</v>
      </c>
      <c r="D308" s="14">
        <f t="shared" ca="1" si="3"/>
        <v>1016.4680000000002</v>
      </c>
      <c r="E308" s="3"/>
      <c r="F308" s="3"/>
    </row>
    <row r="309" spans="1:6" ht="14.25" x14ac:dyDescent="0.2">
      <c r="A309" s="13">
        <f ca="1">IFERROR(__xludf.DUMMYFUNCTION("""COMPUTED_VALUE"""),44279.6458333333)</f>
        <v>44279.645833333299</v>
      </c>
      <c r="B309" s="14">
        <f ca="1">IFERROR(__xludf.DUMMYFUNCTION("""COMPUTED_VALUE"""),1023.65)</f>
        <v>1023.65</v>
      </c>
      <c r="C309" s="15">
        <f t="shared" ca="1" si="2"/>
        <v>-1.925748502994018E-2</v>
      </c>
      <c r="D309" s="14">
        <f t="shared" ca="1" si="3"/>
        <v>1017.9684000000001</v>
      </c>
      <c r="E309" s="3"/>
      <c r="F309" s="3"/>
    </row>
    <row r="310" spans="1:6" ht="14.25" x14ac:dyDescent="0.2">
      <c r="A310" s="13">
        <f ca="1">IFERROR(__xludf.DUMMYFUNCTION("""COMPUTED_VALUE"""),44280.6458333333)</f>
        <v>44280.645833333299</v>
      </c>
      <c r="B310" s="14">
        <f ca="1">IFERROR(__xludf.DUMMYFUNCTION("""COMPUTED_VALUE"""),995.73)</f>
        <v>995.73</v>
      </c>
      <c r="C310" s="15">
        <f t="shared" ca="1" si="2"/>
        <v>-2.7274947491818469E-2</v>
      </c>
      <c r="D310" s="14">
        <f t="shared" ca="1" si="3"/>
        <v>1018.3124000000003</v>
      </c>
      <c r="E310" s="3"/>
      <c r="F310" s="3"/>
    </row>
    <row r="311" spans="1:6" ht="14.25" x14ac:dyDescent="0.2">
      <c r="A311" s="13">
        <f ca="1">IFERROR(__xludf.DUMMYFUNCTION("""COMPUTED_VALUE"""),44281.6458333333)</f>
        <v>44281.645833333299</v>
      </c>
      <c r="B311" s="14">
        <f ca="1">IFERROR(__xludf.DUMMYFUNCTION("""COMPUTED_VALUE"""),997.33)</f>
        <v>997.33</v>
      </c>
      <c r="C311" s="15">
        <f t="shared" ca="1" si="2"/>
        <v>1.6068612977413466E-3</v>
      </c>
      <c r="D311" s="14">
        <f t="shared" ca="1" si="3"/>
        <v>1018.8710000000002</v>
      </c>
      <c r="E311" s="3"/>
      <c r="F311" s="3"/>
    </row>
    <row r="312" spans="1:6" ht="14.25" x14ac:dyDescent="0.2">
      <c r="A312" s="13">
        <f ca="1">IFERROR(__xludf.DUMMYFUNCTION("""COMPUTED_VALUE"""),44285.6458333333)</f>
        <v>44285.645833333299</v>
      </c>
      <c r="B312" s="14">
        <f ca="1">IFERROR(__xludf.DUMMYFUNCTION("""COMPUTED_VALUE"""),1014.65)</f>
        <v>1014.65</v>
      </c>
      <c r="C312" s="15">
        <f t="shared" ca="1" si="2"/>
        <v>1.7366368203102223E-2</v>
      </c>
      <c r="D312" s="14">
        <f t="shared" ca="1" si="3"/>
        <v>1019.5580000000002</v>
      </c>
      <c r="E312" s="3"/>
      <c r="F312" s="3"/>
    </row>
    <row r="313" spans="1:6" ht="14.25" x14ac:dyDescent="0.2">
      <c r="A313" s="13">
        <f ca="1">IFERROR(__xludf.DUMMYFUNCTION("""COMPUTED_VALUE"""),44286.6458333333)</f>
        <v>44286.645833333299</v>
      </c>
      <c r="B313" s="14">
        <f ca="1">IFERROR(__xludf.DUMMYFUNCTION("""COMPUTED_VALUE"""),1001.55)</f>
        <v>1001.55</v>
      </c>
      <c r="C313" s="15">
        <f t="shared" ca="1" si="2"/>
        <v>-1.2910855960183376E-2</v>
      </c>
      <c r="D313" s="14">
        <f t="shared" ca="1" si="3"/>
        <v>1020.2144000000002</v>
      </c>
      <c r="E313" s="3"/>
      <c r="F313" s="3"/>
    </row>
    <row r="314" spans="1:6" ht="14.25" x14ac:dyDescent="0.2">
      <c r="A314" s="13">
        <f ca="1">IFERROR(__xludf.DUMMYFUNCTION("""COMPUTED_VALUE"""),44287.6458333333)</f>
        <v>44287.645833333299</v>
      </c>
      <c r="B314" s="14">
        <f ca="1">IFERROR(__xludf.DUMMYFUNCTION("""COMPUTED_VALUE"""),1010.93)</f>
        <v>1010.93</v>
      </c>
      <c r="C314" s="15">
        <f t="shared" ca="1" si="2"/>
        <v>9.36548350057409E-3</v>
      </c>
      <c r="D314" s="14">
        <f t="shared" ca="1" si="3"/>
        <v>1020.5934000000002</v>
      </c>
      <c r="E314" s="3"/>
      <c r="F314" s="3"/>
    </row>
    <row r="315" spans="1:6" ht="14.25" x14ac:dyDescent="0.2">
      <c r="A315" s="13">
        <f ca="1">IFERROR(__xludf.DUMMYFUNCTION("""COMPUTED_VALUE"""),44291.6458333333)</f>
        <v>44291.645833333299</v>
      </c>
      <c r="B315" s="14">
        <f ca="1">IFERROR(__xludf.DUMMYFUNCTION("""COMPUTED_VALUE"""),996.3)</f>
        <v>996.3</v>
      </c>
      <c r="C315" s="15">
        <f t="shared" ca="1" si="2"/>
        <v>-1.4471822974884474E-2</v>
      </c>
      <c r="D315" s="14">
        <f t="shared" ca="1" si="3"/>
        <v>1020.3554000000003</v>
      </c>
      <c r="E315" s="3"/>
      <c r="F315" s="3"/>
    </row>
    <row r="316" spans="1:6" ht="14.25" x14ac:dyDescent="0.2">
      <c r="A316" s="13">
        <f ca="1">IFERROR(__xludf.DUMMYFUNCTION("""COMPUTED_VALUE"""),44292.6458333333)</f>
        <v>44292.645833333299</v>
      </c>
      <c r="B316" s="14">
        <f ca="1">IFERROR(__xludf.DUMMYFUNCTION("""COMPUTED_VALUE"""),992.15)</f>
        <v>992.15</v>
      </c>
      <c r="C316" s="15">
        <f t="shared" ca="1" si="2"/>
        <v>-4.1654120244906112E-3</v>
      </c>
      <c r="D316" s="14">
        <f t="shared" ca="1" si="3"/>
        <v>1019.6514000000003</v>
      </c>
      <c r="E316" s="3"/>
      <c r="F316" s="3"/>
    </row>
    <row r="317" spans="1:6" ht="14.25" x14ac:dyDescent="0.2">
      <c r="A317" s="13">
        <f ca="1">IFERROR(__xludf.DUMMYFUNCTION("""COMPUTED_VALUE"""),44293.6458333333)</f>
        <v>44293.645833333299</v>
      </c>
      <c r="B317" s="14">
        <f ca="1">IFERROR(__xludf.DUMMYFUNCTION("""COMPUTED_VALUE"""),1001.43)</f>
        <v>1001.43</v>
      </c>
      <c r="C317" s="15">
        <f t="shared" ca="1" si="2"/>
        <v>9.353424381393971E-3</v>
      </c>
      <c r="D317" s="14">
        <f t="shared" ca="1" si="3"/>
        <v>1018.6860000000001</v>
      </c>
      <c r="E317" s="3"/>
      <c r="F317" s="3"/>
    </row>
    <row r="318" spans="1:6" ht="14.25" x14ac:dyDescent="0.2">
      <c r="A318" s="13">
        <f ca="1">IFERROR(__xludf.DUMMYFUNCTION("""COMPUTED_VALUE"""),44294.6458333333)</f>
        <v>44294.645833333299</v>
      </c>
      <c r="B318" s="14">
        <f ca="1">IFERROR(__xludf.DUMMYFUNCTION("""COMPUTED_VALUE"""),1002.68)</f>
        <v>1002.68</v>
      </c>
      <c r="C318" s="15">
        <f t="shared" ca="1" si="2"/>
        <v>1.2482150524748548E-3</v>
      </c>
      <c r="D318" s="14">
        <f t="shared" ca="1" si="3"/>
        <v>1018.2436000000001</v>
      </c>
      <c r="E318" s="3"/>
      <c r="F318" s="3"/>
    </row>
    <row r="319" spans="1:6" ht="14.25" x14ac:dyDescent="0.2">
      <c r="A319" s="13">
        <f ca="1">IFERROR(__xludf.DUMMYFUNCTION("""COMPUTED_VALUE"""),44295.6458333333)</f>
        <v>44295.645833333299</v>
      </c>
      <c r="B319" s="14">
        <f ca="1">IFERROR(__xludf.DUMMYFUNCTION("""COMPUTED_VALUE"""),991.03)</f>
        <v>991.03</v>
      </c>
      <c r="C319" s="15">
        <f t="shared" ca="1" si="2"/>
        <v>-1.1618861451310414E-2</v>
      </c>
      <c r="D319" s="14">
        <f t="shared" ca="1" si="3"/>
        <v>1018.6542000000003</v>
      </c>
      <c r="E319" s="3"/>
      <c r="F319" s="3"/>
    </row>
    <row r="320" spans="1:6" ht="14.25" x14ac:dyDescent="0.2">
      <c r="A320" s="13">
        <f ca="1">IFERROR(__xludf.DUMMYFUNCTION("""COMPUTED_VALUE"""),44298.6458333333)</f>
        <v>44298.645833333299</v>
      </c>
      <c r="B320" s="14">
        <f ca="1">IFERROR(__xludf.DUMMYFUNCTION("""COMPUTED_VALUE"""),955.58)</f>
        <v>955.58</v>
      </c>
      <c r="C320" s="15">
        <f t="shared" ca="1" si="2"/>
        <v>-3.5770864655963908E-2</v>
      </c>
      <c r="D320" s="14">
        <f t="shared" ca="1" si="3"/>
        <v>1018.8158000000003</v>
      </c>
      <c r="E320" s="3"/>
      <c r="F320" s="3"/>
    </row>
    <row r="321" spans="1:6" ht="14.25" x14ac:dyDescent="0.2">
      <c r="A321" s="13">
        <f ca="1">IFERROR(__xludf.DUMMYFUNCTION("""COMPUTED_VALUE"""),44299.6458333333)</f>
        <v>44299.645833333299</v>
      </c>
      <c r="B321" s="14">
        <f ca="1">IFERROR(__xludf.DUMMYFUNCTION("""COMPUTED_VALUE"""),965.9)</f>
        <v>965.9</v>
      </c>
      <c r="C321" s="15">
        <f t="shared" ca="1" si="2"/>
        <v>1.0799723727997534E-2</v>
      </c>
      <c r="D321" s="14">
        <f t="shared" ca="1" si="3"/>
        <v>1019.3682000000003</v>
      </c>
      <c r="E321" s="3"/>
      <c r="F321" s="3"/>
    </row>
    <row r="322" spans="1:6" ht="14.25" x14ac:dyDescent="0.2">
      <c r="A322" s="13">
        <f ca="1">IFERROR(__xludf.DUMMYFUNCTION("""COMPUTED_VALUE"""),44301.6458333333)</f>
        <v>44301.645833333299</v>
      </c>
      <c r="B322" s="14">
        <f ca="1">IFERROR(__xludf.DUMMYFUNCTION("""COMPUTED_VALUE"""),972.15)</f>
        <v>972.15</v>
      </c>
      <c r="C322" s="15">
        <f t="shared" ca="1" si="2"/>
        <v>6.4706491355213114E-3</v>
      </c>
      <c r="D322" s="14">
        <f t="shared" ca="1" si="3"/>
        <v>1020.3916000000002</v>
      </c>
      <c r="E322" s="3"/>
      <c r="F322" s="3"/>
    </row>
    <row r="323" spans="1:6" ht="14.25" x14ac:dyDescent="0.2">
      <c r="A323" s="13">
        <f ca="1">IFERROR(__xludf.DUMMYFUNCTION("""COMPUTED_VALUE"""),44302.6458333333)</f>
        <v>44302.645833333299</v>
      </c>
      <c r="B323" s="14">
        <f ca="1">IFERROR(__xludf.DUMMYFUNCTION("""COMPUTED_VALUE"""),966.05)</f>
        <v>966.05</v>
      </c>
      <c r="C323" s="15">
        <f t="shared" ca="1" si="2"/>
        <v>-6.2747518387080703E-3</v>
      </c>
      <c r="D323" s="14">
        <f t="shared" ca="1" si="3"/>
        <v>1020.7596000000003</v>
      </c>
      <c r="E323" s="3"/>
      <c r="F323" s="3"/>
    </row>
    <row r="324" spans="1:6" ht="14.25" x14ac:dyDescent="0.2">
      <c r="A324" s="13">
        <f ca="1">IFERROR(__xludf.DUMMYFUNCTION("""COMPUTED_VALUE"""),44305.6458333333)</f>
        <v>44305.645833333299</v>
      </c>
      <c r="B324" s="14">
        <f ca="1">IFERROR(__xludf.DUMMYFUNCTION("""COMPUTED_VALUE"""),950.85)</f>
        <v>950.85</v>
      </c>
      <c r="C324" s="15">
        <f t="shared" ca="1" si="2"/>
        <v>-1.5734175249728199E-2</v>
      </c>
      <c r="D324" s="14">
        <f t="shared" ca="1" si="3"/>
        <v>1020.5186000000003</v>
      </c>
      <c r="E324" s="3"/>
      <c r="F324" s="3"/>
    </row>
    <row r="325" spans="1:6" ht="14.25" x14ac:dyDescent="0.2">
      <c r="A325" s="13">
        <f ca="1">IFERROR(__xludf.DUMMYFUNCTION("""COMPUTED_VALUE"""),44306.6458333333)</f>
        <v>44306.645833333299</v>
      </c>
      <c r="B325" s="14">
        <f ca="1">IFERROR(__xludf.DUMMYFUNCTION("""COMPUTED_VALUE"""),950.58)</f>
        <v>950.58</v>
      </c>
      <c r="C325" s="15">
        <f t="shared" ca="1" si="2"/>
        <v>-2.8395646000944907E-4</v>
      </c>
      <c r="D325" s="14">
        <f t="shared" ca="1" si="3"/>
        <v>1020.2236000000003</v>
      </c>
      <c r="E325" s="3"/>
      <c r="F325" s="3"/>
    </row>
    <row r="326" spans="1:6" ht="14.25" x14ac:dyDescent="0.2">
      <c r="A326" s="13">
        <f ca="1">IFERROR(__xludf.DUMMYFUNCTION("""COMPUTED_VALUE"""),44308.6458333333)</f>
        <v>44308.645833333299</v>
      </c>
      <c r="B326" s="14">
        <f ca="1">IFERROR(__xludf.DUMMYFUNCTION("""COMPUTED_VALUE"""),953.2)</f>
        <v>953.2</v>
      </c>
      <c r="C326" s="15">
        <f t="shared" ca="1" si="2"/>
        <v>2.7562119968860266E-3</v>
      </c>
      <c r="D326" s="14">
        <f t="shared" ca="1" si="3"/>
        <v>1020.0446000000004</v>
      </c>
      <c r="E326" s="3"/>
      <c r="F326" s="3"/>
    </row>
    <row r="327" spans="1:6" ht="14.25" x14ac:dyDescent="0.2">
      <c r="A327" s="13">
        <f ca="1">IFERROR(__xludf.DUMMYFUNCTION("""COMPUTED_VALUE"""),44309.6458333333)</f>
        <v>44309.645833333299</v>
      </c>
      <c r="B327" s="14">
        <f ca="1">IFERROR(__xludf.DUMMYFUNCTION("""COMPUTED_VALUE"""),952.18)</f>
        <v>952.18</v>
      </c>
      <c r="C327" s="15">
        <f t="shared" ca="1" si="2"/>
        <v>-1.0700797314310284E-3</v>
      </c>
      <c r="D327" s="14">
        <f t="shared" ca="1" si="3"/>
        <v>1019.8506000000002</v>
      </c>
      <c r="E327" s="3"/>
      <c r="F327" s="3"/>
    </row>
    <row r="328" spans="1:6" ht="14.25" x14ac:dyDescent="0.2">
      <c r="A328" s="13">
        <f ca="1">IFERROR(__xludf.DUMMYFUNCTION("""COMPUTED_VALUE"""),44312.6458333333)</f>
        <v>44312.645833333299</v>
      </c>
      <c r="B328" s="14">
        <f ca="1">IFERROR(__xludf.DUMMYFUNCTION("""COMPUTED_VALUE"""),968.93)</f>
        <v>968.93</v>
      </c>
      <c r="C328" s="15">
        <f t="shared" ca="1" si="2"/>
        <v>1.7591211745678237E-2</v>
      </c>
      <c r="D328" s="14">
        <f t="shared" ca="1" si="3"/>
        <v>1019.7146000000002</v>
      </c>
      <c r="E328" s="3"/>
      <c r="F328" s="3"/>
    </row>
    <row r="329" spans="1:6" ht="14.25" x14ac:dyDescent="0.2">
      <c r="A329" s="13">
        <f ca="1">IFERROR(__xludf.DUMMYFUNCTION("""COMPUTED_VALUE"""),44313.6458333333)</f>
        <v>44313.645833333299</v>
      </c>
      <c r="B329" s="14">
        <f ca="1">IFERROR(__xludf.DUMMYFUNCTION("""COMPUTED_VALUE"""),994.33)</f>
        <v>994.33</v>
      </c>
      <c r="C329" s="15">
        <f t="shared" ca="1" si="2"/>
        <v>2.6214484018453499E-2</v>
      </c>
      <c r="D329" s="14">
        <f t="shared" ca="1" si="3"/>
        <v>1020.0396000000002</v>
      </c>
      <c r="E329" s="3"/>
      <c r="F329" s="3"/>
    </row>
    <row r="330" spans="1:6" ht="14.25" x14ac:dyDescent="0.2">
      <c r="A330" s="13">
        <f ca="1">IFERROR(__xludf.DUMMYFUNCTION("""COMPUTED_VALUE"""),44314.6458333333)</f>
        <v>44314.645833333299</v>
      </c>
      <c r="B330" s="14">
        <f ca="1">IFERROR(__xludf.DUMMYFUNCTION("""COMPUTED_VALUE"""),998.65)</f>
        <v>998.65</v>
      </c>
      <c r="C330" s="15">
        <f t="shared" ca="1" si="2"/>
        <v>4.3446340752064661E-3</v>
      </c>
      <c r="D330" s="14">
        <f t="shared" ca="1" si="3"/>
        <v>1020.2696000000002</v>
      </c>
      <c r="E330" s="3"/>
      <c r="F330" s="3"/>
    </row>
    <row r="331" spans="1:6" ht="14.25" x14ac:dyDescent="0.2">
      <c r="A331" s="13">
        <f ca="1">IFERROR(__xludf.DUMMYFUNCTION("""COMPUTED_VALUE"""),44315.6458333333)</f>
        <v>44315.645833333299</v>
      </c>
      <c r="B331" s="14">
        <f ca="1">IFERROR(__xludf.DUMMYFUNCTION("""COMPUTED_VALUE"""),1012.03)</f>
        <v>1012.03</v>
      </c>
      <c r="C331" s="15">
        <f t="shared" ca="1" si="2"/>
        <v>1.3398087418014404E-2</v>
      </c>
      <c r="D331" s="14">
        <f t="shared" ca="1" si="3"/>
        <v>1019.9532000000004</v>
      </c>
      <c r="E331" s="3"/>
      <c r="F331" s="3"/>
    </row>
    <row r="332" spans="1:6" ht="14.25" x14ac:dyDescent="0.2">
      <c r="A332" s="13">
        <f ca="1">IFERROR(__xludf.DUMMYFUNCTION("""COMPUTED_VALUE"""),44316.6458333333)</f>
        <v>44316.645833333299</v>
      </c>
      <c r="B332" s="14">
        <f ca="1">IFERROR(__xludf.DUMMYFUNCTION("""COMPUTED_VALUE"""),997.25)</f>
        <v>997.25</v>
      </c>
      <c r="C332" s="15">
        <f t="shared" ca="1" si="2"/>
        <v>-1.4604310148908617E-2</v>
      </c>
      <c r="D332" s="14">
        <f t="shared" ca="1" si="3"/>
        <v>1019.4822000000003</v>
      </c>
      <c r="E332" s="3"/>
      <c r="F332" s="3"/>
    </row>
    <row r="333" spans="1:6" ht="14.25" x14ac:dyDescent="0.2">
      <c r="A333" s="13">
        <f ca="1">IFERROR(__xludf.DUMMYFUNCTION("""COMPUTED_VALUE"""),44319.6458333333)</f>
        <v>44319.645833333299</v>
      </c>
      <c r="B333" s="14">
        <f ca="1">IFERROR(__xludf.DUMMYFUNCTION("""COMPUTED_VALUE"""),979.53)</f>
        <v>979.53</v>
      </c>
      <c r="C333" s="15">
        <f t="shared" ca="1" si="2"/>
        <v>-1.7768864377036842E-2</v>
      </c>
      <c r="D333" s="14">
        <f t="shared" ca="1" si="3"/>
        <v>1018.7468000000002</v>
      </c>
      <c r="E333" s="3"/>
      <c r="F333" s="3"/>
    </row>
    <row r="334" spans="1:6" ht="14.25" x14ac:dyDescent="0.2">
      <c r="A334" s="13">
        <f ca="1">IFERROR(__xludf.DUMMYFUNCTION("""COMPUTED_VALUE"""),44320.6458333333)</f>
        <v>44320.645833333299</v>
      </c>
      <c r="B334" s="14">
        <f ca="1">IFERROR(__xludf.DUMMYFUNCTION("""COMPUTED_VALUE"""),958.3)</f>
        <v>958.3</v>
      </c>
      <c r="C334" s="15">
        <f t="shared" ca="1" si="2"/>
        <v>-2.1673659816442647E-2</v>
      </c>
      <c r="D334" s="14">
        <f t="shared" ca="1" si="3"/>
        <v>1017.3178000000003</v>
      </c>
      <c r="E334" s="3"/>
      <c r="F334" s="3"/>
    </row>
    <row r="335" spans="1:6" ht="14.25" x14ac:dyDescent="0.2">
      <c r="A335" s="13">
        <f ca="1">IFERROR(__xludf.DUMMYFUNCTION("""COMPUTED_VALUE"""),44321.6458333333)</f>
        <v>44321.645833333299</v>
      </c>
      <c r="B335" s="14">
        <f ca="1">IFERROR(__xludf.DUMMYFUNCTION("""COMPUTED_VALUE"""),960.05)</f>
        <v>960.05</v>
      </c>
      <c r="C335" s="15">
        <f t="shared" ca="1" si="2"/>
        <v>1.8261504747991708E-3</v>
      </c>
      <c r="D335" s="14">
        <f t="shared" ca="1" si="3"/>
        <v>1015.6862000000002</v>
      </c>
      <c r="E335" s="3"/>
      <c r="F335" s="3"/>
    </row>
    <row r="336" spans="1:6" ht="14.25" x14ac:dyDescent="0.2">
      <c r="A336" s="13">
        <f ca="1">IFERROR(__xludf.DUMMYFUNCTION("""COMPUTED_VALUE"""),44322.6458333333)</f>
        <v>44322.645833333299</v>
      </c>
      <c r="B336" s="14">
        <f ca="1">IFERROR(__xludf.DUMMYFUNCTION("""COMPUTED_VALUE"""),965.5)</f>
        <v>965.5</v>
      </c>
      <c r="C336" s="15">
        <f t="shared" ca="1" si="2"/>
        <v>5.6767876673089468E-3</v>
      </c>
      <c r="D336" s="14">
        <f t="shared" ca="1" si="3"/>
        <v>1014.3192000000003</v>
      </c>
      <c r="E336" s="3"/>
      <c r="F336" s="3"/>
    </row>
    <row r="337" spans="1:6" ht="14.25" x14ac:dyDescent="0.2">
      <c r="A337" s="13">
        <f ca="1">IFERROR(__xludf.DUMMYFUNCTION("""COMPUTED_VALUE"""),44323.6458333333)</f>
        <v>44323.645833333299</v>
      </c>
      <c r="B337" s="14">
        <f ca="1">IFERROR(__xludf.DUMMYFUNCTION("""COMPUTED_VALUE"""),965.88)</f>
        <v>965.88</v>
      </c>
      <c r="C337" s="15">
        <f t="shared" ca="1" si="2"/>
        <v>3.9357845675813685E-4</v>
      </c>
      <c r="D337" s="14">
        <f t="shared" ca="1" si="3"/>
        <v>1012.8338000000003</v>
      </c>
      <c r="E337" s="3"/>
      <c r="F337" s="3"/>
    </row>
    <row r="338" spans="1:6" ht="14.25" x14ac:dyDescent="0.2">
      <c r="A338" s="13">
        <f ca="1">IFERROR(__xludf.DUMMYFUNCTION("""COMPUTED_VALUE"""),44326.6458333333)</f>
        <v>44326.645833333299</v>
      </c>
      <c r="B338" s="14">
        <f ca="1">IFERROR(__xludf.DUMMYFUNCTION("""COMPUTED_VALUE"""),963.1)</f>
        <v>963.1</v>
      </c>
      <c r="C338" s="15">
        <f t="shared" ca="1" si="2"/>
        <v>-2.8782043318009709E-3</v>
      </c>
      <c r="D338" s="14">
        <f t="shared" ca="1" si="3"/>
        <v>1012.0148000000002</v>
      </c>
      <c r="E338" s="3"/>
      <c r="F338" s="3"/>
    </row>
    <row r="339" spans="1:6" ht="14.25" x14ac:dyDescent="0.2">
      <c r="A339" s="13">
        <f ca="1">IFERROR(__xludf.DUMMYFUNCTION("""COMPUTED_VALUE"""),44327.6458333333)</f>
        <v>44327.645833333299</v>
      </c>
      <c r="B339" s="14">
        <f ca="1">IFERROR(__xludf.DUMMYFUNCTION("""COMPUTED_VALUE"""),966.58)</f>
        <v>966.58</v>
      </c>
      <c r="C339" s="15">
        <f t="shared" ca="1" si="2"/>
        <v>3.6133319489148885E-3</v>
      </c>
      <c r="D339" s="14">
        <f t="shared" ca="1" si="3"/>
        <v>1011.1118000000002</v>
      </c>
      <c r="E339" s="3"/>
      <c r="F339" s="3"/>
    </row>
    <row r="340" spans="1:6" ht="14.25" x14ac:dyDescent="0.2">
      <c r="A340" s="13">
        <f ca="1">IFERROR(__xludf.DUMMYFUNCTION("""COMPUTED_VALUE"""),44328.6458333333)</f>
        <v>44328.645833333299</v>
      </c>
      <c r="B340" s="14">
        <f ca="1">IFERROR(__xludf.DUMMYFUNCTION("""COMPUTED_VALUE"""),956.58)</f>
        <v>956.58</v>
      </c>
      <c r="C340" s="15">
        <f t="shared" ca="1" si="2"/>
        <v>-1.0345755136667467E-2</v>
      </c>
      <c r="D340" s="14">
        <f t="shared" ca="1" si="3"/>
        <v>1009.6334000000003</v>
      </c>
      <c r="E340" s="3"/>
      <c r="F340" s="3"/>
    </row>
    <row r="341" spans="1:6" ht="14.25" x14ac:dyDescent="0.2">
      <c r="A341" s="13">
        <f ca="1">IFERROR(__xludf.DUMMYFUNCTION("""COMPUTED_VALUE"""),44330.6458333333)</f>
        <v>44330.645833333299</v>
      </c>
      <c r="B341" s="14">
        <f ca="1">IFERROR(__xludf.DUMMYFUNCTION("""COMPUTED_VALUE"""),968.65)</f>
        <v>968.65</v>
      </c>
      <c r="C341" s="15">
        <f t="shared" ca="1" si="2"/>
        <v>1.2617867820778228E-2</v>
      </c>
      <c r="D341" s="14">
        <f t="shared" ca="1" si="3"/>
        <v>1007.5628000000003</v>
      </c>
      <c r="E341" s="3"/>
      <c r="F341" s="3"/>
    </row>
    <row r="342" spans="1:6" ht="14.25" x14ac:dyDescent="0.2">
      <c r="A342" s="13">
        <f ca="1">IFERROR(__xludf.DUMMYFUNCTION("""COMPUTED_VALUE"""),44333.6458333333)</f>
        <v>44333.645833333299</v>
      </c>
      <c r="B342" s="14">
        <f ca="1">IFERROR(__xludf.DUMMYFUNCTION("""COMPUTED_VALUE"""),980.18)</f>
        <v>980.18</v>
      </c>
      <c r="C342" s="15">
        <f t="shared" ca="1" si="2"/>
        <v>1.1903164197594629E-2</v>
      </c>
      <c r="D342" s="14">
        <f t="shared" ca="1" si="3"/>
        <v>1006.3084000000002</v>
      </c>
      <c r="E342" s="3"/>
      <c r="F342" s="3"/>
    </row>
    <row r="343" spans="1:6" ht="14.25" x14ac:dyDescent="0.2">
      <c r="A343" s="13">
        <f ca="1">IFERROR(__xludf.DUMMYFUNCTION("""COMPUTED_VALUE"""),44334.6458333333)</f>
        <v>44334.645833333299</v>
      </c>
      <c r="B343" s="14">
        <f ca="1">IFERROR(__xludf.DUMMYFUNCTION("""COMPUTED_VALUE"""),993.98)</f>
        <v>993.98</v>
      </c>
      <c r="C343" s="15">
        <f t="shared" ca="1" si="2"/>
        <v>1.4079046705707254E-2</v>
      </c>
      <c r="D343" s="14">
        <f t="shared" ca="1" si="3"/>
        <v>1005.1710000000004</v>
      </c>
      <c r="E343" s="3"/>
      <c r="F343" s="3"/>
    </row>
    <row r="344" spans="1:6" ht="14.25" x14ac:dyDescent="0.2">
      <c r="A344" s="13">
        <f ca="1">IFERROR(__xludf.DUMMYFUNCTION("""COMPUTED_VALUE"""),44335.6458333333)</f>
        <v>44335.645833333299</v>
      </c>
      <c r="B344" s="14">
        <f ca="1">IFERROR(__xludf.DUMMYFUNCTION("""COMPUTED_VALUE"""),998.53)</f>
        <v>998.53</v>
      </c>
      <c r="C344" s="15">
        <f t="shared" ca="1" si="2"/>
        <v>4.57755689249284E-3</v>
      </c>
      <c r="D344" s="14">
        <f t="shared" ca="1" si="3"/>
        <v>1004.0816000000003</v>
      </c>
      <c r="E344" s="3"/>
      <c r="F344" s="3"/>
    </row>
    <row r="345" spans="1:6" ht="14.25" x14ac:dyDescent="0.2">
      <c r="A345" s="13">
        <f ca="1">IFERROR(__xludf.DUMMYFUNCTION("""COMPUTED_VALUE"""),44336.6458333333)</f>
        <v>44336.645833333299</v>
      </c>
      <c r="B345" s="14">
        <f ca="1">IFERROR(__xludf.DUMMYFUNCTION("""COMPUTED_VALUE"""),992.7)</f>
        <v>992.7</v>
      </c>
      <c r="C345" s="15">
        <f t="shared" ca="1" si="2"/>
        <v>-5.8385827165933213E-3</v>
      </c>
      <c r="D345" s="14">
        <f t="shared" ca="1" si="3"/>
        <v>1001.9146000000002</v>
      </c>
      <c r="E345" s="3"/>
      <c r="F345" s="3"/>
    </row>
    <row r="346" spans="1:6" ht="14.25" x14ac:dyDescent="0.2">
      <c r="A346" s="13">
        <f ca="1">IFERROR(__xludf.DUMMYFUNCTION("""COMPUTED_VALUE"""),44337.6458333333)</f>
        <v>44337.645833333299</v>
      </c>
      <c r="B346" s="14">
        <f ca="1">IFERROR(__xludf.DUMMYFUNCTION("""COMPUTED_VALUE"""),1001.28)</f>
        <v>1001.28</v>
      </c>
      <c r="C346" s="15">
        <f t="shared" ca="1" si="2"/>
        <v>8.6430945905107137E-3</v>
      </c>
      <c r="D346" s="14">
        <f t="shared" ca="1" si="3"/>
        <v>1000.1816000000002</v>
      </c>
      <c r="E346" s="3"/>
      <c r="F346" s="3"/>
    </row>
    <row r="347" spans="1:6" ht="14.25" x14ac:dyDescent="0.2">
      <c r="A347" s="13">
        <f ca="1">IFERROR(__xludf.DUMMYFUNCTION("""COMPUTED_VALUE"""),44340.6458333333)</f>
        <v>44340.645833333299</v>
      </c>
      <c r="B347" s="14">
        <f ca="1">IFERROR(__xludf.DUMMYFUNCTION("""COMPUTED_VALUE"""),992.83)</f>
        <v>992.83</v>
      </c>
      <c r="C347" s="15">
        <f t="shared" ca="1" si="2"/>
        <v>-8.439197826781597E-3</v>
      </c>
      <c r="D347" s="14">
        <f t="shared" ca="1" si="3"/>
        <v>998.25120000000027</v>
      </c>
      <c r="E347" s="3"/>
      <c r="F347" s="3"/>
    </row>
    <row r="348" spans="1:6" ht="14.25" x14ac:dyDescent="0.2">
      <c r="A348" s="13">
        <f ca="1">IFERROR(__xludf.DUMMYFUNCTION("""COMPUTED_VALUE"""),44341.6458333333)</f>
        <v>44341.645833333299</v>
      </c>
      <c r="B348" s="14">
        <f ca="1">IFERROR(__xludf.DUMMYFUNCTION("""COMPUTED_VALUE"""),981.58)</f>
        <v>981.58</v>
      </c>
      <c r="C348" s="15">
        <f t="shared" ca="1" si="2"/>
        <v>-1.1331245026842462E-2</v>
      </c>
      <c r="D348" s="14">
        <f t="shared" ca="1" si="3"/>
        <v>995.97180000000037</v>
      </c>
      <c r="E348" s="3"/>
      <c r="F348" s="3"/>
    </row>
    <row r="349" spans="1:6" ht="14.25" x14ac:dyDescent="0.2">
      <c r="A349" s="13">
        <f ca="1">IFERROR(__xludf.DUMMYFUNCTION("""COMPUTED_VALUE"""),44342.6458333333)</f>
        <v>44342.645833333299</v>
      </c>
      <c r="B349" s="14">
        <f ca="1">IFERROR(__xludf.DUMMYFUNCTION("""COMPUTED_VALUE"""),985.03)</f>
        <v>985.03</v>
      </c>
      <c r="C349" s="15">
        <f t="shared" ca="1" si="2"/>
        <v>3.5147415391509895E-3</v>
      </c>
      <c r="D349" s="14">
        <f t="shared" ca="1" si="3"/>
        <v>993.76180000000033</v>
      </c>
      <c r="E349" s="3"/>
      <c r="F349" s="3"/>
    </row>
    <row r="350" spans="1:6" ht="14.25" x14ac:dyDescent="0.2">
      <c r="A350" s="13">
        <f ca="1">IFERROR(__xludf.DUMMYFUNCTION("""COMPUTED_VALUE"""),44343.6458333333)</f>
        <v>44343.645833333299</v>
      </c>
      <c r="B350" s="14">
        <f ca="1">IFERROR(__xludf.DUMMYFUNCTION("""COMPUTED_VALUE"""),988.05)</f>
        <v>988.05</v>
      </c>
      <c r="C350" s="15">
        <f t="shared" ca="1" si="2"/>
        <v>3.0658964701582025E-3</v>
      </c>
      <c r="D350" s="14">
        <f t="shared" ca="1" si="3"/>
        <v>991.70340000000022</v>
      </c>
      <c r="E350" s="3"/>
      <c r="F350" s="3"/>
    </row>
    <row r="351" spans="1:6" ht="14.25" x14ac:dyDescent="0.2">
      <c r="A351" s="13">
        <f ca="1">IFERROR(__xludf.DUMMYFUNCTION("""COMPUTED_VALUE"""),44344.6458333333)</f>
        <v>44344.645833333299</v>
      </c>
      <c r="B351" s="14">
        <f ca="1">IFERROR(__xludf.DUMMYFUNCTION("""COMPUTED_VALUE"""),1047.4)</f>
        <v>1047.4000000000001</v>
      </c>
      <c r="C351" s="15">
        <f t="shared" ca="1" si="2"/>
        <v>6.0067810333485294E-2</v>
      </c>
      <c r="D351" s="14">
        <f t="shared" ca="1" si="3"/>
        <v>991.27540000000022</v>
      </c>
      <c r="E351" s="3"/>
      <c r="F351" s="3"/>
    </row>
    <row r="352" spans="1:6" ht="14.25" x14ac:dyDescent="0.2">
      <c r="A352" s="13">
        <f ca="1">IFERROR(__xludf.DUMMYFUNCTION("""COMPUTED_VALUE"""),44347.6458333333)</f>
        <v>44347.645833333299</v>
      </c>
      <c r="B352" s="14">
        <f ca="1">IFERROR(__xludf.DUMMYFUNCTION("""COMPUTED_VALUE"""),1080.15)</f>
        <v>1080.1500000000001</v>
      </c>
      <c r="C352" s="15">
        <f t="shared" ca="1" si="2"/>
        <v>3.1267901470307446E-2</v>
      </c>
      <c r="D352" s="14">
        <f t="shared" ca="1" si="3"/>
        <v>991.78940000000011</v>
      </c>
      <c r="E352" s="3"/>
      <c r="F352" s="3"/>
    </row>
    <row r="353" spans="1:6" ht="14.25" x14ac:dyDescent="0.2">
      <c r="A353" s="13">
        <f ca="1">IFERROR(__xludf.DUMMYFUNCTION("""COMPUTED_VALUE"""),44348.6458333333)</f>
        <v>44348.645833333299</v>
      </c>
      <c r="B353" s="14">
        <f ca="1">IFERROR(__xludf.DUMMYFUNCTION("""COMPUTED_VALUE"""),1084.45)</f>
        <v>1084.45</v>
      </c>
      <c r="C353" s="15">
        <f t="shared" ca="1" si="2"/>
        <v>3.9809285747349765E-3</v>
      </c>
      <c r="D353" s="14">
        <f t="shared" ca="1" si="3"/>
        <v>992.47240000000022</v>
      </c>
      <c r="E353" s="3"/>
      <c r="F353" s="3"/>
    </row>
    <row r="354" spans="1:6" ht="14.25" x14ac:dyDescent="0.2">
      <c r="A354" s="13">
        <f ca="1">IFERROR(__xludf.DUMMYFUNCTION("""COMPUTED_VALUE"""),44349.6458333333)</f>
        <v>44349.645833333299</v>
      </c>
      <c r="B354" s="14">
        <f ca="1">IFERROR(__xludf.DUMMYFUNCTION("""COMPUTED_VALUE"""),1100.63)</f>
        <v>1100.6300000000001</v>
      </c>
      <c r="C354" s="15">
        <f t="shared" ca="1" si="2"/>
        <v>1.4920005532758518E-2</v>
      </c>
      <c r="D354" s="14">
        <f t="shared" ca="1" si="3"/>
        <v>993.93140000000017</v>
      </c>
      <c r="E354" s="3"/>
      <c r="F354" s="3"/>
    </row>
    <row r="355" spans="1:6" ht="14.25" x14ac:dyDescent="0.2">
      <c r="A355" s="13">
        <f ca="1">IFERROR(__xludf.DUMMYFUNCTION("""COMPUTED_VALUE"""),44350.6458333333)</f>
        <v>44350.645833333299</v>
      </c>
      <c r="B355" s="14">
        <f ca="1">IFERROR(__xludf.DUMMYFUNCTION("""COMPUTED_VALUE"""),1104.83)</f>
        <v>1104.83</v>
      </c>
      <c r="C355" s="15">
        <f t="shared" ca="1" si="2"/>
        <v>3.8159962930319757E-3</v>
      </c>
      <c r="D355" s="14">
        <f t="shared" ca="1" si="3"/>
        <v>995.93700000000013</v>
      </c>
      <c r="E355" s="3"/>
      <c r="F355" s="3"/>
    </row>
    <row r="356" spans="1:6" ht="14.25" x14ac:dyDescent="0.2">
      <c r="A356" s="13">
        <f ca="1">IFERROR(__xludf.DUMMYFUNCTION("""COMPUTED_VALUE"""),44351.6458333333)</f>
        <v>44351.645833333299</v>
      </c>
      <c r="B356" s="14">
        <f ca="1">IFERROR(__xludf.DUMMYFUNCTION("""COMPUTED_VALUE"""),1095.25)</f>
        <v>1095.25</v>
      </c>
      <c r="C356" s="15">
        <f t="shared" ca="1" si="2"/>
        <v>-8.6710172605739544E-3</v>
      </c>
      <c r="D356" s="14">
        <f t="shared" ca="1" si="3"/>
        <v>997.02200000000016</v>
      </c>
      <c r="E356" s="3"/>
      <c r="F356" s="3"/>
    </row>
    <row r="357" spans="1:6" ht="14.25" x14ac:dyDescent="0.2">
      <c r="A357" s="13">
        <f ca="1">IFERROR(__xludf.DUMMYFUNCTION("""COMPUTED_VALUE"""),44354.6458333333)</f>
        <v>44354.645833333299</v>
      </c>
      <c r="B357" s="14">
        <f ca="1">IFERROR(__xludf.DUMMYFUNCTION("""COMPUTED_VALUE"""),1113.7)</f>
        <v>1113.7</v>
      </c>
      <c r="C357" s="15">
        <f t="shared" ca="1" si="2"/>
        <v>1.6845469070988495E-2</v>
      </c>
      <c r="D357" s="14">
        <f t="shared" ca="1" si="3"/>
        <v>998.67200000000014</v>
      </c>
      <c r="E357" s="3"/>
      <c r="F357" s="3"/>
    </row>
    <row r="358" spans="1:6" ht="14.25" x14ac:dyDescent="0.2">
      <c r="A358" s="13">
        <f ca="1">IFERROR(__xludf.DUMMYFUNCTION("""COMPUTED_VALUE"""),44355.6458333333)</f>
        <v>44355.645833333299</v>
      </c>
      <c r="B358" s="14">
        <f ca="1">IFERROR(__xludf.DUMMYFUNCTION("""COMPUTED_VALUE"""),1107.3)</f>
        <v>1107.3</v>
      </c>
      <c r="C358" s="15">
        <f t="shared" ca="1" si="2"/>
        <v>-5.7466103977732441E-3</v>
      </c>
      <c r="D358" s="14">
        <f t="shared" ca="1" si="3"/>
        <v>999.94300000000021</v>
      </c>
      <c r="E358" s="3"/>
      <c r="F358" s="3"/>
    </row>
    <row r="359" spans="1:6" ht="14.25" x14ac:dyDescent="0.2">
      <c r="A359" s="13">
        <f ca="1">IFERROR(__xludf.DUMMYFUNCTION("""COMPUTED_VALUE"""),44356.6458333333)</f>
        <v>44356.645833333299</v>
      </c>
      <c r="B359" s="14">
        <f ca="1">IFERROR(__xludf.DUMMYFUNCTION("""COMPUTED_VALUE"""),1087.5)</f>
        <v>1087.5</v>
      </c>
      <c r="C359" s="15">
        <f t="shared" ca="1" si="2"/>
        <v>-1.7881332972094266E-2</v>
      </c>
      <c r="D359" s="14">
        <f t="shared" ca="1" si="3"/>
        <v>1001.2200000000001</v>
      </c>
      <c r="E359" s="3"/>
      <c r="F359" s="3"/>
    </row>
    <row r="360" spans="1:6" ht="14.25" x14ac:dyDescent="0.2">
      <c r="A360" s="13">
        <f ca="1">IFERROR(__xludf.DUMMYFUNCTION("""COMPUTED_VALUE"""),44357.6458333333)</f>
        <v>44357.645833333299</v>
      </c>
      <c r="B360" s="14">
        <f ca="1">IFERROR(__xludf.DUMMYFUNCTION("""COMPUTED_VALUE"""),1091.5)</f>
        <v>1091.5</v>
      </c>
      <c r="C360" s="15">
        <f t="shared" ca="1" si="2"/>
        <v>3.6781609195402076E-3</v>
      </c>
      <c r="D360" s="14">
        <f t="shared" ca="1" si="3"/>
        <v>1003.1354000000001</v>
      </c>
      <c r="E360" s="3"/>
      <c r="F360" s="3"/>
    </row>
    <row r="361" spans="1:6" ht="14.25" x14ac:dyDescent="0.2">
      <c r="A361" s="13">
        <f ca="1">IFERROR(__xludf.DUMMYFUNCTION("""COMPUTED_VALUE"""),44358.6458333333)</f>
        <v>44358.645833333299</v>
      </c>
      <c r="B361" s="14">
        <f ca="1">IFERROR(__xludf.DUMMYFUNCTION("""COMPUTED_VALUE"""),1106.58)</f>
        <v>1106.58</v>
      </c>
      <c r="C361" s="15">
        <f t="shared" ca="1" si="2"/>
        <v>1.3815849748053166E-2</v>
      </c>
      <c r="D361" s="14">
        <f t="shared" ca="1" si="3"/>
        <v>1005.3204000000001</v>
      </c>
      <c r="E361" s="3"/>
      <c r="F361" s="3"/>
    </row>
    <row r="362" spans="1:6" ht="14.25" x14ac:dyDescent="0.2">
      <c r="A362" s="13">
        <f ca="1">IFERROR(__xludf.DUMMYFUNCTION("""COMPUTED_VALUE"""),44361.6458333333)</f>
        <v>44361.645833333299</v>
      </c>
      <c r="B362" s="14">
        <f ca="1">IFERROR(__xludf.DUMMYFUNCTION("""COMPUTED_VALUE"""),1122.45)</f>
        <v>1122.45</v>
      </c>
      <c r="C362" s="15">
        <f t="shared" ca="1" si="2"/>
        <v>1.4341484574093233E-2</v>
      </c>
      <c r="D362" s="14">
        <f t="shared" ca="1" si="3"/>
        <v>1007.4764000000001</v>
      </c>
      <c r="E362" s="3"/>
      <c r="F362" s="3"/>
    </row>
    <row r="363" spans="1:6" ht="14.25" x14ac:dyDescent="0.2">
      <c r="A363" s="13">
        <f ca="1">IFERROR(__xludf.DUMMYFUNCTION("""COMPUTED_VALUE"""),44362.6458333333)</f>
        <v>44362.645833333299</v>
      </c>
      <c r="B363" s="14">
        <f ca="1">IFERROR(__xludf.DUMMYFUNCTION("""COMPUTED_VALUE"""),1125)</f>
        <v>1125</v>
      </c>
      <c r="C363" s="15">
        <f t="shared" ca="1" si="2"/>
        <v>2.2718161165307116E-3</v>
      </c>
      <c r="D363" s="14">
        <f t="shared" ca="1" si="3"/>
        <v>1009.9454000000001</v>
      </c>
      <c r="E363" s="3"/>
      <c r="F363" s="3"/>
    </row>
    <row r="364" spans="1:6" ht="14.25" x14ac:dyDescent="0.2">
      <c r="A364" s="13">
        <f ca="1">IFERROR(__xludf.DUMMYFUNCTION("""COMPUTED_VALUE"""),44363.6458333333)</f>
        <v>44363.645833333299</v>
      </c>
      <c r="B364" s="14">
        <f ca="1">IFERROR(__xludf.DUMMYFUNCTION("""COMPUTED_VALUE"""),1105.8)</f>
        <v>1105.8</v>
      </c>
      <c r="C364" s="15">
        <f t="shared" ca="1" si="2"/>
        <v>-1.7066666666666674E-2</v>
      </c>
      <c r="D364" s="14">
        <f t="shared" ca="1" si="3"/>
        <v>1011.8428000000001</v>
      </c>
      <c r="E364" s="3"/>
      <c r="F364" s="3"/>
    </row>
    <row r="365" spans="1:6" ht="14.25" x14ac:dyDescent="0.2">
      <c r="A365" s="13">
        <f ca="1">IFERROR(__xludf.DUMMYFUNCTION("""COMPUTED_VALUE"""),44364.6458333333)</f>
        <v>44364.645833333299</v>
      </c>
      <c r="B365" s="14">
        <f ca="1">IFERROR(__xludf.DUMMYFUNCTION("""COMPUTED_VALUE"""),1107.83)</f>
        <v>1107.83</v>
      </c>
      <c r="C365" s="15">
        <f t="shared" ca="1" si="2"/>
        <v>1.8357750045214782E-3</v>
      </c>
      <c r="D365" s="14">
        <f t="shared" ca="1" si="3"/>
        <v>1014.0734000000002</v>
      </c>
      <c r="E365" s="3"/>
      <c r="F365" s="3"/>
    </row>
    <row r="366" spans="1:6" ht="14.25" x14ac:dyDescent="0.2">
      <c r="A366" s="13">
        <f ca="1">IFERROR(__xludf.DUMMYFUNCTION("""COMPUTED_VALUE"""),44365.6458333333)</f>
        <v>44365.645833333299</v>
      </c>
      <c r="B366" s="14">
        <f ca="1">IFERROR(__xludf.DUMMYFUNCTION("""COMPUTED_VALUE"""),1112.83)</f>
        <v>1112.83</v>
      </c>
      <c r="C366" s="15">
        <f t="shared" ca="1" si="2"/>
        <v>4.513327857162297E-3</v>
      </c>
      <c r="D366" s="14">
        <f t="shared" ca="1" si="3"/>
        <v>1016.4870000000003</v>
      </c>
      <c r="E366" s="3"/>
      <c r="F366" s="3"/>
    </row>
    <row r="367" spans="1:6" ht="14.25" x14ac:dyDescent="0.2">
      <c r="A367" s="13">
        <f ca="1">IFERROR(__xludf.DUMMYFUNCTION("""COMPUTED_VALUE"""),44368.6458333333)</f>
        <v>44368.645833333299</v>
      </c>
      <c r="B367" s="14">
        <f ca="1">IFERROR(__xludf.DUMMYFUNCTION("""COMPUTED_VALUE"""),1118.63)</f>
        <v>1118.6300000000001</v>
      </c>
      <c r="C367" s="15">
        <f t="shared" ca="1" si="2"/>
        <v>5.2119371332550735E-3</v>
      </c>
      <c r="D367" s="14">
        <f t="shared" ca="1" si="3"/>
        <v>1018.831</v>
      </c>
      <c r="E367" s="3"/>
      <c r="F367" s="3"/>
    </row>
    <row r="368" spans="1:6" ht="14.25" x14ac:dyDescent="0.2">
      <c r="A368" s="13">
        <f ca="1">IFERROR(__xludf.DUMMYFUNCTION("""COMPUTED_VALUE"""),44369.6458333333)</f>
        <v>44369.645833333299</v>
      </c>
      <c r="B368" s="14">
        <f ca="1">IFERROR(__xludf.DUMMYFUNCTION("""COMPUTED_VALUE"""),1112.88)</f>
        <v>1112.8800000000001</v>
      </c>
      <c r="C368" s="15">
        <f t="shared" ca="1" si="2"/>
        <v>-5.1402161572637883E-3</v>
      </c>
      <c r="D368" s="14">
        <f t="shared" ca="1" si="3"/>
        <v>1021.035</v>
      </c>
      <c r="E368" s="3"/>
      <c r="F368" s="3"/>
    </row>
    <row r="369" spans="1:6" ht="14.25" x14ac:dyDescent="0.2">
      <c r="A369" s="13">
        <f ca="1">IFERROR(__xludf.DUMMYFUNCTION("""COMPUTED_VALUE"""),44370.6458333333)</f>
        <v>44370.645833333299</v>
      </c>
      <c r="B369" s="14">
        <f ca="1">IFERROR(__xludf.DUMMYFUNCTION("""COMPUTED_VALUE"""),1102.68)</f>
        <v>1102.68</v>
      </c>
      <c r="C369" s="15">
        <f t="shared" ca="1" si="2"/>
        <v>-9.1654086693984116E-3</v>
      </c>
      <c r="D369" s="14">
        <f t="shared" ca="1" si="3"/>
        <v>1023.268</v>
      </c>
      <c r="E369" s="3"/>
      <c r="F369" s="3"/>
    </row>
    <row r="370" spans="1:6" ht="14.25" x14ac:dyDescent="0.2">
      <c r="A370" s="13">
        <f ca="1">IFERROR(__xludf.DUMMYFUNCTION("""COMPUTED_VALUE"""),44371.6458333333)</f>
        <v>44371.645833333299</v>
      </c>
      <c r="B370" s="14">
        <f ca="1">IFERROR(__xludf.DUMMYFUNCTION("""COMPUTED_VALUE"""),1076.75)</f>
        <v>1076.75</v>
      </c>
      <c r="C370" s="15">
        <f t="shared" ca="1" si="2"/>
        <v>-2.351543512170351E-2</v>
      </c>
      <c r="D370" s="14">
        <f t="shared" ca="1" si="3"/>
        <v>1025.6914000000002</v>
      </c>
      <c r="E370" s="3"/>
      <c r="F370" s="3"/>
    </row>
    <row r="371" spans="1:6" ht="14.25" x14ac:dyDescent="0.2">
      <c r="A371" s="13">
        <f ca="1">IFERROR(__xludf.DUMMYFUNCTION("""COMPUTED_VALUE"""),44372.6458333333)</f>
        <v>44372.645833333299</v>
      </c>
      <c r="B371" s="14">
        <f ca="1">IFERROR(__xludf.DUMMYFUNCTION("""COMPUTED_VALUE"""),1052.22)</f>
        <v>1052.22</v>
      </c>
      <c r="C371" s="15">
        <f t="shared" ca="1" si="2"/>
        <v>-2.2781518458323657E-2</v>
      </c>
      <c r="D371" s="14">
        <f t="shared" ca="1" si="3"/>
        <v>1027.4178000000002</v>
      </c>
      <c r="E371" s="3"/>
      <c r="F371" s="3"/>
    </row>
    <row r="372" spans="1:6" ht="14.25" x14ac:dyDescent="0.2">
      <c r="A372" s="13">
        <f ca="1">IFERROR(__xludf.DUMMYFUNCTION("""COMPUTED_VALUE"""),44375.6458333333)</f>
        <v>44375.645833333299</v>
      </c>
      <c r="B372" s="14">
        <f ca="1">IFERROR(__xludf.DUMMYFUNCTION("""COMPUTED_VALUE"""),1043)</f>
        <v>1043</v>
      </c>
      <c r="C372" s="15">
        <f t="shared" ca="1" si="2"/>
        <v>-8.7624261086084454E-3</v>
      </c>
      <c r="D372" s="14">
        <f t="shared" ca="1" si="3"/>
        <v>1028.8348000000003</v>
      </c>
      <c r="E372" s="3"/>
      <c r="F372" s="3"/>
    </row>
    <row r="373" spans="1:6" ht="14.25" x14ac:dyDescent="0.2">
      <c r="A373" s="13">
        <f ca="1">IFERROR(__xludf.DUMMYFUNCTION("""COMPUTED_VALUE"""),44376.6458333333)</f>
        <v>44376.645833333299</v>
      </c>
      <c r="B373" s="14">
        <f ca="1">IFERROR(__xludf.DUMMYFUNCTION("""COMPUTED_VALUE"""),1043.9)</f>
        <v>1043.9000000000001</v>
      </c>
      <c r="C373" s="15">
        <f t="shared" ca="1" si="2"/>
        <v>8.6289549376816765E-4</v>
      </c>
      <c r="D373" s="14">
        <f t="shared" ca="1" si="3"/>
        <v>1030.3918000000003</v>
      </c>
      <c r="E373" s="3"/>
      <c r="F373" s="3"/>
    </row>
    <row r="374" spans="1:6" ht="14.25" x14ac:dyDescent="0.2">
      <c r="A374" s="13">
        <f ca="1">IFERROR(__xludf.DUMMYFUNCTION("""COMPUTED_VALUE"""),44377.6458333333)</f>
        <v>44377.645833333299</v>
      </c>
      <c r="B374" s="14">
        <f ca="1">IFERROR(__xludf.DUMMYFUNCTION("""COMPUTED_VALUE"""),1055.33)</f>
        <v>1055.33</v>
      </c>
      <c r="C374" s="15">
        <f t="shared" ca="1" si="2"/>
        <v>1.0949324647954617E-2</v>
      </c>
      <c r="D374" s="14">
        <f t="shared" ca="1" si="3"/>
        <v>1032.4814000000001</v>
      </c>
      <c r="E374" s="3"/>
      <c r="F374" s="3"/>
    </row>
    <row r="375" spans="1:6" ht="14.25" x14ac:dyDescent="0.2">
      <c r="A375" s="13">
        <f ca="1">IFERROR(__xludf.DUMMYFUNCTION("""COMPUTED_VALUE"""),44378.6458333333)</f>
        <v>44378.645833333299</v>
      </c>
      <c r="B375" s="14">
        <f ca="1">IFERROR(__xludf.DUMMYFUNCTION("""COMPUTED_VALUE"""),1048.97)</f>
        <v>1048.97</v>
      </c>
      <c r="C375" s="15">
        <f t="shared" ca="1" si="2"/>
        <v>-6.0265509366737025E-3</v>
      </c>
      <c r="D375" s="14">
        <f t="shared" ca="1" si="3"/>
        <v>1034.4492</v>
      </c>
      <c r="E375" s="3"/>
      <c r="F375" s="3"/>
    </row>
    <row r="376" spans="1:6" ht="14.25" x14ac:dyDescent="0.2">
      <c r="A376" s="13">
        <f ca="1">IFERROR(__xludf.DUMMYFUNCTION("""COMPUTED_VALUE"""),44379.6458333333)</f>
        <v>44379.645833333299</v>
      </c>
      <c r="B376" s="14">
        <f ca="1">IFERROR(__xludf.DUMMYFUNCTION("""COMPUTED_VALUE"""),1064.53)</f>
        <v>1064.53</v>
      </c>
      <c r="C376" s="15">
        <f t="shared" ca="1" si="2"/>
        <v>1.483359867298395E-2</v>
      </c>
      <c r="D376" s="14">
        <f t="shared" ca="1" si="3"/>
        <v>1036.6758000000002</v>
      </c>
      <c r="E376" s="3"/>
      <c r="F376" s="3"/>
    </row>
    <row r="377" spans="1:6" ht="14.25" x14ac:dyDescent="0.2">
      <c r="A377" s="13">
        <f ca="1">IFERROR(__xludf.DUMMYFUNCTION("""COMPUTED_VALUE"""),44382.6458333333)</f>
        <v>44382.645833333299</v>
      </c>
      <c r="B377" s="14">
        <f ca="1">IFERROR(__xludf.DUMMYFUNCTION("""COMPUTED_VALUE"""),1075.1)</f>
        <v>1075.0999999999999</v>
      </c>
      <c r="C377" s="15">
        <f t="shared" ca="1" si="2"/>
        <v>9.9292645580677519E-3</v>
      </c>
      <c r="D377" s="14">
        <f t="shared" ca="1" si="3"/>
        <v>1039.1342000000002</v>
      </c>
      <c r="E377" s="3"/>
      <c r="F377" s="3"/>
    </row>
    <row r="378" spans="1:6" ht="14.25" x14ac:dyDescent="0.2">
      <c r="A378" s="13">
        <f ca="1">IFERROR(__xludf.DUMMYFUNCTION("""COMPUTED_VALUE"""),44383.6458333333)</f>
        <v>44383.645833333299</v>
      </c>
      <c r="B378" s="14">
        <f ca="1">IFERROR(__xludf.DUMMYFUNCTION("""COMPUTED_VALUE"""),1062.4)</f>
        <v>1062.4000000000001</v>
      </c>
      <c r="C378" s="15">
        <f t="shared" ca="1" si="2"/>
        <v>-1.1812854618174939E-2</v>
      </c>
      <c r="D378" s="14">
        <f t="shared" ca="1" si="3"/>
        <v>1041.0036000000002</v>
      </c>
      <c r="E378" s="3"/>
      <c r="F378" s="3"/>
    </row>
    <row r="379" spans="1:6" ht="14.25" x14ac:dyDescent="0.2">
      <c r="A379" s="13">
        <f ca="1">IFERROR(__xludf.DUMMYFUNCTION("""COMPUTED_VALUE"""),44384.6458333333)</f>
        <v>44384.645833333299</v>
      </c>
      <c r="B379" s="14">
        <f ca="1">IFERROR(__xludf.DUMMYFUNCTION("""COMPUTED_VALUE"""),1055.03)</f>
        <v>1055.03</v>
      </c>
      <c r="C379" s="15">
        <f t="shared" ca="1" si="2"/>
        <v>-6.9371234939760162E-3</v>
      </c>
      <c r="D379" s="14">
        <f t="shared" ca="1" si="3"/>
        <v>1042.2176000000002</v>
      </c>
      <c r="E379" s="3"/>
      <c r="F379" s="3"/>
    </row>
    <row r="380" spans="1:6" ht="14.25" x14ac:dyDescent="0.2">
      <c r="A380" s="13">
        <f ca="1">IFERROR(__xludf.DUMMYFUNCTION("""COMPUTED_VALUE"""),44385.6458333333)</f>
        <v>44385.645833333299</v>
      </c>
      <c r="B380" s="14">
        <f ca="1">IFERROR(__xludf.DUMMYFUNCTION("""COMPUTED_VALUE"""),1046.3)</f>
        <v>1046.3</v>
      </c>
      <c r="C380" s="15">
        <f t="shared" ca="1" si="2"/>
        <v>-8.2746462185909753E-3</v>
      </c>
      <c r="D380" s="14">
        <f t="shared" ca="1" si="3"/>
        <v>1043.1706000000004</v>
      </c>
      <c r="E380" s="3"/>
      <c r="F380" s="3"/>
    </row>
    <row r="381" spans="1:6" ht="14.25" x14ac:dyDescent="0.2">
      <c r="A381" s="13">
        <f ca="1">IFERROR(__xludf.DUMMYFUNCTION("""COMPUTED_VALUE"""),44386.6458333333)</f>
        <v>44386.645833333299</v>
      </c>
      <c r="B381" s="14">
        <f ca="1">IFERROR(__xludf.DUMMYFUNCTION("""COMPUTED_VALUE"""),1035.6)</f>
        <v>1035.5999999999999</v>
      </c>
      <c r="C381" s="15">
        <f t="shared" ca="1" si="2"/>
        <v>-1.0226512472522264E-2</v>
      </c>
      <c r="D381" s="14">
        <f t="shared" ca="1" si="3"/>
        <v>1043.6420000000003</v>
      </c>
      <c r="E381" s="3"/>
      <c r="F381" s="3"/>
    </row>
    <row r="382" spans="1:6" ht="14.25" x14ac:dyDescent="0.2">
      <c r="A382" s="13">
        <f ca="1">IFERROR(__xludf.DUMMYFUNCTION("""COMPUTED_VALUE"""),44389.6458333333)</f>
        <v>44389.645833333299</v>
      </c>
      <c r="B382" s="14">
        <f ca="1">IFERROR(__xludf.DUMMYFUNCTION("""COMPUTED_VALUE"""),1042.05)</f>
        <v>1042.05</v>
      </c>
      <c r="C382" s="15">
        <f t="shared" ca="1" si="2"/>
        <v>6.2282734646581517E-3</v>
      </c>
      <c r="D382" s="14">
        <f t="shared" ca="1" si="3"/>
        <v>1044.5380000000002</v>
      </c>
      <c r="E382" s="3"/>
      <c r="F382" s="3"/>
    </row>
    <row r="383" spans="1:6" ht="14.25" x14ac:dyDescent="0.2">
      <c r="A383" s="13">
        <f ca="1">IFERROR(__xludf.DUMMYFUNCTION("""COMPUTED_VALUE"""),44390.6458333333)</f>
        <v>44390.645833333299</v>
      </c>
      <c r="B383" s="14">
        <f ca="1">IFERROR(__xludf.DUMMYFUNCTION("""COMPUTED_VALUE"""),1049.85)</f>
        <v>1049.8499999999999</v>
      </c>
      <c r="C383" s="15">
        <f t="shared" ca="1" si="2"/>
        <v>7.4852454296818749E-3</v>
      </c>
      <c r="D383" s="14">
        <f t="shared" ca="1" si="3"/>
        <v>1045.9444000000003</v>
      </c>
      <c r="E383" s="3"/>
      <c r="F383" s="3"/>
    </row>
    <row r="384" spans="1:6" ht="14.25" x14ac:dyDescent="0.2">
      <c r="A384" s="13">
        <f ca="1">IFERROR(__xludf.DUMMYFUNCTION("""COMPUTED_VALUE"""),44391.6458333333)</f>
        <v>44391.645833333299</v>
      </c>
      <c r="B384" s="14">
        <f ca="1">IFERROR(__xludf.DUMMYFUNCTION("""COMPUTED_VALUE"""),1043)</f>
        <v>1043</v>
      </c>
      <c r="C384" s="15">
        <f t="shared" ca="1" si="2"/>
        <v>-6.5247416297565808E-3</v>
      </c>
      <c r="D384" s="14">
        <f t="shared" ca="1" si="3"/>
        <v>1047.6384000000003</v>
      </c>
      <c r="E384" s="3"/>
      <c r="F384" s="3"/>
    </row>
    <row r="385" spans="1:6" ht="14.25" x14ac:dyDescent="0.2">
      <c r="A385" s="13">
        <f ca="1">IFERROR(__xludf.DUMMYFUNCTION("""COMPUTED_VALUE"""),44392.6458333333)</f>
        <v>44392.645833333299</v>
      </c>
      <c r="B385" s="14">
        <f ca="1">IFERROR(__xludf.DUMMYFUNCTION("""COMPUTED_VALUE"""),1041.18)</f>
        <v>1041.18</v>
      </c>
      <c r="C385" s="15">
        <f t="shared" ca="1" si="2"/>
        <v>-1.7449664429529665E-3</v>
      </c>
      <c r="D385" s="14">
        <f t="shared" ca="1" si="3"/>
        <v>1049.2610000000002</v>
      </c>
      <c r="E385" s="3"/>
      <c r="F385" s="3"/>
    </row>
    <row r="386" spans="1:6" ht="14.25" x14ac:dyDescent="0.2">
      <c r="A386" s="13">
        <f ca="1">IFERROR(__xludf.DUMMYFUNCTION("""COMPUTED_VALUE"""),44393.6458333333)</f>
        <v>44393.645833333299</v>
      </c>
      <c r="B386" s="14">
        <f ca="1">IFERROR(__xludf.DUMMYFUNCTION("""COMPUTED_VALUE"""),1056.2)</f>
        <v>1056.2</v>
      </c>
      <c r="C386" s="15">
        <f t="shared" ca="1" si="2"/>
        <v>1.4425939799074028E-2</v>
      </c>
      <c r="D386" s="14">
        <f t="shared" ca="1" si="3"/>
        <v>1051.0750000000003</v>
      </c>
      <c r="E386" s="3"/>
      <c r="F386" s="3"/>
    </row>
    <row r="387" spans="1:6" ht="14.25" x14ac:dyDescent="0.2">
      <c r="A387" s="13">
        <f ca="1">IFERROR(__xludf.DUMMYFUNCTION("""COMPUTED_VALUE"""),44396.6458333333)</f>
        <v>44396.645833333299</v>
      </c>
      <c r="B387" s="14">
        <f ca="1">IFERROR(__xludf.DUMMYFUNCTION("""COMPUTED_VALUE"""),1049.47)</f>
        <v>1049.47</v>
      </c>
      <c r="C387" s="15">
        <f t="shared" ca="1" si="2"/>
        <v>-6.3718992615034997E-3</v>
      </c>
      <c r="D387" s="14">
        <f t="shared" ca="1" si="3"/>
        <v>1052.7468000000001</v>
      </c>
      <c r="E387" s="3"/>
      <c r="F387" s="3"/>
    </row>
    <row r="388" spans="1:6" ht="14.25" x14ac:dyDescent="0.2">
      <c r="A388" s="13">
        <f ca="1">IFERROR(__xludf.DUMMYFUNCTION("""COMPUTED_VALUE"""),44397.6458333333)</f>
        <v>44397.645833333299</v>
      </c>
      <c r="B388" s="14">
        <f ca="1">IFERROR(__xludf.DUMMYFUNCTION("""COMPUTED_VALUE"""),1046.9)</f>
        <v>1046.9000000000001</v>
      </c>
      <c r="C388" s="15">
        <f t="shared" ca="1" si="2"/>
        <v>-2.4488551364021394E-3</v>
      </c>
      <c r="D388" s="14">
        <f t="shared" ca="1" si="3"/>
        <v>1054.4228000000003</v>
      </c>
      <c r="E388" s="3"/>
      <c r="F388" s="3"/>
    </row>
    <row r="389" spans="1:6" ht="14.25" x14ac:dyDescent="0.2">
      <c r="A389" s="13">
        <f ca="1">IFERROR(__xludf.DUMMYFUNCTION("""COMPUTED_VALUE"""),44399.6458333333)</f>
        <v>44399.645833333299</v>
      </c>
      <c r="B389" s="14">
        <f ca="1">IFERROR(__xludf.DUMMYFUNCTION("""COMPUTED_VALUE"""),1060.35)</f>
        <v>1060.3499999999999</v>
      </c>
      <c r="C389" s="15">
        <f t="shared" ca="1" si="2"/>
        <v>1.2847454389148805E-2</v>
      </c>
      <c r="D389" s="14">
        <f t="shared" ca="1" si="3"/>
        <v>1056.2982000000002</v>
      </c>
      <c r="E389" s="3"/>
      <c r="F389" s="3"/>
    </row>
    <row r="390" spans="1:6" ht="14.25" x14ac:dyDescent="0.2">
      <c r="A390" s="13">
        <f ca="1">IFERROR(__xludf.DUMMYFUNCTION("""COMPUTED_VALUE"""),44400.6458333333)</f>
        <v>44400.645833333299</v>
      </c>
      <c r="B390" s="14">
        <f ca="1">IFERROR(__xludf.DUMMYFUNCTION("""COMPUTED_VALUE"""),1052.85)</f>
        <v>1052.8499999999999</v>
      </c>
      <c r="C390" s="15">
        <f t="shared" ca="1" si="2"/>
        <v>-7.0731362286037269E-3</v>
      </c>
      <c r="D390" s="14">
        <f t="shared" ca="1" si="3"/>
        <v>1058.2236000000003</v>
      </c>
      <c r="E390" s="3"/>
      <c r="F390" s="3"/>
    </row>
    <row r="391" spans="1:6" ht="14.25" x14ac:dyDescent="0.2">
      <c r="A391" s="13">
        <f ca="1">IFERROR(__xludf.DUMMYFUNCTION("""COMPUTED_VALUE"""),44403.6458333333)</f>
        <v>44403.645833333299</v>
      </c>
      <c r="B391" s="14">
        <f ca="1">IFERROR(__xludf.DUMMYFUNCTION("""COMPUTED_VALUE"""),1038.43)</f>
        <v>1038.43</v>
      </c>
      <c r="C391" s="15">
        <f t="shared" ca="1" si="2"/>
        <v>-1.3696158047205031E-2</v>
      </c>
      <c r="D391" s="14">
        <f t="shared" ca="1" si="3"/>
        <v>1059.6192000000001</v>
      </c>
      <c r="E391" s="3"/>
      <c r="F391" s="3"/>
    </row>
    <row r="392" spans="1:6" ht="14.25" x14ac:dyDescent="0.2">
      <c r="A392" s="13">
        <f ca="1">IFERROR(__xludf.DUMMYFUNCTION("""COMPUTED_VALUE"""),44404.6458333333)</f>
        <v>44404.645833333299</v>
      </c>
      <c r="B392" s="14">
        <f ca="1">IFERROR(__xludf.DUMMYFUNCTION("""COMPUTED_VALUE"""),1027.5)</f>
        <v>1027.5</v>
      </c>
      <c r="C392" s="15">
        <f t="shared" ca="1" si="2"/>
        <v>-1.0525504848665879E-2</v>
      </c>
      <c r="D392" s="14">
        <f t="shared" ca="1" si="3"/>
        <v>1060.5656000000004</v>
      </c>
      <c r="E392" s="3"/>
      <c r="F392" s="3"/>
    </row>
    <row r="393" spans="1:6" ht="14.25" x14ac:dyDescent="0.2">
      <c r="A393" s="13">
        <f ca="1">IFERROR(__xludf.DUMMYFUNCTION("""COMPUTED_VALUE"""),44405.6458333333)</f>
        <v>44405.645833333299</v>
      </c>
      <c r="B393" s="14">
        <f ca="1">IFERROR(__xludf.DUMMYFUNCTION("""COMPUTED_VALUE"""),1018.68)</f>
        <v>1018.68</v>
      </c>
      <c r="C393" s="15">
        <f t="shared" ca="1" si="2"/>
        <v>-8.583941605839418E-3</v>
      </c>
      <c r="D393" s="14">
        <f t="shared" ca="1" si="3"/>
        <v>1061.0596000000003</v>
      </c>
      <c r="E393" s="3"/>
      <c r="F393" s="3"/>
    </row>
    <row r="394" spans="1:6" ht="14.25" x14ac:dyDescent="0.2">
      <c r="A394" s="13">
        <f ca="1">IFERROR(__xludf.DUMMYFUNCTION("""COMPUTED_VALUE"""),44406.6458333333)</f>
        <v>44406.645833333299</v>
      </c>
      <c r="B394" s="14">
        <f ca="1">IFERROR(__xludf.DUMMYFUNCTION("""COMPUTED_VALUE"""),1026.63)</f>
        <v>1026.6300000000001</v>
      </c>
      <c r="C394" s="15">
        <f t="shared" ca="1" si="2"/>
        <v>7.804217222287857E-3</v>
      </c>
      <c r="D394" s="14">
        <f t="shared" ca="1" si="3"/>
        <v>1061.6216000000002</v>
      </c>
      <c r="E394" s="3"/>
      <c r="F394" s="3"/>
    </row>
    <row r="395" spans="1:6" ht="14.25" x14ac:dyDescent="0.2">
      <c r="A395" s="13">
        <f ca="1">IFERROR(__xludf.DUMMYFUNCTION("""COMPUTED_VALUE"""),44407.6458333333)</f>
        <v>44407.645833333299</v>
      </c>
      <c r="B395" s="14">
        <f ca="1">IFERROR(__xludf.DUMMYFUNCTION("""COMPUTED_VALUE"""),1017.65)</f>
        <v>1017.65</v>
      </c>
      <c r="C395" s="15">
        <f t="shared" ca="1" si="2"/>
        <v>-8.7470656419548209E-3</v>
      </c>
      <c r="D395" s="14">
        <f t="shared" ca="1" si="3"/>
        <v>1062.1206000000002</v>
      </c>
      <c r="E395" s="3"/>
      <c r="F395" s="3"/>
    </row>
    <row r="396" spans="1:6" ht="14.25" x14ac:dyDescent="0.2">
      <c r="A396" s="13">
        <f ca="1">IFERROR(__xludf.DUMMYFUNCTION("""COMPUTED_VALUE"""),44410.6458333333)</f>
        <v>44410.645833333299</v>
      </c>
      <c r="B396" s="14">
        <f ca="1">IFERROR(__xludf.DUMMYFUNCTION("""COMPUTED_VALUE"""),1036.25)</f>
        <v>1036.25</v>
      </c>
      <c r="C396" s="15">
        <f t="shared" ca="1" si="2"/>
        <v>1.8277403822532401E-2</v>
      </c>
      <c r="D396" s="14">
        <f t="shared" ca="1" si="3"/>
        <v>1062.8200000000002</v>
      </c>
      <c r="E396" s="3"/>
      <c r="F396" s="3"/>
    </row>
    <row r="397" spans="1:6" ht="14.25" x14ac:dyDescent="0.2">
      <c r="A397" s="13">
        <f ca="1">IFERROR(__xludf.DUMMYFUNCTION("""COMPUTED_VALUE"""),44411.6458333333)</f>
        <v>44411.645833333299</v>
      </c>
      <c r="B397" s="14">
        <f ca="1">IFERROR(__xludf.DUMMYFUNCTION("""COMPUTED_VALUE"""),1043.88)</f>
        <v>1043.8800000000001</v>
      </c>
      <c r="C397" s="15">
        <f t="shared" ca="1" si="2"/>
        <v>7.3630880579012015E-3</v>
      </c>
      <c r="D397" s="14">
        <f t="shared" ca="1" si="3"/>
        <v>1063.8410000000001</v>
      </c>
      <c r="E397" s="3"/>
      <c r="F397" s="3"/>
    </row>
    <row r="398" spans="1:6" ht="14.25" x14ac:dyDescent="0.2">
      <c r="A398" s="13">
        <f ca="1">IFERROR(__xludf.DUMMYFUNCTION("""COMPUTED_VALUE"""),44412.6458333333)</f>
        <v>44412.645833333299</v>
      </c>
      <c r="B398" s="14">
        <f ca="1">IFERROR(__xludf.DUMMYFUNCTION("""COMPUTED_VALUE"""),1051.88)</f>
        <v>1051.8800000000001</v>
      </c>
      <c r="C398" s="15">
        <f t="shared" ca="1" si="2"/>
        <v>7.6637161359542905E-3</v>
      </c>
      <c r="D398" s="14">
        <f t="shared" ca="1" si="3"/>
        <v>1065.2470000000001</v>
      </c>
      <c r="E398" s="3"/>
      <c r="F398" s="3"/>
    </row>
    <row r="399" spans="1:6" ht="14.25" x14ac:dyDescent="0.2">
      <c r="A399" s="13">
        <f ca="1">IFERROR(__xludf.DUMMYFUNCTION("""COMPUTED_VALUE"""),44413.6458333333)</f>
        <v>44413.645833333299</v>
      </c>
      <c r="B399" s="14">
        <f ca="1">IFERROR(__xludf.DUMMYFUNCTION("""COMPUTED_VALUE"""),1067.13)</f>
        <v>1067.1300000000001</v>
      </c>
      <c r="C399" s="15">
        <f t="shared" ca="1" si="2"/>
        <v>1.4497851465946621E-2</v>
      </c>
      <c r="D399" s="14">
        <f t="shared" ca="1" si="3"/>
        <v>1066.8889999999999</v>
      </c>
      <c r="E399" s="3"/>
      <c r="F399" s="3"/>
    </row>
    <row r="400" spans="1:6" ht="14.25" x14ac:dyDescent="0.2">
      <c r="A400" s="13">
        <f ca="1">IFERROR(__xludf.DUMMYFUNCTION("""COMPUTED_VALUE"""),44414.6458333333)</f>
        <v>44414.645833333299</v>
      </c>
      <c r="B400" s="14">
        <f ca="1">IFERROR(__xludf.DUMMYFUNCTION("""COMPUTED_VALUE"""),1044.53)</f>
        <v>1044.53</v>
      </c>
      <c r="C400" s="15">
        <f t="shared" ca="1" si="2"/>
        <v>-2.117830067564419E-2</v>
      </c>
      <c r="D400" s="14">
        <f t="shared" ca="1" si="3"/>
        <v>1068.0185999999999</v>
      </c>
      <c r="E400" s="3"/>
      <c r="F400" s="3"/>
    </row>
    <row r="401" spans="1:6" ht="14.25" x14ac:dyDescent="0.2">
      <c r="A401" s="13">
        <f ca="1">IFERROR(__xludf.DUMMYFUNCTION("""COMPUTED_VALUE"""),44417.6458333333)</f>
        <v>44417.645833333299</v>
      </c>
      <c r="B401" s="14">
        <f ca="1">IFERROR(__xludf.DUMMYFUNCTION("""COMPUTED_VALUE"""),1038.58)</f>
        <v>1038.58</v>
      </c>
      <c r="C401" s="15">
        <f t="shared" ca="1" si="2"/>
        <v>-5.6963418953980272E-3</v>
      </c>
      <c r="D401" s="14">
        <f t="shared" ca="1" si="3"/>
        <v>1067.8421999999998</v>
      </c>
      <c r="E401" s="3"/>
      <c r="F401" s="3"/>
    </row>
    <row r="402" spans="1:6" ht="14.25" x14ac:dyDescent="0.2">
      <c r="A402" s="13">
        <f ca="1">IFERROR(__xludf.DUMMYFUNCTION("""COMPUTED_VALUE"""),44418.6458333333)</f>
        <v>44418.645833333299</v>
      </c>
      <c r="B402" s="14">
        <f ca="1">IFERROR(__xludf.DUMMYFUNCTION("""COMPUTED_VALUE"""),1044.03)</f>
        <v>1044.03</v>
      </c>
      <c r="C402" s="15">
        <f t="shared" ca="1" si="2"/>
        <v>5.2475495387933613E-3</v>
      </c>
      <c r="D402" s="14">
        <f t="shared" ca="1" si="3"/>
        <v>1067.1197999999997</v>
      </c>
      <c r="E402" s="3"/>
      <c r="F402" s="3"/>
    </row>
    <row r="403" spans="1:6" ht="14.25" x14ac:dyDescent="0.2">
      <c r="A403" s="13">
        <f ca="1">IFERROR(__xludf.DUMMYFUNCTION("""COMPUTED_VALUE"""),44419.6458333333)</f>
        <v>44419.645833333299</v>
      </c>
      <c r="B403" s="14">
        <f ca="1">IFERROR(__xludf.DUMMYFUNCTION("""COMPUTED_VALUE"""),1058.65)</f>
        <v>1058.6500000000001</v>
      </c>
      <c r="C403" s="15">
        <f t="shared" ca="1" si="2"/>
        <v>1.40034290202391E-2</v>
      </c>
      <c r="D403" s="14">
        <f t="shared" ca="1" si="3"/>
        <v>1066.6037999999999</v>
      </c>
      <c r="E403" s="3"/>
      <c r="F403" s="3"/>
    </row>
    <row r="404" spans="1:6" ht="14.25" x14ac:dyDescent="0.2">
      <c r="A404" s="13">
        <f ca="1">IFERROR(__xludf.DUMMYFUNCTION("""COMPUTED_VALUE"""),44420.6458333333)</f>
        <v>44420.645833333299</v>
      </c>
      <c r="B404" s="14">
        <f ca="1">IFERROR(__xludf.DUMMYFUNCTION("""COMPUTED_VALUE"""),1055.25)</f>
        <v>1055.25</v>
      </c>
      <c r="C404" s="15">
        <f t="shared" ca="1" si="2"/>
        <v>-3.2116374628065048E-3</v>
      </c>
      <c r="D404" s="14">
        <f t="shared" ca="1" si="3"/>
        <v>1065.6961999999999</v>
      </c>
      <c r="E404" s="3"/>
      <c r="F404" s="3"/>
    </row>
    <row r="405" spans="1:6" ht="14.25" x14ac:dyDescent="0.2">
      <c r="A405" s="13">
        <f ca="1">IFERROR(__xludf.DUMMYFUNCTION("""COMPUTED_VALUE"""),44421.6458333333)</f>
        <v>44421.645833333299</v>
      </c>
      <c r="B405" s="14">
        <f ca="1">IFERROR(__xludf.DUMMYFUNCTION("""COMPUTED_VALUE"""),1072.83)</f>
        <v>1072.83</v>
      </c>
      <c r="C405" s="15">
        <f t="shared" ca="1" si="2"/>
        <v>1.6659559346126507E-2</v>
      </c>
      <c r="D405" s="14">
        <f t="shared" ca="1" si="3"/>
        <v>1065.0561999999998</v>
      </c>
      <c r="E405" s="3"/>
      <c r="F405" s="3"/>
    </row>
    <row r="406" spans="1:6" ht="14.25" x14ac:dyDescent="0.2">
      <c r="A406" s="13">
        <f ca="1">IFERROR(__xludf.DUMMYFUNCTION("""COMPUTED_VALUE"""),44424.6458333333)</f>
        <v>44424.645833333299</v>
      </c>
      <c r="B406" s="14">
        <f ca="1">IFERROR(__xludf.DUMMYFUNCTION("""COMPUTED_VALUE"""),1086.75)</f>
        <v>1086.75</v>
      </c>
      <c r="C406" s="15">
        <f t="shared" ca="1" si="2"/>
        <v>1.2975028662509436E-2</v>
      </c>
      <c r="D406" s="14">
        <f t="shared" ca="1" si="3"/>
        <v>1064.8861999999999</v>
      </c>
      <c r="E406" s="3"/>
      <c r="F406" s="3"/>
    </row>
    <row r="407" spans="1:6" ht="14.25" x14ac:dyDescent="0.2">
      <c r="A407" s="13">
        <f ca="1">IFERROR(__xludf.DUMMYFUNCTION("""COMPUTED_VALUE"""),44425.6458333333)</f>
        <v>44425.645833333299</v>
      </c>
      <c r="B407" s="14">
        <f ca="1">IFERROR(__xludf.DUMMYFUNCTION("""COMPUTED_VALUE"""),1082.13)</f>
        <v>1082.1300000000001</v>
      </c>
      <c r="C407" s="15">
        <f t="shared" ca="1" si="2"/>
        <v>-4.2512077294685202E-3</v>
      </c>
      <c r="D407" s="14">
        <f t="shared" ca="1" si="3"/>
        <v>1064.2547999999997</v>
      </c>
      <c r="E407" s="3"/>
      <c r="F407" s="3"/>
    </row>
    <row r="408" spans="1:6" ht="14.25" x14ac:dyDescent="0.2">
      <c r="A408" s="13">
        <f ca="1">IFERROR(__xludf.DUMMYFUNCTION("""COMPUTED_VALUE"""),44426.6458333333)</f>
        <v>44426.645833333299</v>
      </c>
      <c r="B408" s="14">
        <f ca="1">IFERROR(__xludf.DUMMYFUNCTION("""COMPUTED_VALUE"""),1086.33)</f>
        <v>1086.33</v>
      </c>
      <c r="C408" s="15">
        <f t="shared" ca="1" si="2"/>
        <v>3.881234232485653E-3</v>
      </c>
      <c r="D408" s="14">
        <f t="shared" ca="1" si="3"/>
        <v>1063.8353999999997</v>
      </c>
      <c r="E408" s="3"/>
      <c r="F408" s="3"/>
    </row>
    <row r="409" spans="1:6" ht="14.25" x14ac:dyDescent="0.2">
      <c r="A409" s="13">
        <f ca="1">IFERROR(__xludf.DUMMYFUNCTION("""COMPUTED_VALUE"""),44428.6458333333)</f>
        <v>44428.645833333299</v>
      </c>
      <c r="B409" s="14">
        <f ca="1">IFERROR(__xludf.DUMMYFUNCTION("""COMPUTED_VALUE"""),1074.13)</f>
        <v>1074.1300000000001</v>
      </c>
      <c r="C409" s="15">
        <f t="shared" ca="1" si="2"/>
        <v>-1.1230473244778105E-2</v>
      </c>
      <c r="D409" s="14">
        <f t="shared" ca="1" si="3"/>
        <v>1063.5679999999998</v>
      </c>
      <c r="E409" s="3"/>
      <c r="F409" s="3"/>
    </row>
    <row r="410" spans="1:6" ht="14.25" x14ac:dyDescent="0.2">
      <c r="A410" s="13">
        <f ca="1">IFERROR(__xludf.DUMMYFUNCTION("""COMPUTED_VALUE"""),44431.6458333333)</f>
        <v>44431.645833333299</v>
      </c>
      <c r="B410" s="14">
        <f ca="1">IFERROR(__xludf.DUMMYFUNCTION("""COMPUTED_VALUE"""),1081.18)</f>
        <v>1081.18</v>
      </c>
      <c r="C410" s="15">
        <f t="shared" ca="1" si="2"/>
        <v>6.5634513513261883E-3</v>
      </c>
      <c r="D410" s="14">
        <f t="shared" ca="1" si="3"/>
        <v>1063.3615999999995</v>
      </c>
      <c r="E410" s="3"/>
      <c r="F410" s="3"/>
    </row>
    <row r="411" spans="1:6" ht="14.25" x14ac:dyDescent="0.2">
      <c r="A411" s="13">
        <f ca="1">IFERROR(__xludf.DUMMYFUNCTION("""COMPUTED_VALUE"""),44432.6458333333)</f>
        <v>44432.645833333299</v>
      </c>
      <c r="B411" s="14">
        <f ca="1">IFERROR(__xludf.DUMMYFUNCTION("""COMPUTED_VALUE"""),1091.85)</f>
        <v>1091.8499999999999</v>
      </c>
      <c r="C411" s="15">
        <f t="shared" ca="1" si="2"/>
        <v>9.8688470004992812E-3</v>
      </c>
      <c r="D411" s="14">
        <f t="shared" ca="1" si="3"/>
        <v>1063.0669999999998</v>
      </c>
      <c r="E411" s="3"/>
      <c r="F411" s="3"/>
    </row>
    <row r="412" spans="1:6" ht="14.25" x14ac:dyDescent="0.2">
      <c r="A412" s="13">
        <f ca="1">IFERROR(__xludf.DUMMYFUNCTION("""COMPUTED_VALUE"""),44433.6458333333)</f>
        <v>44433.645833333299</v>
      </c>
      <c r="B412" s="14">
        <f ca="1">IFERROR(__xludf.DUMMYFUNCTION("""COMPUTED_VALUE"""),1101.3)</f>
        <v>1101.3</v>
      </c>
      <c r="C412" s="15">
        <f t="shared" ca="1" si="2"/>
        <v>8.6550350322847081E-3</v>
      </c>
      <c r="D412" s="14">
        <f t="shared" ca="1" si="3"/>
        <v>1062.6439999999998</v>
      </c>
      <c r="E412" s="3"/>
      <c r="F412" s="3"/>
    </row>
    <row r="413" spans="1:6" ht="14.25" x14ac:dyDescent="0.2">
      <c r="A413" s="13">
        <f ca="1">IFERROR(__xludf.DUMMYFUNCTION("""COMPUTED_VALUE"""),44434.6458333333)</f>
        <v>44434.645833333299</v>
      </c>
      <c r="B413" s="14">
        <f ca="1">IFERROR(__xludf.DUMMYFUNCTION("""COMPUTED_VALUE"""),1115.22)</f>
        <v>1115.22</v>
      </c>
      <c r="C413" s="15">
        <f t="shared" ca="1" si="2"/>
        <v>1.2639607736311786E-2</v>
      </c>
      <c r="D413" s="14">
        <f t="shared" ca="1" si="3"/>
        <v>1062.4483999999998</v>
      </c>
      <c r="E413" s="3"/>
      <c r="F413" s="3"/>
    </row>
    <row r="414" spans="1:6" ht="14.25" x14ac:dyDescent="0.2">
      <c r="A414" s="13">
        <f ca="1">IFERROR(__xludf.DUMMYFUNCTION("""COMPUTED_VALUE"""),44435.6458333333)</f>
        <v>44435.645833333299</v>
      </c>
      <c r="B414" s="14">
        <f ca="1">IFERROR(__xludf.DUMMYFUNCTION("""COMPUTED_VALUE"""),1113.7)</f>
        <v>1113.7</v>
      </c>
      <c r="C414" s="15">
        <f t="shared" ca="1" si="2"/>
        <v>-1.3629597747529809E-3</v>
      </c>
      <c r="D414" s="14">
        <f t="shared" ca="1" si="3"/>
        <v>1062.6063999999999</v>
      </c>
      <c r="E414" s="3"/>
      <c r="F414" s="3"/>
    </row>
    <row r="415" spans="1:6" ht="14.25" x14ac:dyDescent="0.2">
      <c r="A415" s="13">
        <f ca="1">IFERROR(__xludf.DUMMYFUNCTION("""COMPUTED_VALUE"""),44438.6458333333)</f>
        <v>44438.645833333299</v>
      </c>
      <c r="B415" s="14">
        <f ca="1">IFERROR(__xludf.DUMMYFUNCTION("""COMPUTED_VALUE"""),1135.13)</f>
        <v>1135.1300000000001</v>
      </c>
      <c r="C415" s="15">
        <f t="shared" ca="1" si="2"/>
        <v>1.9242165753793783E-2</v>
      </c>
      <c r="D415" s="14">
        <f t="shared" ca="1" si="3"/>
        <v>1063.1523999999999</v>
      </c>
      <c r="E415" s="3"/>
      <c r="F415" s="3"/>
    </row>
    <row r="416" spans="1:6" ht="14.25" x14ac:dyDescent="0.2">
      <c r="A416" s="13">
        <f ca="1">IFERROR(__xludf.DUMMYFUNCTION("""COMPUTED_VALUE"""),44439.6458333333)</f>
        <v>44439.645833333299</v>
      </c>
      <c r="B416" s="14">
        <f ca="1">IFERROR(__xludf.DUMMYFUNCTION("""COMPUTED_VALUE"""),1129.08)</f>
        <v>1129.08</v>
      </c>
      <c r="C416" s="15">
        <f t="shared" ca="1" si="2"/>
        <v>-5.3297860156987786E-3</v>
      </c>
      <c r="D416" s="14">
        <f t="shared" ca="1" si="3"/>
        <v>1063.4774</v>
      </c>
      <c r="E416" s="3"/>
      <c r="F416" s="3"/>
    </row>
    <row r="417" spans="1:6" ht="14.25" x14ac:dyDescent="0.2">
      <c r="A417" s="13">
        <f ca="1">IFERROR(__xludf.DUMMYFUNCTION("""COMPUTED_VALUE"""),44440.6458333333)</f>
        <v>44440.645833333299</v>
      </c>
      <c r="B417" s="14">
        <f ca="1">IFERROR(__xludf.DUMMYFUNCTION("""COMPUTED_VALUE"""),1133.55)</f>
        <v>1133.55</v>
      </c>
      <c r="C417" s="15">
        <f t="shared" ca="1" si="2"/>
        <v>3.9589754490381157E-3</v>
      </c>
      <c r="D417" s="14">
        <f t="shared" ca="1" si="3"/>
        <v>1063.7758000000001</v>
      </c>
      <c r="E417" s="3"/>
      <c r="F417" s="3"/>
    </row>
    <row r="418" spans="1:6" ht="14.25" x14ac:dyDescent="0.2">
      <c r="A418" s="13">
        <f ca="1">IFERROR(__xludf.DUMMYFUNCTION("""COMPUTED_VALUE"""),44441.6458333333)</f>
        <v>44441.645833333299</v>
      </c>
      <c r="B418" s="14">
        <f ca="1">IFERROR(__xludf.DUMMYFUNCTION("""COMPUTED_VALUE"""),1147.2)</f>
        <v>1147.2</v>
      </c>
      <c r="C418" s="15">
        <f t="shared" ca="1" si="2"/>
        <v>1.2041815535265288E-2</v>
      </c>
      <c r="D418" s="14">
        <f t="shared" ca="1" si="3"/>
        <v>1064.4622000000002</v>
      </c>
      <c r="E418" s="3"/>
      <c r="F418" s="3"/>
    </row>
    <row r="419" spans="1:6" ht="14.25" x14ac:dyDescent="0.2">
      <c r="A419" s="13">
        <f ca="1">IFERROR(__xludf.DUMMYFUNCTION("""COMPUTED_VALUE"""),44442.6458333333)</f>
        <v>44442.645833333299</v>
      </c>
      <c r="B419" s="14">
        <f ca="1">IFERROR(__xludf.DUMMYFUNCTION("""COMPUTED_VALUE"""),1194.25)</f>
        <v>1194.25</v>
      </c>
      <c r="C419" s="15">
        <f t="shared" ca="1" si="2"/>
        <v>4.1012900976290068E-2</v>
      </c>
      <c r="D419" s="14">
        <f t="shared" ca="1" si="3"/>
        <v>1066.2936</v>
      </c>
      <c r="E419" s="3"/>
      <c r="F419" s="3"/>
    </row>
    <row r="420" spans="1:6" ht="14.25" x14ac:dyDescent="0.2">
      <c r="A420" s="13">
        <f ca="1">IFERROR(__xludf.DUMMYFUNCTION("""COMPUTED_VALUE"""),44445.6458333333)</f>
        <v>44445.645833333299</v>
      </c>
      <c r="B420" s="14">
        <f ca="1">IFERROR(__xludf.DUMMYFUNCTION("""COMPUTED_VALUE"""),1212.8)</f>
        <v>1212.8</v>
      </c>
      <c r="C420" s="15">
        <f t="shared" ca="1" si="2"/>
        <v>1.5532761147163399E-2</v>
      </c>
      <c r="D420" s="14">
        <f t="shared" ca="1" si="3"/>
        <v>1069.0146</v>
      </c>
      <c r="E420" s="3"/>
      <c r="F420" s="3"/>
    </row>
    <row r="421" spans="1:6" ht="14.25" x14ac:dyDescent="0.2">
      <c r="A421" s="13">
        <f ca="1">IFERROR(__xludf.DUMMYFUNCTION("""COMPUTED_VALUE"""),44446.6458333333)</f>
        <v>44446.645833333299</v>
      </c>
      <c r="B421" s="14">
        <f ca="1">IFERROR(__xludf.DUMMYFUNCTION("""COMPUTED_VALUE"""),1220.45)</f>
        <v>1220.45</v>
      </c>
      <c r="C421" s="15">
        <f t="shared" ca="1" si="2"/>
        <v>6.3077176781003441E-3</v>
      </c>
      <c r="D421" s="14">
        <f t="shared" ca="1" si="3"/>
        <v>1072.3792000000001</v>
      </c>
      <c r="E421" s="3"/>
      <c r="F421" s="3"/>
    </row>
    <row r="422" spans="1:6" ht="14.25" x14ac:dyDescent="0.2">
      <c r="A422" s="13">
        <f ca="1">IFERROR(__xludf.DUMMYFUNCTION("""COMPUTED_VALUE"""),44447.6458333333)</f>
        <v>44447.645833333299</v>
      </c>
      <c r="B422" s="14">
        <f ca="1">IFERROR(__xludf.DUMMYFUNCTION("""COMPUTED_VALUE"""),1215.68)</f>
        <v>1215.68</v>
      </c>
      <c r="C422" s="15">
        <f t="shared" ca="1" si="2"/>
        <v>-3.9083944446720587E-3</v>
      </c>
      <c r="D422" s="14">
        <f t="shared" ca="1" si="3"/>
        <v>1075.8327999999999</v>
      </c>
      <c r="E422" s="3"/>
      <c r="F422" s="3"/>
    </row>
    <row r="423" spans="1:6" ht="14.25" x14ac:dyDescent="0.2">
      <c r="A423" s="13">
        <f ca="1">IFERROR(__xludf.DUMMYFUNCTION("""COMPUTED_VALUE"""),44448.6458333333)</f>
        <v>44448.645833333299</v>
      </c>
      <c r="B423" s="14">
        <f ca="1">IFERROR(__xludf.DUMMYFUNCTION("""COMPUTED_VALUE"""),1212.8)</f>
        <v>1212.8</v>
      </c>
      <c r="C423" s="15">
        <f t="shared" ca="1" si="2"/>
        <v>-2.369044485390992E-3</v>
      </c>
      <c r="D423" s="14">
        <f t="shared" ca="1" si="3"/>
        <v>1079.2108000000001</v>
      </c>
      <c r="E423" s="3"/>
      <c r="F423" s="3"/>
    </row>
    <row r="424" spans="1:6" ht="14.25" x14ac:dyDescent="0.2">
      <c r="A424" s="13">
        <f ca="1">IFERROR(__xludf.DUMMYFUNCTION("""COMPUTED_VALUE"""),44452.6458333333)</f>
        <v>44452.645833333299</v>
      </c>
      <c r="B424" s="14">
        <f ca="1">IFERROR(__xludf.DUMMYFUNCTION("""COMPUTED_VALUE"""),1185.78)</f>
        <v>1185.78</v>
      </c>
      <c r="C424" s="15">
        <f t="shared" ca="1" si="2"/>
        <v>-2.2279023746701876E-2</v>
      </c>
      <c r="D424" s="14">
        <f t="shared" ca="1" si="3"/>
        <v>1081.8198000000002</v>
      </c>
      <c r="E424" s="3"/>
      <c r="F424" s="3"/>
    </row>
    <row r="425" spans="1:6" ht="14.25" x14ac:dyDescent="0.2">
      <c r="A425" s="13">
        <f ca="1">IFERROR(__xludf.DUMMYFUNCTION("""COMPUTED_VALUE"""),44453.6458333333)</f>
        <v>44453.645833333299</v>
      </c>
      <c r="B425" s="14">
        <f ca="1">IFERROR(__xludf.DUMMYFUNCTION("""COMPUTED_VALUE"""),1184.22)</f>
        <v>1184.22</v>
      </c>
      <c r="C425" s="15">
        <f t="shared" ca="1" si="2"/>
        <v>-1.3155897383999582E-3</v>
      </c>
      <c r="D425" s="14">
        <f t="shared" ca="1" si="3"/>
        <v>1084.5248000000001</v>
      </c>
      <c r="E425" s="3"/>
      <c r="F425" s="3"/>
    </row>
    <row r="426" spans="1:6" ht="14.25" x14ac:dyDescent="0.2">
      <c r="A426" s="13">
        <f ca="1">IFERROR(__xludf.DUMMYFUNCTION("""COMPUTED_VALUE"""),44454.6458333333)</f>
        <v>44454.645833333299</v>
      </c>
      <c r="B426" s="14">
        <f ca="1">IFERROR(__xludf.DUMMYFUNCTION("""COMPUTED_VALUE"""),1189.15)</f>
        <v>1189.1500000000001</v>
      </c>
      <c r="C426" s="15">
        <f t="shared" ca="1" si="2"/>
        <v>4.1630778064887242E-3</v>
      </c>
      <c r="D426" s="14">
        <f t="shared" ca="1" si="3"/>
        <v>1087.0172000000002</v>
      </c>
      <c r="E426" s="3"/>
      <c r="F426" s="3"/>
    </row>
    <row r="427" spans="1:6" ht="14.25" x14ac:dyDescent="0.2">
      <c r="A427" s="13">
        <f ca="1">IFERROR(__xludf.DUMMYFUNCTION("""COMPUTED_VALUE"""),44455.6458333333)</f>
        <v>44455.645833333299</v>
      </c>
      <c r="B427" s="14">
        <f ca="1">IFERROR(__xludf.DUMMYFUNCTION("""COMPUTED_VALUE"""),1214.1)</f>
        <v>1214.0999999999999</v>
      </c>
      <c r="C427" s="15">
        <f t="shared" ca="1" si="2"/>
        <v>2.0981373249800095E-2</v>
      </c>
      <c r="D427" s="14">
        <f t="shared" ca="1" si="3"/>
        <v>1089.7972000000002</v>
      </c>
      <c r="E427" s="3"/>
      <c r="F427" s="3"/>
    </row>
    <row r="428" spans="1:6" ht="14.25" x14ac:dyDescent="0.2">
      <c r="A428" s="13">
        <f ca="1">IFERROR(__xludf.DUMMYFUNCTION("""COMPUTED_VALUE"""),44456.6458333333)</f>
        <v>44456.645833333299</v>
      </c>
      <c r="B428" s="14">
        <f ca="1">IFERROR(__xludf.DUMMYFUNCTION("""COMPUTED_VALUE"""),1195.28)</f>
        <v>1195.28</v>
      </c>
      <c r="C428" s="15">
        <f t="shared" ca="1" si="2"/>
        <v>-1.5501194300304721E-2</v>
      </c>
      <c r="D428" s="14">
        <f t="shared" ca="1" si="3"/>
        <v>1092.4548000000002</v>
      </c>
      <c r="E428" s="3"/>
      <c r="F428" s="3"/>
    </row>
    <row r="429" spans="1:6" ht="14.25" x14ac:dyDescent="0.2">
      <c r="A429" s="13">
        <f ca="1">IFERROR(__xludf.DUMMYFUNCTION("""COMPUTED_VALUE"""),44459.6458333333)</f>
        <v>44459.645833333299</v>
      </c>
      <c r="B429" s="14">
        <f ca="1">IFERROR(__xludf.DUMMYFUNCTION("""COMPUTED_VALUE"""),1197.18)</f>
        <v>1197.18</v>
      </c>
      <c r="C429" s="15">
        <f t="shared" ca="1" si="2"/>
        <v>1.5895857037682148E-3</v>
      </c>
      <c r="D429" s="14">
        <f t="shared" ca="1" si="3"/>
        <v>1095.2978000000003</v>
      </c>
      <c r="E429" s="3"/>
      <c r="F429" s="3"/>
    </row>
    <row r="430" spans="1:6" ht="14.25" x14ac:dyDescent="0.2">
      <c r="A430" s="13">
        <f ca="1">IFERROR(__xludf.DUMMYFUNCTION("""COMPUTED_VALUE"""),44460.6458333333)</f>
        <v>44460.645833333299</v>
      </c>
      <c r="B430" s="14">
        <f ca="1">IFERROR(__xludf.DUMMYFUNCTION("""COMPUTED_VALUE"""),1202.35)</f>
        <v>1202.3499999999999</v>
      </c>
      <c r="C430" s="15">
        <f t="shared" ca="1" si="2"/>
        <v>4.3184817654819962E-3</v>
      </c>
      <c r="D430" s="14">
        <f t="shared" ca="1" si="3"/>
        <v>1098.4188000000001</v>
      </c>
      <c r="E430" s="3"/>
      <c r="F430" s="3"/>
    </row>
    <row r="431" spans="1:6" ht="14.25" x14ac:dyDescent="0.2">
      <c r="A431" s="13">
        <f ca="1">IFERROR(__xludf.DUMMYFUNCTION("""COMPUTED_VALUE"""),44461.6458333333)</f>
        <v>44461.645833333299</v>
      </c>
      <c r="B431" s="14">
        <f ca="1">IFERROR(__xludf.DUMMYFUNCTION("""COMPUTED_VALUE"""),1215.25)</f>
        <v>1215.25</v>
      </c>
      <c r="C431" s="15">
        <f t="shared" ca="1" si="2"/>
        <v>1.0728989063084837E-2</v>
      </c>
      <c r="D431" s="14">
        <f t="shared" ca="1" si="3"/>
        <v>1102.0118</v>
      </c>
      <c r="E431" s="3"/>
      <c r="F431" s="3"/>
    </row>
    <row r="432" spans="1:6" ht="14.25" x14ac:dyDescent="0.2">
      <c r="A432" s="13">
        <f ca="1">IFERROR(__xludf.DUMMYFUNCTION("""COMPUTED_VALUE"""),44462.6458333333)</f>
        <v>44462.645833333299</v>
      </c>
      <c r="B432" s="14">
        <f ca="1">IFERROR(__xludf.DUMMYFUNCTION("""COMPUTED_VALUE"""),1244.95)</f>
        <v>1244.95</v>
      </c>
      <c r="C432" s="15">
        <f t="shared" ca="1" si="2"/>
        <v>2.4439415758074512E-2</v>
      </c>
      <c r="D432" s="14">
        <f t="shared" ca="1" si="3"/>
        <v>1106.0698</v>
      </c>
      <c r="E432" s="3"/>
      <c r="F432" s="3"/>
    </row>
    <row r="433" spans="1:6" ht="14.25" x14ac:dyDescent="0.2">
      <c r="A433" s="13">
        <f ca="1">IFERROR(__xludf.DUMMYFUNCTION("""COMPUTED_VALUE"""),44463.6458333333)</f>
        <v>44463.645833333299</v>
      </c>
      <c r="B433" s="14">
        <f ca="1">IFERROR(__xludf.DUMMYFUNCTION("""COMPUTED_VALUE"""),1241.35)</f>
        <v>1241.3499999999999</v>
      </c>
      <c r="C433" s="15">
        <f t="shared" ca="1" si="2"/>
        <v>-2.8916823968835326E-3</v>
      </c>
      <c r="D433" s="14">
        <f t="shared" ca="1" si="3"/>
        <v>1109.8997999999999</v>
      </c>
      <c r="E433" s="3"/>
      <c r="F433" s="3"/>
    </row>
    <row r="434" spans="1:6" ht="14.25" x14ac:dyDescent="0.2">
      <c r="A434" s="13">
        <f ca="1">IFERROR(__xludf.DUMMYFUNCTION("""COMPUTED_VALUE"""),44466.6458333333)</f>
        <v>44466.645833333299</v>
      </c>
      <c r="B434" s="14">
        <f ca="1">IFERROR(__xludf.DUMMYFUNCTION("""COMPUTED_VALUE"""),1262.22)</f>
        <v>1262.22</v>
      </c>
      <c r="C434" s="15">
        <f t="shared" ca="1" si="2"/>
        <v>1.6812341402505426E-2</v>
      </c>
      <c r="D434" s="14">
        <f t="shared" ca="1" si="3"/>
        <v>1114.2842000000001</v>
      </c>
      <c r="E434" s="3"/>
      <c r="F434" s="3"/>
    </row>
    <row r="435" spans="1:6" ht="14.25" x14ac:dyDescent="0.2">
      <c r="A435" s="13">
        <f ca="1">IFERROR(__xludf.DUMMYFUNCTION("""COMPUTED_VALUE"""),44467.6458333333)</f>
        <v>44467.645833333299</v>
      </c>
      <c r="B435" s="14">
        <f ca="1">IFERROR(__xludf.DUMMYFUNCTION("""COMPUTED_VALUE"""),1274.03)</f>
        <v>1274.03</v>
      </c>
      <c r="C435" s="15">
        <f t="shared" ca="1" si="2"/>
        <v>9.3565305572720359E-3</v>
      </c>
      <c r="D435" s="14">
        <f t="shared" ca="1" si="3"/>
        <v>1118.9412000000002</v>
      </c>
      <c r="E435" s="3"/>
      <c r="F435" s="3"/>
    </row>
    <row r="436" spans="1:6" ht="14.25" x14ac:dyDescent="0.2">
      <c r="A436" s="13">
        <f ca="1">IFERROR(__xludf.DUMMYFUNCTION("""COMPUTED_VALUE"""),44468.6458333333)</f>
        <v>44468.645833333299</v>
      </c>
      <c r="B436" s="14">
        <f ca="1">IFERROR(__xludf.DUMMYFUNCTION("""COMPUTED_VALUE"""),1263.93)</f>
        <v>1263.93</v>
      </c>
      <c r="C436" s="15">
        <f t="shared" ca="1" si="2"/>
        <v>-7.9275998210402987E-3</v>
      </c>
      <c r="D436" s="14">
        <f t="shared" ca="1" si="3"/>
        <v>1123.0958000000001</v>
      </c>
      <c r="E436" s="3"/>
      <c r="F436" s="3"/>
    </row>
    <row r="437" spans="1:6" ht="14.25" x14ac:dyDescent="0.2">
      <c r="A437" s="13">
        <f ca="1">IFERROR(__xludf.DUMMYFUNCTION("""COMPUTED_VALUE"""),44469.6458333333)</f>
        <v>44469.645833333299</v>
      </c>
      <c r="B437" s="14">
        <f ca="1">IFERROR(__xludf.DUMMYFUNCTION("""COMPUTED_VALUE"""),1259.63)</f>
        <v>1259.6300000000001</v>
      </c>
      <c r="C437" s="15">
        <f t="shared" ca="1" si="2"/>
        <v>-3.4020871409017328E-3</v>
      </c>
      <c r="D437" s="14">
        <f t="shared" ca="1" si="3"/>
        <v>1127.299</v>
      </c>
      <c r="E437" s="3"/>
      <c r="F437" s="3"/>
    </row>
    <row r="438" spans="1:6" ht="14.25" x14ac:dyDescent="0.2">
      <c r="A438" s="13">
        <f ca="1">IFERROR(__xludf.DUMMYFUNCTION("""COMPUTED_VALUE"""),44470.6458333333)</f>
        <v>44470.645833333299</v>
      </c>
      <c r="B438" s="14">
        <f ca="1">IFERROR(__xludf.DUMMYFUNCTION("""COMPUTED_VALUE"""),1261.85)</f>
        <v>1261.8499999999999</v>
      </c>
      <c r="C438" s="15">
        <f t="shared" ca="1" si="2"/>
        <v>1.7624222986112326E-3</v>
      </c>
      <c r="D438" s="14">
        <f t="shared" ca="1" si="3"/>
        <v>1131.598</v>
      </c>
      <c r="E438" s="3"/>
      <c r="F438" s="3"/>
    </row>
    <row r="439" spans="1:6" ht="14.25" x14ac:dyDescent="0.2">
      <c r="A439" s="13">
        <f ca="1">IFERROR(__xludf.DUMMYFUNCTION("""COMPUTED_VALUE"""),44473.6458333333)</f>
        <v>44473.645833333299</v>
      </c>
      <c r="B439" s="14">
        <f ca="1">IFERROR(__xludf.DUMMYFUNCTION("""COMPUTED_VALUE"""),1278.08)</f>
        <v>1278.08</v>
      </c>
      <c r="C439" s="15">
        <f t="shared" ca="1" si="2"/>
        <v>1.2862067599159976E-2</v>
      </c>
      <c r="D439" s="14">
        <f t="shared" ca="1" si="3"/>
        <v>1135.9525999999998</v>
      </c>
      <c r="E439" s="3"/>
      <c r="F439" s="3"/>
    </row>
    <row r="440" spans="1:6" ht="14.25" x14ac:dyDescent="0.2">
      <c r="A440" s="13">
        <f ca="1">IFERROR(__xludf.DUMMYFUNCTION("""COMPUTED_VALUE"""),44474.6458333333)</f>
        <v>44474.645833333299</v>
      </c>
      <c r="B440" s="14">
        <f ca="1">IFERROR(__xludf.DUMMYFUNCTION("""COMPUTED_VALUE"""),1304.6)</f>
        <v>1304.5999999999999</v>
      </c>
      <c r="C440" s="15">
        <f t="shared" ca="1" si="2"/>
        <v>2.074987481221835E-2</v>
      </c>
      <c r="D440" s="14">
        <f t="shared" ca="1" si="3"/>
        <v>1140.9875999999999</v>
      </c>
      <c r="E440" s="3"/>
      <c r="F440" s="3"/>
    </row>
    <row r="441" spans="1:6" ht="14.25" x14ac:dyDescent="0.2">
      <c r="A441" s="13">
        <f ca="1">IFERROR(__xludf.DUMMYFUNCTION("""COMPUTED_VALUE"""),44475.6458333333)</f>
        <v>44475.645833333299</v>
      </c>
      <c r="B441" s="14">
        <f ca="1">IFERROR(__xludf.DUMMYFUNCTION("""COMPUTED_VALUE"""),1279.93)</f>
        <v>1279.93</v>
      </c>
      <c r="C441" s="15">
        <f t="shared" ca="1" si="2"/>
        <v>-1.8910010731258531E-2</v>
      </c>
      <c r="D441" s="14">
        <f t="shared" ca="1" si="3"/>
        <v>1145.8175999999999</v>
      </c>
      <c r="E441" s="3"/>
      <c r="F441" s="3"/>
    </row>
    <row r="442" spans="1:6" ht="14.25" x14ac:dyDescent="0.2">
      <c r="A442" s="13">
        <f ca="1">IFERROR(__xludf.DUMMYFUNCTION("""COMPUTED_VALUE"""),44476.6458333333)</f>
        <v>44476.645833333299</v>
      </c>
      <c r="B442" s="14">
        <f ca="1">IFERROR(__xludf.DUMMYFUNCTION("""COMPUTED_VALUE"""),1286.2)</f>
        <v>1286.2</v>
      </c>
      <c r="C442" s="15">
        <f t="shared" ca="1" si="2"/>
        <v>4.8987053979514528E-3</v>
      </c>
      <c r="D442" s="14">
        <f t="shared" ca="1" si="3"/>
        <v>1150.9915999999998</v>
      </c>
      <c r="E442" s="3"/>
      <c r="F442" s="3"/>
    </row>
    <row r="443" spans="1:6" ht="14.25" x14ac:dyDescent="0.2">
      <c r="A443" s="13">
        <f ca="1">IFERROR(__xludf.DUMMYFUNCTION("""COMPUTED_VALUE"""),44477.6458333333)</f>
        <v>44477.645833333299</v>
      </c>
      <c r="B443" s="14">
        <f ca="1">IFERROR(__xludf.DUMMYFUNCTION("""COMPUTED_VALUE"""),1335.63)</f>
        <v>1335.63</v>
      </c>
      <c r="C443" s="15">
        <f t="shared" ca="1" si="2"/>
        <v>3.8431037163738191E-2</v>
      </c>
      <c r="D443" s="14">
        <f t="shared" ca="1" si="3"/>
        <v>1157.3305999999998</v>
      </c>
      <c r="E443" s="3"/>
      <c r="F443" s="3"/>
    </row>
    <row r="444" spans="1:6" ht="14.25" x14ac:dyDescent="0.2">
      <c r="A444" s="13">
        <f ca="1">IFERROR(__xludf.DUMMYFUNCTION("""COMPUTED_VALUE"""),44480.6458333333)</f>
        <v>44480.645833333299</v>
      </c>
      <c r="B444" s="14">
        <f ca="1">IFERROR(__xludf.DUMMYFUNCTION("""COMPUTED_VALUE"""),1326.33)</f>
        <v>1326.33</v>
      </c>
      <c r="C444" s="15">
        <f t="shared" ca="1" si="2"/>
        <v>-6.9630062217831412E-3</v>
      </c>
      <c r="D444" s="14">
        <f t="shared" ca="1" si="3"/>
        <v>1163.3245999999997</v>
      </c>
      <c r="E444" s="3"/>
      <c r="F444" s="3"/>
    </row>
    <row r="445" spans="1:6" ht="14.25" x14ac:dyDescent="0.2">
      <c r="A445" s="13">
        <f ca="1">IFERROR(__xludf.DUMMYFUNCTION("""COMPUTED_VALUE"""),44481.6458333333)</f>
        <v>44481.645833333299</v>
      </c>
      <c r="B445" s="14">
        <f ca="1">IFERROR(__xludf.DUMMYFUNCTION("""COMPUTED_VALUE"""),1333.9)</f>
        <v>1333.9</v>
      </c>
      <c r="C445" s="15">
        <f t="shared" ca="1" si="2"/>
        <v>5.7074785309840781E-3</v>
      </c>
      <c r="D445" s="14">
        <f t="shared" ca="1" si="3"/>
        <v>1169.6495999999997</v>
      </c>
      <c r="E445" s="3"/>
      <c r="F445" s="3"/>
    </row>
    <row r="446" spans="1:6" ht="14.25" x14ac:dyDescent="0.2">
      <c r="A446" s="13">
        <f ca="1">IFERROR(__xludf.DUMMYFUNCTION("""COMPUTED_VALUE"""),44482.6458333333)</f>
        <v>44482.645833333299</v>
      </c>
      <c r="B446" s="14">
        <f ca="1">IFERROR(__xludf.DUMMYFUNCTION("""COMPUTED_VALUE"""),1347.48)</f>
        <v>1347.48</v>
      </c>
      <c r="C446" s="15">
        <f t="shared" ca="1" si="2"/>
        <v>1.0180673213884051E-2</v>
      </c>
      <c r="D446" s="14">
        <f t="shared" ca="1" si="3"/>
        <v>1175.8741999999997</v>
      </c>
      <c r="E446" s="3"/>
      <c r="F446" s="3"/>
    </row>
    <row r="447" spans="1:6" ht="14.25" x14ac:dyDescent="0.2">
      <c r="A447" s="13">
        <f ca="1">IFERROR(__xludf.DUMMYFUNCTION("""COMPUTED_VALUE"""),44483.6458333333)</f>
        <v>44483.645833333299</v>
      </c>
      <c r="B447" s="14">
        <f ca="1">IFERROR(__xludf.DUMMYFUNCTION("""COMPUTED_VALUE"""),1350.2)</f>
        <v>1350.2</v>
      </c>
      <c r="C447" s="15">
        <f t="shared" ca="1" si="2"/>
        <v>2.0185828361090064E-3</v>
      </c>
      <c r="D447" s="14">
        <f t="shared" ca="1" si="3"/>
        <v>1182.0005999999998</v>
      </c>
      <c r="E447" s="3"/>
      <c r="F447" s="3"/>
    </row>
    <row r="448" spans="1:6" ht="14.25" x14ac:dyDescent="0.2">
      <c r="A448" s="13">
        <f ca="1">IFERROR(__xludf.DUMMYFUNCTION("""COMPUTED_VALUE"""),44487.6458333333)</f>
        <v>44487.645833333299</v>
      </c>
      <c r="B448" s="14">
        <f ca="1">IFERROR(__xludf.DUMMYFUNCTION("""COMPUTED_VALUE"""),1353.8)</f>
        <v>1353.8</v>
      </c>
      <c r="C448" s="15">
        <f t="shared" ca="1" si="2"/>
        <v>2.6662716634571204E-3</v>
      </c>
      <c r="D448" s="14">
        <f t="shared" ca="1" si="3"/>
        <v>1188.039</v>
      </c>
      <c r="E448" s="3"/>
      <c r="F448" s="3"/>
    </row>
    <row r="449" spans="1:6" ht="14.25" x14ac:dyDescent="0.2">
      <c r="A449" s="13">
        <f ca="1">IFERROR(__xludf.DUMMYFUNCTION("""COMPUTED_VALUE"""),44488.6458333333)</f>
        <v>44488.645833333299</v>
      </c>
      <c r="B449" s="14">
        <f ca="1">IFERROR(__xludf.DUMMYFUNCTION("""COMPUTED_VALUE"""),1365.93)</f>
        <v>1365.93</v>
      </c>
      <c r="C449" s="15">
        <f t="shared" ca="1" si="2"/>
        <v>8.9599645442459686E-3</v>
      </c>
      <c r="D449" s="14">
        <f t="shared" ca="1" si="3"/>
        <v>1194.0149999999996</v>
      </c>
      <c r="E449" s="3"/>
      <c r="F449" s="3"/>
    </row>
    <row r="450" spans="1:6" ht="14.25" x14ac:dyDescent="0.2">
      <c r="A450" s="13">
        <f ca="1">IFERROR(__xludf.DUMMYFUNCTION("""COMPUTED_VALUE"""),44489.6458333333)</f>
        <v>44489.645833333299</v>
      </c>
      <c r="B450" s="14">
        <f ca="1">IFERROR(__xludf.DUMMYFUNCTION("""COMPUTED_VALUE"""),1350.2)</f>
        <v>1350.2</v>
      </c>
      <c r="C450" s="15">
        <f t="shared" ca="1" si="2"/>
        <v>-1.1515963482755298E-2</v>
      </c>
      <c r="D450" s="14">
        <f t="shared" ca="1" si="3"/>
        <v>1200.1283999999996</v>
      </c>
      <c r="E450" s="3"/>
      <c r="F450" s="3"/>
    </row>
    <row r="451" spans="1:6" ht="14.25" x14ac:dyDescent="0.2">
      <c r="A451" s="13">
        <f ca="1">IFERROR(__xludf.DUMMYFUNCTION("""COMPUTED_VALUE"""),44490.6458333333)</f>
        <v>44490.645833333299</v>
      </c>
      <c r="B451" s="14">
        <f ca="1">IFERROR(__xludf.DUMMYFUNCTION("""COMPUTED_VALUE"""),1311.25)</f>
        <v>1311.25</v>
      </c>
      <c r="C451" s="15">
        <f t="shared" ca="1" si="2"/>
        <v>-2.8847578136572349E-2</v>
      </c>
      <c r="D451" s="14">
        <f t="shared" ca="1" si="3"/>
        <v>1205.5817999999997</v>
      </c>
      <c r="E451" s="3"/>
      <c r="F451" s="3"/>
    </row>
    <row r="452" spans="1:6" ht="14.25" x14ac:dyDescent="0.2">
      <c r="A452" s="13">
        <f ca="1">IFERROR(__xludf.DUMMYFUNCTION("""COMPUTED_VALUE"""),44491.6458333333)</f>
        <v>44491.645833333299</v>
      </c>
      <c r="B452" s="14">
        <f ca="1">IFERROR(__xludf.DUMMYFUNCTION("""COMPUTED_VALUE"""),1313.7)</f>
        <v>1313.7</v>
      </c>
      <c r="C452" s="15">
        <f t="shared" ca="1" si="2"/>
        <v>1.8684461391802465E-3</v>
      </c>
      <c r="D452" s="14">
        <f t="shared" ca="1" si="3"/>
        <v>1210.9751999999999</v>
      </c>
      <c r="E452" s="3"/>
      <c r="F452" s="3"/>
    </row>
    <row r="453" spans="1:6" ht="14.25" x14ac:dyDescent="0.2">
      <c r="A453" s="13">
        <f ca="1">IFERROR(__xludf.DUMMYFUNCTION("""COMPUTED_VALUE"""),44494.6458333333)</f>
        <v>44494.645833333299</v>
      </c>
      <c r="B453" s="14">
        <f ca="1">IFERROR(__xludf.DUMMYFUNCTION("""COMPUTED_VALUE"""),1300.9)</f>
        <v>1300.9000000000001</v>
      </c>
      <c r="C453" s="15">
        <f t="shared" ca="1" si="2"/>
        <v>-9.7434726345436706E-3</v>
      </c>
      <c r="D453" s="14">
        <f t="shared" ca="1" si="3"/>
        <v>1215.8201999999997</v>
      </c>
      <c r="E453" s="3"/>
      <c r="F453" s="3"/>
    </row>
    <row r="454" spans="1:6" ht="14.25" x14ac:dyDescent="0.2">
      <c r="A454" s="13">
        <f ca="1">IFERROR(__xludf.DUMMYFUNCTION("""COMPUTED_VALUE"""),44495.6458333333)</f>
        <v>44495.645833333299</v>
      </c>
      <c r="B454" s="14">
        <f ca="1">IFERROR(__xludf.DUMMYFUNCTION("""COMPUTED_VALUE"""),1330.53)</f>
        <v>1330.53</v>
      </c>
      <c r="C454" s="15">
        <f t="shared" ca="1" si="2"/>
        <v>2.2776539318932976E-2</v>
      </c>
      <c r="D454" s="14">
        <f t="shared" ca="1" si="3"/>
        <v>1221.3257999999996</v>
      </c>
      <c r="E454" s="3"/>
      <c r="F454" s="3"/>
    </row>
    <row r="455" spans="1:6" ht="14.25" x14ac:dyDescent="0.2">
      <c r="A455" s="13">
        <f ca="1">IFERROR(__xludf.DUMMYFUNCTION("""COMPUTED_VALUE"""),44496.6458333333)</f>
        <v>44496.645833333299</v>
      </c>
      <c r="B455" s="14">
        <f ca="1">IFERROR(__xludf.DUMMYFUNCTION("""COMPUTED_VALUE"""),1313.7)</f>
        <v>1313.7</v>
      </c>
      <c r="C455" s="15">
        <f t="shared" ca="1" si="2"/>
        <v>-1.264909472165221E-2</v>
      </c>
      <c r="D455" s="14">
        <f t="shared" ca="1" si="3"/>
        <v>1226.1431999999998</v>
      </c>
      <c r="E455" s="3"/>
      <c r="F455" s="3"/>
    </row>
    <row r="456" spans="1:6" ht="14.25" x14ac:dyDescent="0.2">
      <c r="A456" s="13">
        <f ca="1">IFERROR(__xludf.DUMMYFUNCTION("""COMPUTED_VALUE"""),44497.6458333333)</f>
        <v>44497.645833333299</v>
      </c>
      <c r="B456" s="14">
        <f ca="1">IFERROR(__xludf.DUMMYFUNCTION("""COMPUTED_VALUE"""),1299.3)</f>
        <v>1299.3</v>
      </c>
      <c r="C456" s="15">
        <f t="shared" ca="1" si="2"/>
        <v>-1.0961406713861699E-2</v>
      </c>
      <c r="D456" s="14">
        <f t="shared" ca="1" si="3"/>
        <v>1230.3941999999997</v>
      </c>
      <c r="E456" s="3"/>
      <c r="F456" s="3"/>
    </row>
    <row r="457" spans="1:6" ht="14.25" x14ac:dyDescent="0.2">
      <c r="A457" s="13">
        <f ca="1">IFERROR(__xludf.DUMMYFUNCTION("""COMPUTED_VALUE"""),44498.6458333333)</f>
        <v>44498.645833333299</v>
      </c>
      <c r="B457" s="14">
        <f ca="1">IFERROR(__xludf.DUMMYFUNCTION("""COMPUTED_VALUE"""),1268.13)</f>
        <v>1268.1300000000001</v>
      </c>
      <c r="C457" s="15">
        <f t="shared" ca="1" si="2"/>
        <v>-2.3989840683444785E-2</v>
      </c>
      <c r="D457" s="14">
        <f t="shared" ca="1" si="3"/>
        <v>1234.1141999999998</v>
      </c>
      <c r="E457" s="3"/>
      <c r="F457" s="3"/>
    </row>
    <row r="458" spans="1:6" ht="14.25" x14ac:dyDescent="0.2">
      <c r="A458" s="13">
        <f ca="1">IFERROR(__xludf.DUMMYFUNCTION("""COMPUTED_VALUE"""),44501.6458333333)</f>
        <v>44501.645833333299</v>
      </c>
      <c r="B458" s="14">
        <f ca="1">IFERROR(__xludf.DUMMYFUNCTION("""COMPUTED_VALUE"""),1268.9)</f>
        <v>1268.9000000000001</v>
      </c>
      <c r="C458" s="15">
        <f t="shared" ca="1" si="2"/>
        <v>6.0719326882896496E-4</v>
      </c>
      <c r="D458" s="14">
        <f t="shared" ca="1" si="3"/>
        <v>1237.7655999999997</v>
      </c>
      <c r="E458" s="3"/>
      <c r="F458" s="3"/>
    </row>
    <row r="459" spans="1:6" ht="14.25" x14ac:dyDescent="0.2">
      <c r="A459" s="13">
        <f ca="1">IFERROR(__xludf.DUMMYFUNCTION("""COMPUTED_VALUE"""),44502.6458333333)</f>
        <v>44502.645833333299</v>
      </c>
      <c r="B459" s="14">
        <f ca="1">IFERROR(__xludf.DUMMYFUNCTION("""COMPUTED_VALUE"""),1250.4)</f>
        <v>1250.4000000000001</v>
      </c>
      <c r="C459" s="15">
        <f t="shared" ca="1" si="2"/>
        <v>-1.4579557096697893E-2</v>
      </c>
      <c r="D459" s="14">
        <f t="shared" ca="1" si="3"/>
        <v>1241.2909999999999</v>
      </c>
      <c r="E459" s="3"/>
      <c r="F459" s="3"/>
    </row>
    <row r="460" spans="1:6" ht="14.25" x14ac:dyDescent="0.2">
      <c r="A460" s="13">
        <f ca="1">IFERROR(__xludf.DUMMYFUNCTION("""COMPUTED_VALUE"""),44503.6458333333)</f>
        <v>44503.645833333299</v>
      </c>
      <c r="B460" s="14">
        <f ca="1">IFERROR(__xludf.DUMMYFUNCTION("""COMPUTED_VALUE"""),1241.8)</f>
        <v>1241.8</v>
      </c>
      <c r="C460" s="15">
        <f t="shared" ca="1" si="2"/>
        <v>-6.8777991042867637E-3</v>
      </c>
      <c r="D460" s="14">
        <f t="shared" ca="1" si="3"/>
        <v>1244.5034000000001</v>
      </c>
      <c r="E460" s="3"/>
      <c r="F460" s="3"/>
    </row>
    <row r="461" spans="1:6" ht="14.25" x14ac:dyDescent="0.2">
      <c r="A461" s="13">
        <f ca="1">IFERROR(__xludf.DUMMYFUNCTION("""COMPUTED_VALUE"""),44504.8020833333)</f>
        <v>44504.802083333299</v>
      </c>
      <c r="B461" s="14">
        <f ca="1">IFERROR(__xludf.DUMMYFUNCTION("""COMPUTED_VALUE"""),1249.43)</f>
        <v>1249.43</v>
      </c>
      <c r="C461" s="15">
        <f t="shared" ca="1" si="2"/>
        <v>6.144306651634901E-3</v>
      </c>
      <c r="D461" s="14">
        <f t="shared" ca="1" si="3"/>
        <v>1247.6549999999997</v>
      </c>
      <c r="E461" s="3"/>
      <c r="F461" s="3"/>
    </row>
    <row r="462" spans="1:6" ht="14.25" x14ac:dyDescent="0.2">
      <c r="A462" s="13">
        <f ca="1">IFERROR(__xludf.DUMMYFUNCTION("""COMPUTED_VALUE"""),44508.6458333333)</f>
        <v>44508.645833333299</v>
      </c>
      <c r="B462" s="14">
        <f ca="1">IFERROR(__xludf.DUMMYFUNCTION("""COMPUTED_VALUE"""),1250.97)</f>
        <v>1250.97</v>
      </c>
      <c r="C462" s="15">
        <f t="shared" ca="1" si="2"/>
        <v>1.232562048294028E-3</v>
      </c>
      <c r="D462" s="14">
        <f t="shared" ca="1" si="3"/>
        <v>1250.6484</v>
      </c>
      <c r="E462" s="3"/>
      <c r="F462" s="3"/>
    </row>
    <row r="463" spans="1:6" ht="14.25" x14ac:dyDescent="0.2">
      <c r="A463" s="13">
        <f ca="1">IFERROR(__xludf.DUMMYFUNCTION("""COMPUTED_VALUE"""),44509.6458333333)</f>
        <v>44509.645833333299</v>
      </c>
      <c r="B463" s="14">
        <f ca="1">IFERROR(__xludf.DUMMYFUNCTION("""COMPUTED_VALUE"""),1260.85)</f>
        <v>1260.8499999999999</v>
      </c>
      <c r="C463" s="15">
        <f t="shared" ca="1" si="2"/>
        <v>7.8978712519084393E-3</v>
      </c>
      <c r="D463" s="14">
        <f t="shared" ca="1" si="3"/>
        <v>1253.5609999999999</v>
      </c>
      <c r="E463" s="3"/>
      <c r="F463" s="3"/>
    </row>
    <row r="464" spans="1:6" ht="14.25" x14ac:dyDescent="0.2">
      <c r="A464" s="13">
        <f ca="1">IFERROR(__xludf.DUMMYFUNCTION("""COMPUTED_VALUE"""),44510.6458333333)</f>
        <v>44510.645833333299</v>
      </c>
      <c r="B464" s="14">
        <f ca="1">IFERROR(__xludf.DUMMYFUNCTION("""COMPUTED_VALUE"""),1274.95)</f>
        <v>1274.95</v>
      </c>
      <c r="C464" s="15">
        <f t="shared" ca="1" si="2"/>
        <v>1.1182932148947167E-2</v>
      </c>
      <c r="D464" s="14">
        <f t="shared" ca="1" si="3"/>
        <v>1256.7859999999998</v>
      </c>
      <c r="E464" s="3"/>
      <c r="F464" s="3"/>
    </row>
    <row r="465" spans="1:6" ht="14.25" x14ac:dyDescent="0.2">
      <c r="A465" s="13">
        <f ca="1">IFERROR(__xludf.DUMMYFUNCTION("""COMPUTED_VALUE"""),44511.6458333333)</f>
        <v>44511.645833333299</v>
      </c>
      <c r="B465" s="14">
        <f ca="1">IFERROR(__xludf.DUMMYFUNCTION("""COMPUTED_VALUE"""),1277.28)</f>
        <v>1277.28</v>
      </c>
      <c r="C465" s="15">
        <f t="shared" ca="1" si="2"/>
        <v>1.8275226479469442E-3</v>
      </c>
      <c r="D465" s="14">
        <f t="shared" ca="1" si="3"/>
        <v>1259.6289999999999</v>
      </c>
      <c r="E465" s="3"/>
      <c r="F465" s="3"/>
    </row>
    <row r="466" spans="1:6" ht="14.25" x14ac:dyDescent="0.2">
      <c r="A466" s="13">
        <f ca="1">IFERROR(__xludf.DUMMYFUNCTION("""COMPUTED_VALUE"""),44512.6458333333)</f>
        <v>44512.645833333299</v>
      </c>
      <c r="B466" s="14">
        <f ca="1">IFERROR(__xludf.DUMMYFUNCTION("""COMPUTED_VALUE"""),1296.55)</f>
        <v>1296.55</v>
      </c>
      <c r="C466" s="15">
        <f t="shared" ca="1" si="2"/>
        <v>1.5086746837028597E-2</v>
      </c>
      <c r="D466" s="14">
        <f t="shared" ca="1" si="3"/>
        <v>1262.9784000000002</v>
      </c>
      <c r="E466" s="3"/>
      <c r="F466" s="3"/>
    </row>
    <row r="467" spans="1:6" ht="14.25" x14ac:dyDescent="0.2">
      <c r="A467" s="13">
        <f ca="1">IFERROR(__xludf.DUMMYFUNCTION("""COMPUTED_VALUE"""),44515.6458333333)</f>
        <v>44515.645833333299</v>
      </c>
      <c r="B467" s="14">
        <f ca="1">IFERROR(__xludf.DUMMYFUNCTION("""COMPUTED_VALUE"""),1288.9)</f>
        <v>1288.9000000000001</v>
      </c>
      <c r="C467" s="15">
        <f t="shared" ca="1" si="2"/>
        <v>-5.9002738035555113E-3</v>
      </c>
      <c r="D467" s="14">
        <f t="shared" ca="1" si="3"/>
        <v>1266.0854000000002</v>
      </c>
      <c r="E467" s="3"/>
      <c r="F467" s="3"/>
    </row>
    <row r="468" spans="1:6" ht="14.25" x14ac:dyDescent="0.2">
      <c r="A468" s="13">
        <f ca="1">IFERROR(__xludf.DUMMYFUNCTION("""COMPUTED_VALUE"""),44516.6458333333)</f>
        <v>44516.645833333299</v>
      </c>
      <c r="B468" s="14">
        <f ca="1">IFERROR(__xludf.DUMMYFUNCTION("""COMPUTED_VALUE"""),1258.95)</f>
        <v>1258.95</v>
      </c>
      <c r="C468" s="15">
        <f t="shared" ca="1" si="2"/>
        <v>-2.323686864768415E-2</v>
      </c>
      <c r="D468" s="14">
        <f t="shared" ca="1" si="3"/>
        <v>1268.3204000000001</v>
      </c>
      <c r="E468" s="3"/>
      <c r="F468" s="3"/>
    </row>
    <row r="469" spans="1:6" ht="14.25" x14ac:dyDescent="0.2">
      <c r="A469" s="13">
        <f ca="1">IFERROR(__xludf.DUMMYFUNCTION("""COMPUTED_VALUE"""),44517.6458333333)</f>
        <v>44517.645833333299</v>
      </c>
      <c r="B469" s="14">
        <f ca="1">IFERROR(__xludf.DUMMYFUNCTION("""COMPUTED_VALUE"""),1232)</f>
        <v>1232</v>
      </c>
      <c r="C469" s="15">
        <f t="shared" ca="1" si="2"/>
        <v>-2.1406727828746197E-2</v>
      </c>
      <c r="D469" s="14">
        <f t="shared" ca="1" si="3"/>
        <v>1269.0754000000002</v>
      </c>
      <c r="E469" s="3"/>
      <c r="F469" s="3"/>
    </row>
    <row r="470" spans="1:6" ht="14.25" x14ac:dyDescent="0.2">
      <c r="A470" s="13">
        <f ca="1">IFERROR(__xludf.DUMMYFUNCTION("""COMPUTED_VALUE"""),44518.6458333333)</f>
        <v>44518.645833333299</v>
      </c>
      <c r="B470" s="14">
        <f ca="1">IFERROR(__xludf.DUMMYFUNCTION("""COMPUTED_VALUE"""),1236.65)</f>
        <v>1236.6500000000001</v>
      </c>
      <c r="C470" s="15">
        <f t="shared" ca="1" si="2"/>
        <v>3.7743506493508328E-3</v>
      </c>
      <c r="D470" s="14">
        <f t="shared" ca="1" si="3"/>
        <v>1269.5524</v>
      </c>
      <c r="E470" s="3"/>
      <c r="F470" s="3"/>
    </row>
    <row r="471" spans="1:6" ht="14.25" x14ac:dyDescent="0.2">
      <c r="A471" s="13">
        <f ca="1">IFERROR(__xludf.DUMMYFUNCTION("""COMPUTED_VALUE"""),44522.6458333333)</f>
        <v>44522.645833333299</v>
      </c>
      <c r="B471" s="14">
        <f ca="1">IFERROR(__xludf.DUMMYFUNCTION("""COMPUTED_VALUE"""),1181.88)</f>
        <v>1181.8800000000001</v>
      </c>
      <c r="C471" s="15">
        <f t="shared" ca="1" si="2"/>
        <v>-4.428900659038526E-2</v>
      </c>
      <c r="D471" s="14">
        <f t="shared" ca="1" si="3"/>
        <v>1268.7809999999999</v>
      </c>
      <c r="E471" s="3"/>
      <c r="F471" s="3"/>
    </row>
    <row r="472" spans="1:6" ht="14.25" x14ac:dyDescent="0.2">
      <c r="A472" s="13">
        <f ca="1">IFERROR(__xludf.DUMMYFUNCTION("""COMPUTED_VALUE"""),44523.6458333333)</f>
        <v>44523.645833333299</v>
      </c>
      <c r="B472" s="14">
        <f ca="1">IFERROR(__xludf.DUMMYFUNCTION("""COMPUTED_VALUE"""),1192.93)</f>
        <v>1192.93</v>
      </c>
      <c r="C472" s="15">
        <f t="shared" ca="1" si="2"/>
        <v>9.3495109486581018E-3</v>
      </c>
      <c r="D472" s="14">
        <f t="shared" ca="1" si="3"/>
        <v>1268.326</v>
      </c>
      <c r="E472" s="3"/>
      <c r="F472" s="3"/>
    </row>
    <row r="473" spans="1:6" ht="14.25" x14ac:dyDescent="0.2">
      <c r="A473" s="13">
        <f ca="1">IFERROR(__xludf.DUMMYFUNCTION("""COMPUTED_VALUE"""),44524.6458333333)</f>
        <v>44524.645833333299</v>
      </c>
      <c r="B473" s="14">
        <f ca="1">IFERROR(__xludf.DUMMYFUNCTION("""COMPUTED_VALUE"""),1175.7)</f>
        <v>1175.7</v>
      </c>
      <c r="C473" s="15">
        <f t="shared" ca="1" si="2"/>
        <v>-1.4443429203725322E-2</v>
      </c>
      <c r="D473" s="14">
        <f t="shared" ca="1" si="3"/>
        <v>1267.5839999999998</v>
      </c>
      <c r="E473" s="3"/>
      <c r="F473" s="3"/>
    </row>
    <row r="474" spans="1:6" ht="14.25" x14ac:dyDescent="0.2">
      <c r="A474" s="13">
        <f ca="1">IFERROR(__xludf.DUMMYFUNCTION("""COMPUTED_VALUE"""),44525.6458333333)</f>
        <v>44525.645833333299</v>
      </c>
      <c r="B474" s="14">
        <f ca="1">IFERROR(__xludf.DUMMYFUNCTION("""COMPUTED_VALUE"""),1246.47)</f>
        <v>1246.47</v>
      </c>
      <c r="C474" s="15">
        <f t="shared" ca="1" si="2"/>
        <v>6.0193927022199611E-2</v>
      </c>
      <c r="D474" s="14">
        <f t="shared" ca="1" si="3"/>
        <v>1268.7978000000001</v>
      </c>
      <c r="E474" s="3"/>
      <c r="F474" s="3"/>
    </row>
    <row r="475" spans="1:6" ht="14.25" x14ac:dyDescent="0.2">
      <c r="A475" s="13">
        <f ca="1">IFERROR(__xludf.DUMMYFUNCTION("""COMPUTED_VALUE"""),44526.6458333333)</f>
        <v>44526.645833333299</v>
      </c>
      <c r="B475" s="14">
        <f ca="1">IFERROR(__xludf.DUMMYFUNCTION("""COMPUTED_VALUE"""),1206.3)</f>
        <v>1206.3</v>
      </c>
      <c r="C475" s="15">
        <f t="shared" ca="1" si="2"/>
        <v>-3.2227009073623969E-2</v>
      </c>
      <c r="D475" s="14">
        <f t="shared" ca="1" si="3"/>
        <v>1269.2393999999999</v>
      </c>
      <c r="E475" s="3"/>
      <c r="F475" s="3"/>
    </row>
    <row r="476" spans="1:6" ht="14.25" x14ac:dyDescent="0.2">
      <c r="A476" s="13">
        <f ca="1">IFERROR(__xludf.DUMMYFUNCTION("""COMPUTED_VALUE"""),44529.6458333333)</f>
        <v>44529.645833333299</v>
      </c>
      <c r="B476" s="14">
        <f ca="1">IFERROR(__xludf.DUMMYFUNCTION("""COMPUTED_VALUE"""),1220.75)</f>
        <v>1220.75</v>
      </c>
      <c r="C476" s="15">
        <f t="shared" ca="1" si="2"/>
        <v>1.1978778081737529E-2</v>
      </c>
      <c r="D476" s="14">
        <f t="shared" ca="1" si="3"/>
        <v>1269.8714</v>
      </c>
      <c r="E476" s="3"/>
      <c r="F476" s="3"/>
    </row>
    <row r="477" spans="1:6" ht="14.25" x14ac:dyDescent="0.2">
      <c r="A477" s="13">
        <f ca="1">IFERROR(__xludf.DUMMYFUNCTION("""COMPUTED_VALUE"""),44530.6458333333)</f>
        <v>44530.645833333299</v>
      </c>
      <c r="B477" s="14">
        <f ca="1">IFERROR(__xludf.DUMMYFUNCTION("""COMPUTED_VALUE"""),1202.7)</f>
        <v>1202.7</v>
      </c>
      <c r="C477" s="15">
        <f t="shared" ca="1" si="2"/>
        <v>-1.478599221789878E-2</v>
      </c>
      <c r="D477" s="14">
        <f t="shared" ca="1" si="3"/>
        <v>1269.6433999999999</v>
      </c>
      <c r="E477" s="3"/>
      <c r="F477" s="3"/>
    </row>
    <row r="478" spans="1:6" ht="14.25" x14ac:dyDescent="0.2">
      <c r="A478" s="13">
        <f ca="1">IFERROR(__xludf.DUMMYFUNCTION("""COMPUTED_VALUE"""),44531.6458333333)</f>
        <v>44531.645833333299</v>
      </c>
      <c r="B478" s="14">
        <f ca="1">IFERROR(__xludf.DUMMYFUNCTION("""COMPUTED_VALUE"""),1233.5)</f>
        <v>1233.5</v>
      </c>
      <c r="C478" s="15">
        <f t="shared" ca="1" si="2"/>
        <v>2.5609046312463635E-2</v>
      </c>
      <c r="D478" s="14">
        <f t="shared" ca="1" si="3"/>
        <v>1270.4078000000002</v>
      </c>
      <c r="E478" s="3"/>
      <c r="F478" s="3"/>
    </row>
    <row r="479" spans="1:6" ht="14.25" x14ac:dyDescent="0.2">
      <c r="A479" s="13">
        <f ca="1">IFERROR(__xludf.DUMMYFUNCTION("""COMPUTED_VALUE"""),44532.6458333333)</f>
        <v>44532.645833333299</v>
      </c>
      <c r="B479" s="14">
        <f ca="1">IFERROR(__xludf.DUMMYFUNCTION("""COMPUTED_VALUE"""),1241.43)</f>
        <v>1241.43</v>
      </c>
      <c r="C479" s="15">
        <f t="shared" ca="1" si="2"/>
        <v>6.4288609647344952E-3</v>
      </c>
      <c r="D479" s="14">
        <f t="shared" ca="1" si="3"/>
        <v>1271.2928000000002</v>
      </c>
      <c r="E479" s="3"/>
      <c r="F479" s="3"/>
    </row>
    <row r="480" spans="1:6" ht="14.25" x14ac:dyDescent="0.2">
      <c r="A480" s="13">
        <f ca="1">IFERROR(__xludf.DUMMYFUNCTION("""COMPUTED_VALUE"""),44533.6458333333)</f>
        <v>44533.645833333299</v>
      </c>
      <c r="B480" s="14">
        <f ca="1">IFERROR(__xludf.DUMMYFUNCTION("""COMPUTED_VALUE"""),1204.13)</f>
        <v>1204.1300000000001</v>
      </c>
      <c r="C480" s="15">
        <f t="shared" ca="1" si="2"/>
        <v>-3.0045995344078924E-2</v>
      </c>
      <c r="D480" s="14">
        <f t="shared" ca="1" si="3"/>
        <v>1271.3284000000001</v>
      </c>
      <c r="E480" s="3"/>
      <c r="F480" s="3"/>
    </row>
    <row r="481" spans="1:6" ht="14.25" x14ac:dyDescent="0.2">
      <c r="A481" s="13">
        <f ca="1">IFERROR(__xludf.DUMMYFUNCTION("""COMPUTED_VALUE"""),44536.6458333333)</f>
        <v>44536.645833333299</v>
      </c>
      <c r="B481" s="14">
        <f ca="1">IFERROR(__xludf.DUMMYFUNCTION("""COMPUTED_VALUE"""),1181.3)</f>
        <v>1181.3</v>
      </c>
      <c r="C481" s="15">
        <f t="shared" ca="1" si="2"/>
        <v>-1.8959746871185179E-2</v>
      </c>
      <c r="D481" s="14">
        <f t="shared" ca="1" si="3"/>
        <v>1270.6494000000002</v>
      </c>
      <c r="E481" s="3"/>
      <c r="F481" s="3"/>
    </row>
    <row r="482" spans="1:6" ht="14.25" x14ac:dyDescent="0.2">
      <c r="A482" s="13">
        <f ca="1">IFERROR(__xludf.DUMMYFUNCTION("""COMPUTED_VALUE"""),44537.6458333333)</f>
        <v>44537.645833333299</v>
      </c>
      <c r="B482" s="14">
        <f ca="1">IFERROR(__xludf.DUMMYFUNCTION("""COMPUTED_VALUE"""),1190.93)</f>
        <v>1190.93</v>
      </c>
      <c r="C482" s="15">
        <f t="shared" ca="1" si="2"/>
        <v>8.1520358926607805E-3</v>
      </c>
      <c r="D482" s="14">
        <f t="shared" ca="1" si="3"/>
        <v>1269.5690000000002</v>
      </c>
      <c r="E482" s="3"/>
      <c r="F482" s="3"/>
    </row>
    <row r="483" spans="1:6" ht="14.25" x14ac:dyDescent="0.2">
      <c r="A483" s="13">
        <f ca="1">IFERROR(__xludf.DUMMYFUNCTION("""COMPUTED_VALUE"""),44538.6458333333)</f>
        <v>44538.645833333299</v>
      </c>
      <c r="B483" s="14">
        <f ca="1">IFERROR(__xludf.DUMMYFUNCTION("""COMPUTED_VALUE"""),1209.05)</f>
        <v>1209.05</v>
      </c>
      <c r="C483" s="15">
        <f t="shared" ca="1" si="2"/>
        <v>1.521500004198395E-2</v>
      </c>
      <c r="D483" s="14">
        <f t="shared" ca="1" si="3"/>
        <v>1268.9230000000002</v>
      </c>
      <c r="E483" s="3"/>
      <c r="F483" s="3"/>
    </row>
    <row r="484" spans="1:6" ht="14.25" x14ac:dyDescent="0.2">
      <c r="A484" s="13">
        <f ca="1">IFERROR(__xludf.DUMMYFUNCTION("""COMPUTED_VALUE"""),44539.6458333333)</f>
        <v>44539.645833333299</v>
      </c>
      <c r="B484" s="14">
        <f ca="1">IFERROR(__xludf.DUMMYFUNCTION("""COMPUTED_VALUE"""),1228.22)</f>
        <v>1228.22</v>
      </c>
      <c r="C484" s="15">
        <f t="shared" ca="1" si="2"/>
        <v>1.585542367974857E-2</v>
      </c>
      <c r="D484" s="14">
        <f t="shared" ca="1" si="3"/>
        <v>1268.2430000000002</v>
      </c>
      <c r="E484" s="3"/>
      <c r="F484" s="3"/>
    </row>
    <row r="485" spans="1:6" ht="14.25" x14ac:dyDescent="0.2">
      <c r="A485" s="13">
        <f ca="1">IFERROR(__xludf.DUMMYFUNCTION("""COMPUTED_VALUE"""),44540.6458333333)</f>
        <v>44540.645833333299</v>
      </c>
      <c r="B485" s="14">
        <f ca="1">IFERROR(__xludf.DUMMYFUNCTION("""COMPUTED_VALUE"""),1229.47)</f>
        <v>1229.47</v>
      </c>
      <c r="C485" s="15">
        <f t="shared" ca="1" si="2"/>
        <v>1.0177329794336387E-3</v>
      </c>
      <c r="D485" s="14">
        <f t="shared" ca="1" si="3"/>
        <v>1267.3518000000001</v>
      </c>
      <c r="E485" s="3"/>
      <c r="F485" s="3"/>
    </row>
    <row r="486" spans="1:6" ht="14.25" x14ac:dyDescent="0.2">
      <c r="A486" s="13">
        <f ca="1">IFERROR(__xludf.DUMMYFUNCTION("""COMPUTED_VALUE"""),44543.6458333333)</f>
        <v>44543.645833333299</v>
      </c>
      <c r="B486" s="14">
        <f ca="1">IFERROR(__xludf.DUMMYFUNCTION("""COMPUTED_VALUE"""),1204.83)</f>
        <v>1204.83</v>
      </c>
      <c r="C486" s="15">
        <f t="shared" ca="1" si="2"/>
        <v>-2.0041155945244804E-2</v>
      </c>
      <c r="D486" s="14">
        <f t="shared" ca="1" si="3"/>
        <v>1266.1698000000001</v>
      </c>
      <c r="E486" s="3"/>
      <c r="F486" s="3"/>
    </row>
    <row r="487" spans="1:6" ht="14.25" x14ac:dyDescent="0.2">
      <c r="A487" s="13">
        <f ca="1">IFERROR(__xludf.DUMMYFUNCTION("""COMPUTED_VALUE"""),44544.6458333333)</f>
        <v>44544.645833333299</v>
      </c>
      <c r="B487" s="14">
        <f ca="1">IFERROR(__xludf.DUMMYFUNCTION("""COMPUTED_VALUE"""),1190.08)</f>
        <v>1190.08</v>
      </c>
      <c r="C487" s="15">
        <f t="shared" ca="1" si="2"/>
        <v>-1.2242391042719736E-2</v>
      </c>
      <c r="D487" s="14">
        <f t="shared" ca="1" si="3"/>
        <v>1264.7788000000003</v>
      </c>
      <c r="E487" s="3"/>
      <c r="F487" s="3"/>
    </row>
    <row r="488" spans="1:6" ht="14.25" x14ac:dyDescent="0.2">
      <c r="A488" s="13">
        <f ca="1">IFERROR(__xludf.DUMMYFUNCTION("""COMPUTED_VALUE"""),44545.6458333333)</f>
        <v>44545.645833333299</v>
      </c>
      <c r="B488" s="14">
        <f ca="1">IFERROR(__xludf.DUMMYFUNCTION("""COMPUTED_VALUE"""),1186.6)</f>
        <v>1186.5999999999999</v>
      </c>
      <c r="C488" s="15">
        <f t="shared" ca="1" si="2"/>
        <v>-2.9241731648292912E-3</v>
      </c>
      <c r="D488" s="14">
        <f t="shared" ca="1" si="3"/>
        <v>1263.2738000000002</v>
      </c>
      <c r="E488" s="3"/>
      <c r="F488" s="3"/>
    </row>
    <row r="489" spans="1:6" ht="14.25" x14ac:dyDescent="0.2">
      <c r="A489" s="13">
        <f ca="1">IFERROR(__xludf.DUMMYFUNCTION("""COMPUTED_VALUE"""),44546.6458333333)</f>
        <v>44546.645833333299</v>
      </c>
      <c r="B489" s="14">
        <f ca="1">IFERROR(__xludf.DUMMYFUNCTION("""COMPUTED_VALUE"""),1201.95)</f>
        <v>1201.95</v>
      </c>
      <c r="C489" s="15">
        <f t="shared" ca="1" si="2"/>
        <v>1.2936120006742158E-2</v>
      </c>
      <c r="D489" s="14">
        <f t="shared" ca="1" si="3"/>
        <v>1261.7512000000002</v>
      </c>
      <c r="E489" s="3"/>
      <c r="F489" s="3"/>
    </row>
    <row r="490" spans="1:6" ht="14.25" x14ac:dyDescent="0.2">
      <c r="A490" s="13">
        <f ca="1">IFERROR(__xludf.DUMMYFUNCTION("""COMPUTED_VALUE"""),44547.6458333333)</f>
        <v>44547.645833333299</v>
      </c>
      <c r="B490" s="14">
        <f ca="1">IFERROR(__xludf.DUMMYFUNCTION("""COMPUTED_VALUE"""),1170.22)</f>
        <v>1170.22</v>
      </c>
      <c r="C490" s="15">
        <f t="shared" ca="1" si="2"/>
        <v>-2.639876866758184E-2</v>
      </c>
      <c r="D490" s="14">
        <f t="shared" ca="1" si="3"/>
        <v>1259.0636000000002</v>
      </c>
      <c r="E490" s="3"/>
      <c r="F490" s="3"/>
    </row>
    <row r="491" spans="1:6" ht="14.25" x14ac:dyDescent="0.2">
      <c r="A491" s="13">
        <f ca="1">IFERROR(__xludf.DUMMYFUNCTION("""COMPUTED_VALUE"""),44550.6458333333)</f>
        <v>44550.645833333299</v>
      </c>
      <c r="B491" s="14">
        <f ca="1">IFERROR(__xludf.DUMMYFUNCTION("""COMPUTED_VALUE"""),1138.68)</f>
        <v>1138.68</v>
      </c>
      <c r="C491" s="15">
        <f t="shared" ca="1" si="2"/>
        <v>-2.6952197022781954E-2</v>
      </c>
      <c r="D491" s="14">
        <f t="shared" ca="1" si="3"/>
        <v>1256.2385999999999</v>
      </c>
      <c r="E491" s="3"/>
      <c r="F491" s="3"/>
    </row>
    <row r="492" spans="1:6" ht="14.25" x14ac:dyDescent="0.2">
      <c r="A492" s="13">
        <f ca="1">IFERROR(__xludf.DUMMYFUNCTION("""COMPUTED_VALUE"""),44551.6458333333)</f>
        <v>44551.645833333299</v>
      </c>
      <c r="B492" s="14">
        <f ca="1">IFERROR(__xludf.DUMMYFUNCTION("""COMPUTED_VALUE"""),1155.63)</f>
        <v>1155.6300000000001</v>
      </c>
      <c r="C492" s="15">
        <f t="shared" ca="1" si="2"/>
        <v>1.4885657076615155E-2</v>
      </c>
      <c r="D492" s="14">
        <f t="shared" ca="1" si="3"/>
        <v>1253.6272000000001</v>
      </c>
      <c r="E492" s="3"/>
      <c r="F492" s="3"/>
    </row>
    <row r="493" spans="1:6" ht="14.25" x14ac:dyDescent="0.2">
      <c r="A493" s="13">
        <f ca="1">IFERROR(__xludf.DUMMYFUNCTION("""COMPUTED_VALUE"""),44552.6458333333)</f>
        <v>44552.645833333299</v>
      </c>
      <c r="B493" s="14">
        <f ca="1">IFERROR(__xludf.DUMMYFUNCTION("""COMPUTED_VALUE"""),1183.05)</f>
        <v>1183.05</v>
      </c>
      <c r="C493" s="15">
        <f t="shared" ca="1" si="2"/>
        <v>2.3727317567041162E-2</v>
      </c>
      <c r="D493" s="14">
        <f t="shared" ca="1" si="3"/>
        <v>1250.5756000000001</v>
      </c>
      <c r="E493" s="3"/>
      <c r="F493" s="3"/>
    </row>
    <row r="494" spans="1:6" ht="14.25" x14ac:dyDescent="0.2">
      <c r="A494" s="13">
        <f ca="1">IFERROR(__xludf.DUMMYFUNCTION("""COMPUTED_VALUE"""),44553.6458333333)</f>
        <v>44553.645833333299</v>
      </c>
      <c r="B494" s="14">
        <f ca="1">IFERROR(__xludf.DUMMYFUNCTION("""COMPUTED_VALUE"""),1182.63)</f>
        <v>1182.6300000000001</v>
      </c>
      <c r="C494" s="15">
        <f t="shared" ca="1" si="2"/>
        <v>-3.5501458095588134E-4</v>
      </c>
      <c r="D494" s="14">
        <f t="shared" ca="1" si="3"/>
        <v>1247.7016000000001</v>
      </c>
      <c r="E494" s="3"/>
      <c r="F494" s="3"/>
    </row>
    <row r="495" spans="1:6" ht="14.25" x14ac:dyDescent="0.2">
      <c r="A495" s="13">
        <f ca="1">IFERROR(__xludf.DUMMYFUNCTION("""COMPUTED_VALUE"""),44554.6458333333)</f>
        <v>44554.645833333299</v>
      </c>
      <c r="B495" s="14">
        <f ca="1">IFERROR(__xludf.DUMMYFUNCTION("""COMPUTED_VALUE"""),1186.4)</f>
        <v>1186.4000000000001</v>
      </c>
      <c r="C495" s="15">
        <f t="shared" ca="1" si="2"/>
        <v>3.187810219595244E-3</v>
      </c>
      <c r="D495" s="14">
        <f t="shared" ca="1" si="3"/>
        <v>1244.7516000000003</v>
      </c>
      <c r="E495" s="3"/>
      <c r="F495" s="3"/>
    </row>
    <row r="496" spans="1:6" ht="14.25" x14ac:dyDescent="0.2">
      <c r="A496" s="13">
        <f ca="1">IFERROR(__xludf.DUMMYFUNCTION("""COMPUTED_VALUE"""),44557.6458333333)</f>
        <v>44557.645833333299</v>
      </c>
      <c r="B496" s="14">
        <f ca="1">IFERROR(__xludf.DUMMYFUNCTION("""COMPUTED_VALUE"""),1185.13)</f>
        <v>1185.1300000000001</v>
      </c>
      <c r="C496" s="15">
        <f t="shared" ca="1" si="2"/>
        <v>-1.070465273095067E-3</v>
      </c>
      <c r="D496" s="14">
        <f t="shared" ca="1" si="3"/>
        <v>1241.5046</v>
      </c>
      <c r="E496" s="3"/>
      <c r="F496" s="3"/>
    </row>
    <row r="497" spans="1:6" ht="14.25" x14ac:dyDescent="0.2">
      <c r="A497" s="13">
        <f ca="1">IFERROR(__xludf.DUMMYFUNCTION("""COMPUTED_VALUE"""),44558.6458333333)</f>
        <v>44558.645833333299</v>
      </c>
      <c r="B497" s="14">
        <f ca="1">IFERROR(__xludf.DUMMYFUNCTION("""COMPUTED_VALUE"""),1199.2)</f>
        <v>1199.2</v>
      </c>
      <c r="C497" s="15">
        <f t="shared" ca="1" si="2"/>
        <v>1.1872115295368468E-2</v>
      </c>
      <c r="D497" s="14">
        <f t="shared" ca="1" si="3"/>
        <v>1238.4846</v>
      </c>
      <c r="E497" s="3"/>
      <c r="F497" s="3"/>
    </row>
    <row r="498" spans="1:6" ht="14.25" x14ac:dyDescent="0.2">
      <c r="A498" s="13">
        <f ca="1">IFERROR(__xludf.DUMMYFUNCTION("""COMPUTED_VALUE"""),44559.6458333333)</f>
        <v>44559.645833333299</v>
      </c>
      <c r="B498" s="14">
        <f ca="1">IFERROR(__xludf.DUMMYFUNCTION("""COMPUTED_VALUE"""),1201.25)</f>
        <v>1201.25</v>
      </c>
      <c r="C498" s="15">
        <f t="shared" ca="1" si="2"/>
        <v>1.7094729819879806E-3</v>
      </c>
      <c r="D498" s="14">
        <f t="shared" ca="1" si="3"/>
        <v>1235.4336000000001</v>
      </c>
      <c r="E498" s="3"/>
      <c r="F498" s="3"/>
    </row>
    <row r="499" spans="1:6" ht="14.25" x14ac:dyDescent="0.2">
      <c r="A499" s="13">
        <f ca="1">IFERROR(__xludf.DUMMYFUNCTION("""COMPUTED_VALUE"""),44560.6458333333)</f>
        <v>44560.645833333299</v>
      </c>
      <c r="B499" s="14">
        <f ca="1">IFERROR(__xludf.DUMMYFUNCTION("""COMPUTED_VALUE"""),1179.55)</f>
        <v>1179.55</v>
      </c>
      <c r="C499" s="15">
        <f t="shared" ca="1" si="2"/>
        <v>-1.806451612903226E-2</v>
      </c>
      <c r="D499" s="14">
        <f t="shared" ca="1" si="3"/>
        <v>1231.7060000000001</v>
      </c>
      <c r="E499" s="3"/>
      <c r="F499" s="3"/>
    </row>
    <row r="500" spans="1:6" ht="14.25" x14ac:dyDescent="0.2">
      <c r="A500" s="13">
        <f ca="1">IFERROR(__xludf.DUMMYFUNCTION("""COMPUTED_VALUE"""),44561.6458333333)</f>
        <v>44561.645833333299</v>
      </c>
      <c r="B500" s="14">
        <f ca="1">IFERROR(__xludf.DUMMYFUNCTION("""COMPUTED_VALUE"""),1184.08)</f>
        <v>1184.08</v>
      </c>
      <c r="C500" s="15">
        <f t="shared" ca="1" si="2"/>
        <v>3.8404476283329103E-3</v>
      </c>
      <c r="D500" s="14">
        <f t="shared" ca="1" si="3"/>
        <v>1228.3836000000001</v>
      </c>
      <c r="E500" s="3"/>
      <c r="F500" s="3"/>
    </row>
    <row r="501" spans="1:6" ht="14.25" x14ac:dyDescent="0.2">
      <c r="A501" s="13">
        <f ca="1">IFERROR(__xludf.DUMMYFUNCTION("""COMPUTED_VALUE"""),44564.6458333333)</f>
        <v>44564.645833333299</v>
      </c>
      <c r="B501" s="14">
        <f ca="1">IFERROR(__xludf.DUMMYFUNCTION("""COMPUTED_VALUE"""),1201.93)</f>
        <v>1201.93</v>
      </c>
      <c r="C501" s="15">
        <f t="shared" ca="1" si="2"/>
        <v>1.5074994932774866E-2</v>
      </c>
      <c r="D501" s="14">
        <f t="shared" ca="1" si="3"/>
        <v>1226.1972000000001</v>
      </c>
      <c r="E501" s="3"/>
      <c r="F501" s="3"/>
    </row>
    <row r="502" spans="1:6" ht="14.25" x14ac:dyDescent="0.2">
      <c r="A502" s="13">
        <f ca="1">IFERROR(__xludf.DUMMYFUNCTION("""COMPUTED_VALUE"""),44565.6458333333)</f>
        <v>44565.645833333299</v>
      </c>
      <c r="B502" s="14">
        <f ca="1">IFERROR(__xludf.DUMMYFUNCTION("""COMPUTED_VALUE"""),1229.05)</f>
        <v>1229.05</v>
      </c>
      <c r="C502" s="15">
        <f t="shared" ca="1" si="2"/>
        <v>2.2563710033030038E-2</v>
      </c>
      <c r="D502" s="14">
        <f t="shared" ca="1" si="3"/>
        <v>1224.5042000000003</v>
      </c>
      <c r="E502" s="3"/>
      <c r="F502" s="3"/>
    </row>
    <row r="503" spans="1:6" ht="14.25" x14ac:dyDescent="0.2">
      <c r="A503" s="13">
        <f ca="1">IFERROR(__xludf.DUMMYFUNCTION("""COMPUTED_VALUE"""),44566.6458333333)</f>
        <v>44566.645833333299</v>
      </c>
      <c r="B503" s="14">
        <f ca="1">IFERROR(__xludf.DUMMYFUNCTION("""COMPUTED_VALUE"""),1234.8)</f>
        <v>1234.8</v>
      </c>
      <c r="C503" s="15">
        <f t="shared" ca="1" si="2"/>
        <v>4.6784101541841316E-3</v>
      </c>
      <c r="D503" s="14">
        <f t="shared" ca="1" si="3"/>
        <v>1223.1822000000004</v>
      </c>
      <c r="E503" s="3"/>
      <c r="F503" s="3"/>
    </row>
    <row r="504" spans="1:6" ht="14.25" x14ac:dyDescent="0.2">
      <c r="A504" s="13">
        <f ca="1">IFERROR(__xludf.DUMMYFUNCTION("""COMPUTED_VALUE"""),44567.6458333333)</f>
        <v>44567.645833333299</v>
      </c>
      <c r="B504" s="14">
        <f ca="1">IFERROR(__xludf.DUMMYFUNCTION("""COMPUTED_VALUE"""),1208.25)</f>
        <v>1208.25</v>
      </c>
      <c r="C504" s="15">
        <f t="shared" ca="1" si="2"/>
        <v>-2.150145772594747E-2</v>
      </c>
      <c r="D504" s="14">
        <f t="shared" ca="1" si="3"/>
        <v>1220.7366000000004</v>
      </c>
      <c r="E504" s="3"/>
      <c r="F504" s="3"/>
    </row>
    <row r="505" spans="1:6" ht="14.25" x14ac:dyDescent="0.2">
      <c r="A505" s="13">
        <f ca="1">IFERROR(__xludf.DUMMYFUNCTION("""COMPUTED_VALUE"""),44568.6458333333)</f>
        <v>44568.645833333299</v>
      </c>
      <c r="B505" s="14">
        <f ca="1">IFERROR(__xludf.DUMMYFUNCTION("""COMPUTED_VALUE"""),1218)</f>
        <v>1218</v>
      </c>
      <c r="C505" s="15">
        <f t="shared" ca="1" si="2"/>
        <v>8.0695220360025299E-3</v>
      </c>
      <c r="D505" s="14">
        <f t="shared" ca="1" si="3"/>
        <v>1218.8226000000002</v>
      </c>
      <c r="E505" s="3"/>
      <c r="F505" s="3"/>
    </row>
    <row r="506" spans="1:6" ht="14.25" x14ac:dyDescent="0.2">
      <c r="A506" s="13">
        <f ca="1">IFERROR(__xludf.DUMMYFUNCTION("""COMPUTED_VALUE"""),44571.6458333333)</f>
        <v>44571.645833333299</v>
      </c>
      <c r="B506" s="14">
        <f ca="1">IFERROR(__xludf.DUMMYFUNCTION("""COMPUTED_VALUE"""),1219)</f>
        <v>1219</v>
      </c>
      <c r="C506" s="15">
        <f t="shared" ca="1" si="2"/>
        <v>8.2101806239731623E-4</v>
      </c>
      <c r="D506" s="14">
        <f t="shared" ca="1" si="3"/>
        <v>1217.2166000000004</v>
      </c>
      <c r="E506" s="3"/>
      <c r="F506" s="3"/>
    </row>
    <row r="507" spans="1:6" ht="14.25" x14ac:dyDescent="0.2">
      <c r="A507" s="13">
        <f ca="1">IFERROR(__xludf.DUMMYFUNCTION("""COMPUTED_VALUE"""),44572.6458333333)</f>
        <v>44572.645833333299</v>
      </c>
      <c r="B507" s="14">
        <f ca="1">IFERROR(__xludf.DUMMYFUNCTION("""COMPUTED_VALUE"""),1227.78)</f>
        <v>1227.78</v>
      </c>
      <c r="C507" s="15">
        <f t="shared" ca="1" si="2"/>
        <v>7.2026251025429922E-3</v>
      </c>
      <c r="D507" s="14">
        <f t="shared" ca="1" si="3"/>
        <v>1216.4096000000002</v>
      </c>
      <c r="E507" s="3"/>
      <c r="F507" s="3"/>
    </row>
    <row r="508" spans="1:6" ht="14.25" x14ac:dyDescent="0.2">
      <c r="A508" s="13">
        <f ca="1">IFERROR(__xludf.DUMMYFUNCTION("""COMPUTED_VALUE"""),44573.6458333333)</f>
        <v>44573.645833333299</v>
      </c>
      <c r="B508" s="14">
        <f ca="1">IFERROR(__xludf.DUMMYFUNCTION("""COMPUTED_VALUE"""),1260.55)</f>
        <v>1260.55</v>
      </c>
      <c r="C508" s="15">
        <f t="shared" ca="1" si="2"/>
        <v>2.6690449429050744E-2</v>
      </c>
      <c r="D508" s="14">
        <f t="shared" ca="1" si="3"/>
        <v>1216.2426000000003</v>
      </c>
      <c r="E508" s="3"/>
      <c r="F508" s="3"/>
    </row>
    <row r="509" spans="1:6" ht="14.25" x14ac:dyDescent="0.2">
      <c r="A509" s="13">
        <f ca="1">IFERROR(__xludf.DUMMYFUNCTION("""COMPUTED_VALUE"""),44574.6458333333)</f>
        <v>44574.645833333299</v>
      </c>
      <c r="B509" s="14">
        <f ca="1">IFERROR(__xludf.DUMMYFUNCTION("""COMPUTED_VALUE"""),1267.65)</f>
        <v>1267.6500000000001</v>
      </c>
      <c r="C509" s="15">
        <f t="shared" ca="1" si="2"/>
        <v>5.6324620205467912E-3</v>
      </c>
      <c r="D509" s="14">
        <f t="shared" ca="1" si="3"/>
        <v>1216.5876000000003</v>
      </c>
      <c r="E509" s="3"/>
      <c r="F509" s="3"/>
    </row>
    <row r="510" spans="1:6" ht="14.25" x14ac:dyDescent="0.2">
      <c r="A510" s="13">
        <f ca="1">IFERROR(__xludf.DUMMYFUNCTION("""COMPUTED_VALUE"""),44575.6458333333)</f>
        <v>44575.645833333299</v>
      </c>
      <c r="B510" s="14">
        <f ca="1">IFERROR(__xludf.DUMMYFUNCTION("""COMPUTED_VALUE"""),1269.5)</f>
        <v>1269.5</v>
      </c>
      <c r="C510" s="15">
        <f t="shared" ca="1" si="2"/>
        <v>1.4593933656765756E-3</v>
      </c>
      <c r="D510" s="14">
        <f t="shared" ca="1" si="3"/>
        <v>1217.1416000000002</v>
      </c>
      <c r="E510" s="3"/>
      <c r="F510" s="3"/>
    </row>
    <row r="511" spans="1:6" ht="14.25" x14ac:dyDescent="0.2">
      <c r="A511" s="13">
        <f ca="1">IFERROR(__xludf.DUMMYFUNCTION("""COMPUTED_VALUE"""),44578.6458333333)</f>
        <v>44578.645833333299</v>
      </c>
      <c r="B511" s="14">
        <f ca="1">IFERROR(__xludf.DUMMYFUNCTION("""COMPUTED_VALUE"""),1276.13)</f>
        <v>1276.1300000000001</v>
      </c>
      <c r="C511" s="15">
        <f t="shared" ca="1" si="2"/>
        <v>5.2225285545490774E-3</v>
      </c>
      <c r="D511" s="14">
        <f t="shared" ca="1" si="3"/>
        <v>1217.6756</v>
      </c>
      <c r="E511" s="3"/>
      <c r="F511" s="3"/>
    </row>
    <row r="512" spans="1:6" ht="14.25" x14ac:dyDescent="0.2">
      <c r="A512" s="13">
        <f ca="1">IFERROR(__xludf.DUMMYFUNCTION("""COMPUTED_VALUE"""),44579.6458333333)</f>
        <v>44579.645833333299</v>
      </c>
      <c r="B512" s="14">
        <f ca="1">IFERROR(__xludf.DUMMYFUNCTION("""COMPUTED_VALUE"""),1260.9)</f>
        <v>1260.9000000000001</v>
      </c>
      <c r="C512" s="15">
        <f t="shared" ca="1" si="2"/>
        <v>-1.1934520777663771E-2</v>
      </c>
      <c r="D512" s="14">
        <f t="shared" ca="1" si="3"/>
        <v>1217.8742000000002</v>
      </c>
      <c r="E512" s="3"/>
      <c r="F512" s="3"/>
    </row>
    <row r="513" spans="1:6" ht="14.25" x14ac:dyDescent="0.2">
      <c r="A513" s="13">
        <f ca="1">IFERROR(__xludf.DUMMYFUNCTION("""COMPUTED_VALUE"""),44580.6458333333)</f>
        <v>44580.645833333299</v>
      </c>
      <c r="B513" s="14">
        <f ca="1">IFERROR(__xludf.DUMMYFUNCTION("""COMPUTED_VALUE"""),1260.8)</f>
        <v>1260.8</v>
      </c>
      <c r="C513" s="15">
        <f t="shared" ref="C513:C767" ca="1" si="4">(B513/B512)-1</f>
        <v>-7.9308430486313419E-5</v>
      </c>
      <c r="D513" s="14">
        <f t="shared" ca="1" si="3"/>
        <v>1217.8732000000002</v>
      </c>
      <c r="E513" s="3"/>
      <c r="F513" s="3"/>
    </row>
    <row r="514" spans="1:6" ht="14.25" x14ac:dyDescent="0.2">
      <c r="A514" s="13">
        <f ca="1">IFERROR(__xludf.DUMMYFUNCTION("""COMPUTED_VALUE"""),44581.6458333333)</f>
        <v>44581.645833333299</v>
      </c>
      <c r="B514" s="14">
        <f ca="1">IFERROR(__xludf.DUMMYFUNCTION("""COMPUTED_VALUE"""),1238.72)</f>
        <v>1238.72</v>
      </c>
      <c r="C514" s="15">
        <f t="shared" ca="1" si="4"/>
        <v>-1.7512690355329874E-2</v>
      </c>
      <c r="D514" s="14">
        <f t="shared" ca="1" si="3"/>
        <v>1217.1486000000002</v>
      </c>
      <c r="E514" s="3"/>
      <c r="F514" s="3"/>
    </row>
    <row r="515" spans="1:6" ht="14.25" x14ac:dyDescent="0.2">
      <c r="A515" s="13">
        <f ca="1">IFERROR(__xludf.DUMMYFUNCTION("""COMPUTED_VALUE"""),44582.6458333333)</f>
        <v>44582.645833333299</v>
      </c>
      <c r="B515" s="14">
        <f ca="1">IFERROR(__xludf.DUMMYFUNCTION("""COMPUTED_VALUE"""),1238.93)</f>
        <v>1238.93</v>
      </c>
      <c r="C515" s="15">
        <f t="shared" ca="1" si="4"/>
        <v>1.6952983725149195E-4</v>
      </c>
      <c r="D515" s="14">
        <f t="shared" ca="1" si="3"/>
        <v>1216.3816000000004</v>
      </c>
      <c r="E515" s="3"/>
      <c r="F515" s="3"/>
    </row>
    <row r="516" spans="1:6" ht="14.25" x14ac:dyDescent="0.2">
      <c r="A516" s="13">
        <f ca="1">IFERROR(__xludf.DUMMYFUNCTION("""COMPUTED_VALUE"""),44585.6458333333)</f>
        <v>44585.645833333299</v>
      </c>
      <c r="B516" s="14">
        <f ca="1">IFERROR(__xludf.DUMMYFUNCTION("""COMPUTED_VALUE"""),1188.95)</f>
        <v>1188.95</v>
      </c>
      <c r="C516" s="15">
        <f t="shared" ca="1" si="4"/>
        <v>-4.0341262218204443E-2</v>
      </c>
      <c r="D516" s="14">
        <f t="shared" ca="1" si="3"/>
        <v>1214.2296000000003</v>
      </c>
      <c r="E516" s="3"/>
      <c r="F516" s="3"/>
    </row>
    <row r="517" spans="1:6" ht="14.25" x14ac:dyDescent="0.2">
      <c r="A517" s="13">
        <f ca="1">IFERROR(__xludf.DUMMYFUNCTION("""COMPUTED_VALUE"""),44586.6458333333)</f>
        <v>44586.645833333299</v>
      </c>
      <c r="B517" s="14">
        <f ca="1">IFERROR(__xludf.DUMMYFUNCTION("""COMPUTED_VALUE"""),1186.63)</f>
        <v>1186.6300000000001</v>
      </c>
      <c r="C517" s="15">
        <f t="shared" ca="1" si="4"/>
        <v>-1.951301568610897E-3</v>
      </c>
      <c r="D517" s="14">
        <f t="shared" ca="1" si="3"/>
        <v>1212.1842000000004</v>
      </c>
      <c r="E517" s="3"/>
      <c r="F517" s="3"/>
    </row>
    <row r="518" spans="1:6" ht="14.25" x14ac:dyDescent="0.2">
      <c r="A518" s="13">
        <f ca="1">IFERROR(__xludf.DUMMYFUNCTION("""COMPUTED_VALUE"""),44588.6458333333)</f>
        <v>44588.645833333299</v>
      </c>
      <c r="B518" s="14">
        <f ca="1">IFERROR(__xludf.DUMMYFUNCTION("""COMPUTED_VALUE"""),1169.05)</f>
        <v>1169.05</v>
      </c>
      <c r="C518" s="15">
        <f t="shared" ca="1" si="4"/>
        <v>-1.4815064510420362E-2</v>
      </c>
      <c r="D518" s="14">
        <f t="shared" ca="1" si="3"/>
        <v>1210.3862000000004</v>
      </c>
      <c r="E518" s="3"/>
      <c r="F518" s="3"/>
    </row>
    <row r="519" spans="1:6" ht="14.25" x14ac:dyDescent="0.2">
      <c r="A519" s="13">
        <f ca="1">IFERROR(__xludf.DUMMYFUNCTION("""COMPUTED_VALUE"""),44589.6458333333)</f>
        <v>44589.645833333299</v>
      </c>
      <c r="B519" s="14">
        <f ca="1">IFERROR(__xludf.DUMMYFUNCTION("""COMPUTED_VALUE"""),1167.93)</f>
        <v>1167.93</v>
      </c>
      <c r="C519" s="15">
        <f t="shared" ca="1" si="4"/>
        <v>-9.5804285530975974E-4</v>
      </c>
      <c r="D519" s="14">
        <f t="shared" ca="1" si="3"/>
        <v>1209.1048000000005</v>
      </c>
      <c r="E519" s="3"/>
      <c r="F519" s="3"/>
    </row>
    <row r="520" spans="1:6" ht="14.25" x14ac:dyDescent="0.2">
      <c r="A520" s="13">
        <f ca="1">IFERROR(__xludf.DUMMYFUNCTION("""COMPUTED_VALUE"""),44592.6458333333)</f>
        <v>44592.645833333299</v>
      </c>
      <c r="B520" s="14">
        <f ca="1">IFERROR(__xludf.DUMMYFUNCTION("""COMPUTED_VALUE"""),1193.3)</f>
        <v>1193.3</v>
      </c>
      <c r="C520" s="15">
        <f t="shared" ca="1" si="4"/>
        <v>2.1722192254672645E-2</v>
      </c>
      <c r="D520" s="14">
        <f t="shared" ca="1" si="3"/>
        <v>1208.2378000000006</v>
      </c>
      <c r="E520" s="3"/>
      <c r="F520" s="3"/>
    </row>
    <row r="521" spans="1:6" ht="14.25" x14ac:dyDescent="0.2">
      <c r="A521" s="13">
        <f ca="1">IFERROR(__xludf.DUMMYFUNCTION("""COMPUTED_VALUE"""),44593.6458333333)</f>
        <v>44593.645833333299</v>
      </c>
      <c r="B521" s="14">
        <f ca="1">IFERROR(__xludf.DUMMYFUNCTION("""COMPUTED_VALUE"""),1189.35)</f>
        <v>1189.3499999999999</v>
      </c>
      <c r="C521" s="15">
        <f t="shared" ca="1" si="4"/>
        <v>-3.3101483281656741E-3</v>
      </c>
      <c r="D521" s="14">
        <f t="shared" ca="1" si="3"/>
        <v>1208.3872000000003</v>
      </c>
      <c r="E521" s="3"/>
      <c r="F521" s="3"/>
    </row>
    <row r="522" spans="1:6" ht="14.25" x14ac:dyDescent="0.2">
      <c r="A522" s="13">
        <f ca="1">IFERROR(__xludf.DUMMYFUNCTION("""COMPUTED_VALUE"""),44594.6458333333)</f>
        <v>44594.645833333299</v>
      </c>
      <c r="B522" s="14">
        <f ca="1">IFERROR(__xludf.DUMMYFUNCTION("""COMPUTED_VALUE"""),1191.78)</f>
        <v>1191.78</v>
      </c>
      <c r="C522" s="15">
        <f t="shared" ca="1" si="4"/>
        <v>2.0431328036323304E-3</v>
      </c>
      <c r="D522" s="14">
        <f t="shared" ca="1" si="3"/>
        <v>1208.3642000000002</v>
      </c>
      <c r="E522" s="3"/>
      <c r="F522" s="3"/>
    </row>
    <row r="523" spans="1:6" ht="14.25" x14ac:dyDescent="0.2">
      <c r="A523" s="13">
        <f ca="1">IFERROR(__xludf.DUMMYFUNCTION("""COMPUTED_VALUE"""),44595.6458333333)</f>
        <v>44595.645833333299</v>
      </c>
      <c r="B523" s="14">
        <f ca="1">IFERROR(__xludf.DUMMYFUNCTION("""COMPUTED_VALUE"""),1176.38)</f>
        <v>1176.3800000000001</v>
      </c>
      <c r="C523" s="15">
        <f t="shared" ca="1" si="4"/>
        <v>-1.2921847992078961E-2</v>
      </c>
      <c r="D523" s="14">
        <f t="shared" ca="1" si="3"/>
        <v>1208.3778000000002</v>
      </c>
      <c r="E523" s="3"/>
      <c r="F523" s="3"/>
    </row>
    <row r="524" spans="1:6" ht="14.25" x14ac:dyDescent="0.2">
      <c r="A524" s="13">
        <f ca="1">IFERROR(__xludf.DUMMYFUNCTION("""COMPUTED_VALUE"""),44596.6458333333)</f>
        <v>44596.645833333299</v>
      </c>
      <c r="B524" s="14">
        <f ca="1">IFERROR(__xludf.DUMMYFUNCTION("""COMPUTED_VALUE"""),1165.65)</f>
        <v>1165.6500000000001</v>
      </c>
      <c r="C524" s="15">
        <f t="shared" ca="1" si="4"/>
        <v>-9.1212023325796254E-3</v>
      </c>
      <c r="D524" s="14">
        <f t="shared" ca="1" si="3"/>
        <v>1206.7614000000003</v>
      </c>
      <c r="E524" s="3"/>
      <c r="F524" s="3"/>
    </row>
    <row r="525" spans="1:6" ht="14.25" x14ac:dyDescent="0.2">
      <c r="A525" s="13">
        <f ca="1">IFERROR(__xludf.DUMMYFUNCTION("""COMPUTED_VALUE"""),44599.6458333333)</f>
        <v>44599.645833333299</v>
      </c>
      <c r="B525" s="14">
        <f ca="1">IFERROR(__xludf.DUMMYFUNCTION("""COMPUTED_VALUE"""),1158.55)</f>
        <v>1158.55</v>
      </c>
      <c r="C525" s="15">
        <f t="shared" ca="1" si="4"/>
        <v>-6.0910221764681749E-3</v>
      </c>
      <c r="D525" s="14">
        <f t="shared" ca="1" si="3"/>
        <v>1205.8064000000002</v>
      </c>
      <c r="E525" s="3"/>
      <c r="F525" s="3"/>
    </row>
    <row r="526" spans="1:6" ht="14.25" x14ac:dyDescent="0.2">
      <c r="A526" s="13">
        <f ca="1">IFERROR(__xludf.DUMMYFUNCTION("""COMPUTED_VALUE"""),44600.6458333333)</f>
        <v>44600.645833333299</v>
      </c>
      <c r="B526" s="14">
        <f ca="1">IFERROR(__xludf.DUMMYFUNCTION("""COMPUTED_VALUE"""),1178.03)</f>
        <v>1178.03</v>
      </c>
      <c r="C526" s="15">
        <f t="shared" ca="1" si="4"/>
        <v>1.6814121099650414E-2</v>
      </c>
      <c r="D526" s="14">
        <f t="shared" ca="1" si="3"/>
        <v>1204.9520000000002</v>
      </c>
      <c r="E526" s="3"/>
      <c r="F526" s="3"/>
    </row>
    <row r="527" spans="1:6" ht="14.25" x14ac:dyDescent="0.2">
      <c r="A527" s="13">
        <f ca="1">IFERROR(__xludf.DUMMYFUNCTION("""COMPUTED_VALUE"""),44601.6458333333)</f>
        <v>44601.645833333299</v>
      </c>
      <c r="B527" s="14">
        <f ca="1">IFERROR(__xludf.DUMMYFUNCTION("""COMPUTED_VALUE"""),1191.75)</f>
        <v>1191.75</v>
      </c>
      <c r="C527" s="15">
        <f t="shared" ca="1" si="4"/>
        <v>1.1646562481430811E-2</v>
      </c>
      <c r="D527" s="14">
        <f t="shared" ca="1" si="3"/>
        <v>1204.7330000000002</v>
      </c>
      <c r="E527" s="3"/>
      <c r="F527" s="3"/>
    </row>
    <row r="528" spans="1:6" ht="14.25" x14ac:dyDescent="0.2">
      <c r="A528" s="13">
        <f ca="1">IFERROR(__xludf.DUMMYFUNCTION("""COMPUTED_VALUE"""),44602.6458333333)</f>
        <v>44602.645833333299</v>
      </c>
      <c r="B528" s="14">
        <f ca="1">IFERROR(__xludf.DUMMYFUNCTION("""COMPUTED_VALUE"""),1190.53)</f>
        <v>1190.53</v>
      </c>
      <c r="C528" s="15">
        <f t="shared" ca="1" si="4"/>
        <v>-1.023704636039513E-3</v>
      </c>
      <c r="D528" s="14">
        <f t="shared" ca="1" si="3"/>
        <v>1203.8736000000001</v>
      </c>
      <c r="E528" s="3"/>
      <c r="F528" s="3"/>
    </row>
    <row r="529" spans="1:6" ht="14.25" x14ac:dyDescent="0.2">
      <c r="A529" s="13">
        <f ca="1">IFERROR(__xludf.DUMMYFUNCTION("""COMPUTED_VALUE"""),44603.6458333333)</f>
        <v>44603.645833333299</v>
      </c>
      <c r="B529" s="14">
        <f ca="1">IFERROR(__xludf.DUMMYFUNCTION("""COMPUTED_VALUE"""),1188.2)</f>
        <v>1188.2</v>
      </c>
      <c r="C529" s="15">
        <f t="shared" ca="1" si="4"/>
        <v>-1.9571115385583759E-3</v>
      </c>
      <c r="D529" s="14">
        <f t="shared" ca="1" si="3"/>
        <v>1202.8090000000002</v>
      </c>
      <c r="E529" s="3"/>
      <c r="F529" s="3"/>
    </row>
    <row r="530" spans="1:6" ht="14.25" x14ac:dyDescent="0.2">
      <c r="A530" s="13">
        <f ca="1">IFERROR(__xludf.DUMMYFUNCTION("""COMPUTED_VALUE"""),44606.6458333333)</f>
        <v>44606.645833333299</v>
      </c>
      <c r="B530" s="14">
        <f ca="1">IFERROR(__xludf.DUMMYFUNCTION("""COMPUTED_VALUE"""),1169.28)</f>
        <v>1169.28</v>
      </c>
      <c r="C530" s="15">
        <f t="shared" ca="1" si="4"/>
        <v>-1.5923245244908291E-2</v>
      </c>
      <c r="D530" s="14">
        <f t="shared" ca="1" si="3"/>
        <v>1202.1120000000001</v>
      </c>
      <c r="E530" s="3"/>
      <c r="F530" s="3"/>
    </row>
    <row r="531" spans="1:6" ht="14.25" x14ac:dyDescent="0.2">
      <c r="A531" s="13">
        <f ca="1">IFERROR(__xludf.DUMMYFUNCTION("""COMPUTED_VALUE"""),44607.6458333333)</f>
        <v>44607.645833333299</v>
      </c>
      <c r="B531" s="14">
        <f ca="1">IFERROR(__xludf.DUMMYFUNCTION("""COMPUTED_VALUE"""),1208.97)</f>
        <v>1208.97</v>
      </c>
      <c r="C531" s="15">
        <f t="shared" ca="1" si="4"/>
        <v>3.3943965517241326E-2</v>
      </c>
      <c r="D531" s="14">
        <f t="shared" ca="1" si="3"/>
        <v>1202.6653999999999</v>
      </c>
      <c r="E531" s="3"/>
      <c r="F531" s="3"/>
    </row>
    <row r="532" spans="1:6" ht="14.25" x14ac:dyDescent="0.2">
      <c r="A532" s="13">
        <f ca="1">IFERROR(__xludf.DUMMYFUNCTION("""COMPUTED_VALUE"""),44608.6458333333)</f>
        <v>44608.645833333299</v>
      </c>
      <c r="B532" s="14">
        <f ca="1">IFERROR(__xludf.DUMMYFUNCTION("""COMPUTED_VALUE"""),1206.47)</f>
        <v>1206.47</v>
      </c>
      <c r="C532" s="15">
        <f t="shared" ca="1" si="4"/>
        <v>-2.0678759605283759E-3</v>
      </c>
      <c r="D532" s="14">
        <f t="shared" ca="1" si="3"/>
        <v>1202.9762000000001</v>
      </c>
      <c r="E532" s="3"/>
      <c r="F532" s="3"/>
    </row>
    <row r="533" spans="1:6" ht="14.25" x14ac:dyDescent="0.2">
      <c r="A533" s="13">
        <f ca="1">IFERROR(__xludf.DUMMYFUNCTION("""COMPUTED_VALUE"""),44609.6458333333)</f>
        <v>44609.645833333299</v>
      </c>
      <c r="B533" s="14">
        <f ca="1">IFERROR(__xludf.DUMMYFUNCTION("""COMPUTED_VALUE"""),1221.75)</f>
        <v>1221.75</v>
      </c>
      <c r="C533" s="15">
        <f t="shared" ca="1" si="4"/>
        <v>1.2665047618258152E-2</v>
      </c>
      <c r="D533" s="14">
        <f t="shared" ca="1" si="3"/>
        <v>1203.2302</v>
      </c>
      <c r="E533" s="3"/>
      <c r="F533" s="3"/>
    </row>
    <row r="534" spans="1:6" ht="14.25" x14ac:dyDescent="0.2">
      <c r="A534" s="13">
        <f ca="1">IFERROR(__xludf.DUMMYFUNCTION("""COMPUTED_VALUE"""),44610.6458333333)</f>
        <v>44610.645833333299</v>
      </c>
      <c r="B534" s="14">
        <f ca="1">IFERROR(__xludf.DUMMYFUNCTION("""COMPUTED_VALUE"""),1212.2)</f>
        <v>1212.2</v>
      </c>
      <c r="C534" s="15">
        <f t="shared" ca="1" si="4"/>
        <v>-7.8166564354409385E-3</v>
      </c>
      <c r="D534" s="14">
        <f t="shared" ca="1" si="3"/>
        <v>1202.9097999999999</v>
      </c>
      <c r="E534" s="3"/>
      <c r="F534" s="3"/>
    </row>
    <row r="535" spans="1:6" ht="14.25" x14ac:dyDescent="0.2">
      <c r="A535" s="13">
        <f ca="1">IFERROR(__xludf.DUMMYFUNCTION("""COMPUTED_VALUE"""),44613.6458333333)</f>
        <v>44613.645833333299</v>
      </c>
      <c r="B535" s="14">
        <f ca="1">IFERROR(__xludf.DUMMYFUNCTION("""COMPUTED_VALUE"""),1199.95)</f>
        <v>1199.95</v>
      </c>
      <c r="C535" s="15">
        <f t="shared" ca="1" si="4"/>
        <v>-1.01055931364461E-2</v>
      </c>
      <c r="D535" s="14">
        <f t="shared" ca="1" si="3"/>
        <v>1202.3193999999999</v>
      </c>
      <c r="E535" s="3"/>
      <c r="F535" s="3"/>
    </row>
    <row r="536" spans="1:6" ht="14.25" x14ac:dyDescent="0.2">
      <c r="A536" s="13">
        <f ca="1">IFERROR(__xludf.DUMMYFUNCTION("""COMPUTED_VALUE"""),44614.6458333333)</f>
        <v>44614.645833333299</v>
      </c>
      <c r="B536" s="14">
        <f ca="1">IFERROR(__xludf.DUMMYFUNCTION("""COMPUTED_VALUE"""),1194.5)</f>
        <v>1194.5</v>
      </c>
      <c r="C536" s="15">
        <f t="shared" ca="1" si="4"/>
        <v>-4.5418559106630285E-3</v>
      </c>
      <c r="D536" s="14">
        <f t="shared" ca="1" si="3"/>
        <v>1202.1127999999997</v>
      </c>
      <c r="E536" s="3"/>
      <c r="F536" s="3"/>
    </row>
    <row r="537" spans="1:6" ht="14.25" x14ac:dyDescent="0.2">
      <c r="A537" s="13">
        <f ca="1">IFERROR(__xludf.DUMMYFUNCTION("""COMPUTED_VALUE"""),44615.6458333333)</f>
        <v>44615.645833333299</v>
      </c>
      <c r="B537" s="14">
        <f ca="1">IFERROR(__xludf.DUMMYFUNCTION("""COMPUTED_VALUE"""),1187.03)</f>
        <v>1187.03</v>
      </c>
      <c r="C537" s="15">
        <f t="shared" ca="1" si="4"/>
        <v>-6.2536626203432144E-3</v>
      </c>
      <c r="D537" s="14">
        <f t="shared" ca="1" si="3"/>
        <v>1202.0517999999997</v>
      </c>
      <c r="E537" s="3"/>
      <c r="F537" s="3"/>
    </row>
    <row r="538" spans="1:6" ht="14.25" x14ac:dyDescent="0.2">
      <c r="A538" s="13">
        <f ca="1">IFERROR(__xludf.DUMMYFUNCTION("""COMPUTED_VALUE"""),44616.6458333333)</f>
        <v>44616.645833333299</v>
      </c>
      <c r="B538" s="14">
        <f ca="1">IFERROR(__xludf.DUMMYFUNCTION("""COMPUTED_VALUE"""),1127.88)</f>
        <v>1127.8800000000001</v>
      </c>
      <c r="C538" s="15">
        <f t="shared" ca="1" si="4"/>
        <v>-4.9830248603657701E-2</v>
      </c>
      <c r="D538" s="14">
        <f t="shared" ca="1" si="3"/>
        <v>1200.8773999999999</v>
      </c>
      <c r="E538" s="3"/>
      <c r="F538" s="3"/>
    </row>
    <row r="539" spans="1:6" ht="14.25" x14ac:dyDescent="0.2">
      <c r="A539" s="13">
        <f ca="1">IFERROR(__xludf.DUMMYFUNCTION("""COMPUTED_VALUE"""),44617.6458333333)</f>
        <v>44617.645833333299</v>
      </c>
      <c r="B539" s="14">
        <f ca="1">IFERROR(__xludf.DUMMYFUNCTION("""COMPUTED_VALUE"""),1141.97)</f>
        <v>1141.97</v>
      </c>
      <c r="C539" s="15">
        <f t="shared" ca="1" si="4"/>
        <v>1.2492463737276971E-2</v>
      </c>
      <c r="D539" s="14">
        <f t="shared" ca="1" si="3"/>
        <v>1199.6777999999999</v>
      </c>
      <c r="E539" s="3"/>
      <c r="F539" s="3"/>
    </row>
    <row r="540" spans="1:6" ht="14.25" x14ac:dyDescent="0.2">
      <c r="A540" s="13">
        <f ca="1">IFERROR(__xludf.DUMMYFUNCTION("""COMPUTED_VALUE"""),44620.6458333333)</f>
        <v>44620.645833333299</v>
      </c>
      <c r="B540" s="14">
        <f ca="1">IFERROR(__xludf.DUMMYFUNCTION("""COMPUTED_VALUE"""),1179.78)</f>
        <v>1179.78</v>
      </c>
      <c r="C540" s="15">
        <f t="shared" ca="1" si="4"/>
        <v>3.3109451211502883E-2</v>
      </c>
      <c r="D540" s="14">
        <f t="shared" ca="1" si="3"/>
        <v>1199.8689999999997</v>
      </c>
      <c r="E540" s="3"/>
      <c r="F540" s="3"/>
    </row>
    <row r="541" spans="1:6" ht="14.25" x14ac:dyDescent="0.2">
      <c r="A541" s="13">
        <f ca="1">IFERROR(__xludf.DUMMYFUNCTION("""COMPUTED_VALUE"""),44622.6458333333)</f>
        <v>44622.645833333299</v>
      </c>
      <c r="B541" s="14">
        <f ca="1">IFERROR(__xludf.DUMMYFUNCTION("""COMPUTED_VALUE"""),1199.28)</f>
        <v>1199.28</v>
      </c>
      <c r="C541" s="15">
        <f t="shared" ca="1" si="4"/>
        <v>1.6528505314550079E-2</v>
      </c>
      <c r="D541" s="14">
        <f t="shared" ca="1" si="3"/>
        <v>1201.0809999999997</v>
      </c>
      <c r="E541" s="3"/>
      <c r="F541" s="3"/>
    </row>
    <row r="542" spans="1:6" ht="14.25" x14ac:dyDescent="0.2">
      <c r="A542" s="13">
        <f ca="1">IFERROR(__xludf.DUMMYFUNCTION("""COMPUTED_VALUE"""),44623.6458333333)</f>
        <v>44623.645833333299</v>
      </c>
      <c r="B542" s="14">
        <f ca="1">IFERROR(__xludf.DUMMYFUNCTION("""COMPUTED_VALUE"""),1189.15)</f>
        <v>1189.1500000000001</v>
      </c>
      <c r="C542" s="15">
        <f t="shared" ca="1" si="4"/>
        <v>-8.4467347074910215E-3</v>
      </c>
      <c r="D542" s="14">
        <f t="shared" ca="1" si="3"/>
        <v>1201.7513999999999</v>
      </c>
      <c r="E542" s="3"/>
      <c r="F542" s="3"/>
    </row>
    <row r="543" spans="1:6" ht="14.25" x14ac:dyDescent="0.2">
      <c r="A543" s="13">
        <f ca="1">IFERROR(__xludf.DUMMYFUNCTION("""COMPUTED_VALUE"""),44624.6458333333)</f>
        <v>44624.645833333299</v>
      </c>
      <c r="B543" s="14">
        <f ca="1">IFERROR(__xludf.DUMMYFUNCTION("""COMPUTED_VALUE"""),1162.78)</f>
        <v>1162.78</v>
      </c>
      <c r="C543" s="15">
        <f t="shared" ca="1" si="4"/>
        <v>-2.2175503510911243E-2</v>
      </c>
      <c r="D543" s="14">
        <f t="shared" ca="1" si="3"/>
        <v>1201.3459999999998</v>
      </c>
      <c r="E543" s="3"/>
      <c r="F543" s="3"/>
    </row>
    <row r="544" spans="1:6" ht="14.25" x14ac:dyDescent="0.2">
      <c r="A544" s="13">
        <f ca="1">IFERROR(__xludf.DUMMYFUNCTION("""COMPUTED_VALUE"""),44627.6458333333)</f>
        <v>44627.645833333299</v>
      </c>
      <c r="B544" s="14">
        <f ca="1">IFERROR(__xludf.DUMMYFUNCTION("""COMPUTED_VALUE"""),1119.78)</f>
        <v>1119.78</v>
      </c>
      <c r="C544" s="15">
        <f t="shared" ca="1" si="4"/>
        <v>-3.6980340219129992E-2</v>
      </c>
      <c r="D544" s="14">
        <f t="shared" ca="1" si="3"/>
        <v>1200.0889999999997</v>
      </c>
      <c r="E544" s="3"/>
      <c r="F544" s="3"/>
    </row>
    <row r="545" spans="1:6" ht="14.25" x14ac:dyDescent="0.2">
      <c r="A545" s="13">
        <f ca="1">IFERROR(__xludf.DUMMYFUNCTION("""COMPUTED_VALUE"""),44628.6458333333)</f>
        <v>44628.645833333299</v>
      </c>
      <c r="B545" s="14">
        <f ca="1">IFERROR(__xludf.DUMMYFUNCTION("""COMPUTED_VALUE"""),1117.75)</f>
        <v>1117.75</v>
      </c>
      <c r="C545" s="15">
        <f t="shared" ca="1" si="4"/>
        <v>-1.8128560967333174E-3</v>
      </c>
      <c r="D545" s="14">
        <f t="shared" ca="1" si="3"/>
        <v>1198.7159999999997</v>
      </c>
      <c r="E545" s="3"/>
      <c r="F545" s="3"/>
    </row>
    <row r="546" spans="1:6" ht="14.25" x14ac:dyDescent="0.2">
      <c r="A546" s="13">
        <f ca="1">IFERROR(__xludf.DUMMYFUNCTION("""COMPUTED_VALUE"""),44629.6458333333)</f>
        <v>44629.645833333299</v>
      </c>
      <c r="B546" s="14">
        <f ca="1">IFERROR(__xludf.DUMMYFUNCTION("""COMPUTED_VALUE"""),1177.05)</f>
        <v>1177.05</v>
      </c>
      <c r="C546" s="15">
        <f t="shared" ca="1" si="4"/>
        <v>5.3053008275553593E-2</v>
      </c>
      <c r="D546" s="14">
        <f t="shared" ca="1" si="3"/>
        <v>1198.5544</v>
      </c>
      <c r="E546" s="3"/>
      <c r="F546" s="3"/>
    </row>
    <row r="547" spans="1:6" ht="14.25" x14ac:dyDescent="0.2">
      <c r="A547" s="13">
        <f ca="1">IFERROR(__xludf.DUMMYFUNCTION("""COMPUTED_VALUE"""),44630.6458333333)</f>
        <v>44630.645833333299</v>
      </c>
      <c r="B547" s="14">
        <f ca="1">IFERROR(__xludf.DUMMYFUNCTION("""COMPUTED_VALUE"""),1196.13)</f>
        <v>1196.1300000000001</v>
      </c>
      <c r="C547" s="15">
        <f t="shared" ca="1" si="4"/>
        <v>1.6210016566841068E-2</v>
      </c>
      <c r="D547" s="14">
        <f t="shared" ca="1" si="3"/>
        <v>1198.4929999999997</v>
      </c>
      <c r="E547" s="3"/>
      <c r="F547" s="3"/>
    </row>
    <row r="548" spans="1:6" ht="14.25" x14ac:dyDescent="0.2">
      <c r="A548" s="13">
        <f ca="1">IFERROR(__xludf.DUMMYFUNCTION("""COMPUTED_VALUE"""),44631.6458333333)</f>
        <v>44631.645833333299</v>
      </c>
      <c r="B548" s="14">
        <f ca="1">IFERROR(__xludf.DUMMYFUNCTION("""COMPUTED_VALUE"""),1199.58)</f>
        <v>1199.58</v>
      </c>
      <c r="C548" s="15">
        <f t="shared" ca="1" si="4"/>
        <v>2.88430187354205E-3</v>
      </c>
      <c r="D548" s="14">
        <f t="shared" ca="1" si="3"/>
        <v>1198.4595999999997</v>
      </c>
      <c r="E548" s="3"/>
      <c r="F548" s="3"/>
    </row>
    <row r="549" spans="1:6" ht="14.25" x14ac:dyDescent="0.2">
      <c r="A549" s="13">
        <f ca="1">IFERROR(__xludf.DUMMYFUNCTION("""COMPUTED_VALUE"""),44634.6458333333)</f>
        <v>44634.645833333299</v>
      </c>
      <c r="B549" s="14">
        <f ca="1">IFERROR(__xludf.DUMMYFUNCTION("""COMPUTED_VALUE"""),1209.43)</f>
        <v>1209.43</v>
      </c>
      <c r="C549" s="15">
        <f t="shared" ca="1" si="4"/>
        <v>8.2112072558730986E-3</v>
      </c>
      <c r="D549" s="14">
        <f t="shared" ca="1" si="3"/>
        <v>1199.0571999999997</v>
      </c>
      <c r="E549" s="3"/>
      <c r="F549" s="3"/>
    </row>
    <row r="550" spans="1:6" ht="14.25" x14ac:dyDescent="0.2">
      <c r="A550" s="13">
        <f ca="1">IFERROR(__xludf.DUMMYFUNCTION("""COMPUTED_VALUE"""),44635.6458333333)</f>
        <v>44635.645833333299</v>
      </c>
      <c r="B550" s="14">
        <f ca="1">IFERROR(__xludf.DUMMYFUNCTION("""COMPUTED_VALUE"""),1181.72)</f>
        <v>1181.72</v>
      </c>
      <c r="C550" s="15">
        <f t="shared" ca="1" si="4"/>
        <v>-2.2911619523246496E-2</v>
      </c>
      <c r="D550" s="14">
        <f t="shared" ca="1" si="3"/>
        <v>1199.0099999999998</v>
      </c>
      <c r="E550" s="3"/>
      <c r="F550" s="3"/>
    </row>
    <row r="551" spans="1:6" ht="14.25" x14ac:dyDescent="0.2">
      <c r="A551" s="13">
        <f ca="1">IFERROR(__xludf.DUMMYFUNCTION("""COMPUTED_VALUE"""),44636.6458333333)</f>
        <v>44636.645833333299</v>
      </c>
      <c r="B551" s="14">
        <f ca="1">IFERROR(__xludf.DUMMYFUNCTION("""COMPUTED_VALUE"""),1201.68)</f>
        <v>1201.68</v>
      </c>
      <c r="C551" s="15">
        <f t="shared" ca="1" si="4"/>
        <v>1.6890633991131665E-2</v>
      </c>
      <c r="D551" s="14">
        <f t="shared" ca="1" si="3"/>
        <v>1199.0049999999997</v>
      </c>
      <c r="E551" s="3"/>
      <c r="F551" s="3"/>
    </row>
    <row r="552" spans="1:6" ht="14.25" x14ac:dyDescent="0.2">
      <c r="A552" s="13">
        <f ca="1">IFERROR(__xludf.DUMMYFUNCTION("""COMPUTED_VALUE"""),44637.6458333333)</f>
        <v>44637.645833333299</v>
      </c>
      <c r="B552" s="14">
        <f ca="1">IFERROR(__xludf.DUMMYFUNCTION("""COMPUTED_VALUE"""),1240.85)</f>
        <v>1240.8499999999999</v>
      </c>
      <c r="C552" s="15">
        <f t="shared" ca="1" si="4"/>
        <v>3.2596032221556381E-2</v>
      </c>
      <c r="D552" s="14">
        <f t="shared" ca="1" si="3"/>
        <v>1199.2409999999998</v>
      </c>
      <c r="E552" s="3"/>
      <c r="F552" s="3"/>
    </row>
    <row r="553" spans="1:6" ht="14.25" x14ac:dyDescent="0.2">
      <c r="A553" s="13">
        <f ca="1">IFERROR(__xludf.DUMMYFUNCTION("""COMPUTED_VALUE"""),44641.6458333333)</f>
        <v>44641.645833333299</v>
      </c>
      <c r="B553" s="14">
        <f ca="1">IFERROR(__xludf.DUMMYFUNCTION("""COMPUTED_VALUE"""),1233.7)</f>
        <v>1233.7</v>
      </c>
      <c r="C553" s="15">
        <f t="shared" ca="1" si="4"/>
        <v>-5.7621791513881027E-3</v>
      </c>
      <c r="D553" s="14">
        <f t="shared" ca="1" si="3"/>
        <v>1199.2189999999996</v>
      </c>
      <c r="E553" s="3"/>
      <c r="F553" s="3"/>
    </row>
    <row r="554" spans="1:6" ht="14.25" x14ac:dyDescent="0.2">
      <c r="A554" s="13">
        <f ca="1">IFERROR(__xludf.DUMMYFUNCTION("""COMPUTED_VALUE"""),44642.6458333333)</f>
        <v>44642.645833333299</v>
      </c>
      <c r="B554" s="14">
        <f ca="1">IFERROR(__xludf.DUMMYFUNCTION("""COMPUTED_VALUE"""),1265.58)</f>
        <v>1265.58</v>
      </c>
      <c r="C554" s="15">
        <f t="shared" ca="1" si="4"/>
        <v>2.5840966199238036E-2</v>
      </c>
      <c r="D554" s="14">
        <f t="shared" ca="1" si="3"/>
        <v>1200.3655999999996</v>
      </c>
      <c r="E554" s="3"/>
      <c r="F554" s="3"/>
    </row>
    <row r="555" spans="1:6" ht="14.25" x14ac:dyDescent="0.2">
      <c r="A555" s="13">
        <f ca="1">IFERROR(__xludf.DUMMYFUNCTION("""COMPUTED_VALUE"""),44643.6458333333)</f>
        <v>44643.645833333299</v>
      </c>
      <c r="B555" s="14">
        <f ca="1">IFERROR(__xludf.DUMMYFUNCTION("""COMPUTED_VALUE"""),1269.6)</f>
        <v>1269.5999999999999</v>
      </c>
      <c r="C555" s="15">
        <f t="shared" ca="1" si="4"/>
        <v>3.1764092352912776E-3</v>
      </c>
      <c r="D555" s="14">
        <f t="shared" ca="1" si="3"/>
        <v>1201.3975999999996</v>
      </c>
      <c r="E555" s="3"/>
      <c r="F555" s="3"/>
    </row>
    <row r="556" spans="1:6" ht="14.25" x14ac:dyDescent="0.2">
      <c r="A556" s="13">
        <f ca="1">IFERROR(__xludf.DUMMYFUNCTION("""COMPUTED_VALUE"""),44644.6458333333)</f>
        <v>44644.645833333299</v>
      </c>
      <c r="B556" s="14">
        <f ca="1">IFERROR(__xludf.DUMMYFUNCTION("""COMPUTED_VALUE"""),1289.33)</f>
        <v>1289.33</v>
      </c>
      <c r="C556" s="15">
        <f t="shared" ca="1" si="4"/>
        <v>1.5540327662255882E-2</v>
      </c>
      <c r="D556" s="14">
        <f t="shared" ca="1" si="3"/>
        <v>1202.8041999999998</v>
      </c>
      <c r="E556" s="3"/>
      <c r="F556" s="3"/>
    </row>
    <row r="557" spans="1:6" ht="14.25" x14ac:dyDescent="0.2">
      <c r="A557" s="13">
        <f ca="1">IFERROR(__xludf.DUMMYFUNCTION("""COMPUTED_VALUE"""),44645.6458333333)</f>
        <v>44645.645833333299</v>
      </c>
      <c r="B557" s="14">
        <f ca="1">IFERROR(__xludf.DUMMYFUNCTION("""COMPUTED_VALUE"""),1297.93)</f>
        <v>1297.93</v>
      </c>
      <c r="C557" s="15">
        <f t="shared" ca="1" si="4"/>
        <v>6.6701309982706292E-3</v>
      </c>
      <c r="D557" s="14">
        <f t="shared" ca="1" si="3"/>
        <v>1204.2071999999998</v>
      </c>
      <c r="E557" s="3"/>
      <c r="F557" s="3"/>
    </row>
    <row r="558" spans="1:6" ht="14.25" x14ac:dyDescent="0.2">
      <c r="A558" s="13">
        <f ca="1">IFERROR(__xludf.DUMMYFUNCTION("""COMPUTED_VALUE"""),44648.6458333333)</f>
        <v>44648.645833333299</v>
      </c>
      <c r="B558" s="14">
        <f ca="1">IFERROR(__xludf.DUMMYFUNCTION("""COMPUTED_VALUE"""),1310.98)</f>
        <v>1310.98</v>
      </c>
      <c r="C558" s="15">
        <f t="shared" ca="1" si="4"/>
        <v>1.0054471350535055E-2</v>
      </c>
      <c r="D558" s="14">
        <f t="shared" ca="1" si="3"/>
        <v>1205.2157999999999</v>
      </c>
      <c r="E558" s="3"/>
      <c r="F558" s="3"/>
    </row>
    <row r="559" spans="1:6" ht="14.25" x14ac:dyDescent="0.2">
      <c r="A559" s="13">
        <f ca="1">IFERROR(__xludf.DUMMYFUNCTION("""COMPUTED_VALUE"""),44649.6458333333)</f>
        <v>44649.645833333299</v>
      </c>
      <c r="B559" s="14">
        <f ca="1">IFERROR(__xludf.DUMMYFUNCTION("""COMPUTED_VALUE"""),1311.28)</f>
        <v>1311.28</v>
      </c>
      <c r="C559" s="15">
        <f t="shared" ca="1" si="4"/>
        <v>2.2883644296634031E-4</v>
      </c>
      <c r="D559" s="14">
        <f t="shared" ca="1" si="3"/>
        <v>1206.0884000000001</v>
      </c>
      <c r="E559" s="3"/>
      <c r="F559" s="3"/>
    </row>
    <row r="560" spans="1:6" ht="14.25" x14ac:dyDescent="0.2">
      <c r="A560" s="13">
        <f ca="1">IFERROR(__xludf.DUMMYFUNCTION("""COMPUTED_VALUE"""),44650.6458333333)</f>
        <v>44650.645833333299</v>
      </c>
      <c r="B560" s="14">
        <f ca="1">IFERROR(__xludf.DUMMYFUNCTION("""COMPUTED_VALUE"""),1336.48)</f>
        <v>1336.48</v>
      </c>
      <c r="C560" s="15">
        <f t="shared" ca="1" si="4"/>
        <v>1.9217863461655771E-2</v>
      </c>
      <c r="D560" s="14">
        <f t="shared" ca="1" si="3"/>
        <v>1207.4280000000001</v>
      </c>
      <c r="E560" s="3"/>
      <c r="F560" s="3"/>
    </row>
    <row r="561" spans="1:6" ht="14.25" x14ac:dyDescent="0.2">
      <c r="A561" s="13">
        <f ca="1">IFERROR(__xludf.DUMMYFUNCTION("""COMPUTED_VALUE"""),44651.6458333333)</f>
        <v>44651.645833333299</v>
      </c>
      <c r="B561" s="14">
        <f ca="1">IFERROR(__xludf.DUMMYFUNCTION("""COMPUTED_VALUE"""),1317.38)</f>
        <v>1317.38</v>
      </c>
      <c r="C561" s="15">
        <f t="shared" ca="1" si="4"/>
        <v>-1.4291272596671734E-2</v>
      </c>
      <c r="D561" s="14">
        <f t="shared" ref="D561:D815" ca="1" si="5">AVERAGE(B512:B561)</f>
        <v>1208.2529999999999</v>
      </c>
      <c r="E561" s="3"/>
      <c r="F561" s="3"/>
    </row>
    <row r="562" spans="1:6" ht="14.25" x14ac:dyDescent="0.2">
      <c r="A562" s="13">
        <f ca="1">IFERROR(__xludf.DUMMYFUNCTION("""COMPUTED_VALUE"""),44652.6458333333)</f>
        <v>44652.645833333299</v>
      </c>
      <c r="B562" s="14">
        <f ca="1">IFERROR(__xludf.DUMMYFUNCTION("""COMPUTED_VALUE"""),1327.93)</f>
        <v>1327.93</v>
      </c>
      <c r="C562" s="15">
        <f t="shared" ca="1" si="4"/>
        <v>8.0083195433360288E-3</v>
      </c>
      <c r="D562" s="14">
        <f t="shared" ca="1" si="5"/>
        <v>1209.5936000000002</v>
      </c>
      <c r="E562" s="3"/>
      <c r="F562" s="3"/>
    </row>
    <row r="563" spans="1:6" ht="14.25" x14ac:dyDescent="0.2">
      <c r="A563" s="13">
        <f ca="1">IFERROR(__xludf.DUMMYFUNCTION("""COMPUTED_VALUE"""),44655.6458333333)</f>
        <v>44655.645833333299</v>
      </c>
      <c r="B563" s="14">
        <f ca="1">IFERROR(__xludf.DUMMYFUNCTION("""COMPUTED_VALUE"""),1331.85)</f>
        <v>1331.85</v>
      </c>
      <c r="C563" s="15">
        <f t="shared" ca="1" si="4"/>
        <v>2.9519628293659395E-3</v>
      </c>
      <c r="D563" s="14">
        <f t="shared" ca="1" si="5"/>
        <v>1211.0146</v>
      </c>
      <c r="E563" s="3"/>
      <c r="F563" s="3"/>
    </row>
    <row r="564" spans="1:6" ht="14.25" x14ac:dyDescent="0.2">
      <c r="A564" s="13">
        <f ca="1">IFERROR(__xludf.DUMMYFUNCTION("""COMPUTED_VALUE"""),44656.6458333333)</f>
        <v>44656.645833333299</v>
      </c>
      <c r="B564" s="14">
        <f ca="1">IFERROR(__xludf.DUMMYFUNCTION("""COMPUTED_VALUE"""),1313.03)</f>
        <v>1313.03</v>
      </c>
      <c r="C564" s="15">
        <f t="shared" ca="1" si="4"/>
        <v>-1.4130720426474452E-2</v>
      </c>
      <c r="D564" s="14">
        <f t="shared" ca="1" si="5"/>
        <v>1212.5008</v>
      </c>
      <c r="E564" s="3"/>
      <c r="F564" s="3"/>
    </row>
    <row r="565" spans="1:6" ht="14.25" x14ac:dyDescent="0.2">
      <c r="A565" s="13">
        <f ca="1">IFERROR(__xludf.DUMMYFUNCTION("""COMPUTED_VALUE"""),44657.6458333333)</f>
        <v>44657.645833333299</v>
      </c>
      <c r="B565" s="14">
        <f ca="1">IFERROR(__xludf.DUMMYFUNCTION("""COMPUTED_VALUE"""),1309.53)</f>
        <v>1309.53</v>
      </c>
      <c r="C565" s="15">
        <f t="shared" ca="1" si="4"/>
        <v>-2.6655902759267214E-3</v>
      </c>
      <c r="D565" s="14">
        <f t="shared" ca="1" si="5"/>
        <v>1213.9128000000001</v>
      </c>
      <c r="E565" s="3"/>
      <c r="F565" s="3"/>
    </row>
    <row r="566" spans="1:6" ht="14.25" x14ac:dyDescent="0.2">
      <c r="A566" s="13">
        <f ca="1">IFERROR(__xludf.DUMMYFUNCTION("""COMPUTED_VALUE"""),44658.6458333333)</f>
        <v>44658.645833333299</v>
      </c>
      <c r="B566" s="14">
        <f ca="1">IFERROR(__xludf.DUMMYFUNCTION("""COMPUTED_VALUE"""),1286.43)</f>
        <v>1286.43</v>
      </c>
      <c r="C566" s="15">
        <f t="shared" ca="1" si="4"/>
        <v>-1.7639916611303263E-2</v>
      </c>
      <c r="D566" s="14">
        <f t="shared" ca="1" si="5"/>
        <v>1215.8624</v>
      </c>
      <c r="E566" s="3"/>
      <c r="F566" s="3"/>
    </row>
    <row r="567" spans="1:6" ht="14.25" x14ac:dyDescent="0.2">
      <c r="A567" s="13">
        <f ca="1">IFERROR(__xludf.DUMMYFUNCTION("""COMPUTED_VALUE"""),44659.6458333333)</f>
        <v>44659.645833333299</v>
      </c>
      <c r="B567" s="14">
        <f ca="1">IFERROR(__xludf.DUMMYFUNCTION("""COMPUTED_VALUE"""),1307.83)</f>
        <v>1307.83</v>
      </c>
      <c r="C567" s="15">
        <f t="shared" ca="1" si="4"/>
        <v>1.663518419191079E-2</v>
      </c>
      <c r="D567" s="14">
        <f t="shared" ca="1" si="5"/>
        <v>1218.2864000000002</v>
      </c>
      <c r="E567" s="3"/>
      <c r="F567" s="3"/>
    </row>
    <row r="568" spans="1:6" ht="14.25" x14ac:dyDescent="0.2">
      <c r="A568" s="13">
        <f ca="1">IFERROR(__xludf.DUMMYFUNCTION("""COMPUTED_VALUE"""),44662.6458333333)</f>
        <v>44662.645833333299</v>
      </c>
      <c r="B568" s="14">
        <f ca="1">IFERROR(__xludf.DUMMYFUNCTION("""COMPUTED_VALUE"""),1305.1)</f>
        <v>1305.0999999999999</v>
      </c>
      <c r="C568" s="15">
        <f t="shared" ca="1" si="4"/>
        <v>-2.0874272650115433E-3</v>
      </c>
      <c r="D568" s="14">
        <f t="shared" ca="1" si="5"/>
        <v>1221.0074</v>
      </c>
      <c r="E568" s="3"/>
      <c r="F568" s="3"/>
    </row>
    <row r="569" spans="1:6" ht="14.25" x14ac:dyDescent="0.2">
      <c r="A569" s="13">
        <f ca="1">IFERROR(__xludf.DUMMYFUNCTION("""COMPUTED_VALUE"""),44663.6458333333)</f>
        <v>44663.645833333299</v>
      </c>
      <c r="B569" s="14">
        <f ca="1">IFERROR(__xludf.DUMMYFUNCTION("""COMPUTED_VALUE"""),1280.53)</f>
        <v>1280.53</v>
      </c>
      <c r="C569" s="15">
        <f t="shared" ca="1" si="4"/>
        <v>-1.8826143590529365E-2</v>
      </c>
      <c r="D569" s="14">
        <f t="shared" ca="1" si="5"/>
        <v>1223.2593999999999</v>
      </c>
      <c r="E569" s="3"/>
      <c r="F569" s="3"/>
    </row>
    <row r="570" spans="1:6" ht="14.25" x14ac:dyDescent="0.2">
      <c r="A570" s="13">
        <f ca="1">IFERROR(__xludf.DUMMYFUNCTION("""COMPUTED_VALUE"""),44664.6458333333)</f>
        <v>44664.645833333299</v>
      </c>
      <c r="B570" s="14">
        <f ca="1">IFERROR(__xludf.DUMMYFUNCTION("""COMPUTED_VALUE"""),1275.83)</f>
        <v>1275.83</v>
      </c>
      <c r="C570" s="15">
        <f t="shared" ca="1" si="4"/>
        <v>-3.6703552435319864E-3</v>
      </c>
      <c r="D570" s="14">
        <f t="shared" ca="1" si="5"/>
        <v>1224.9100000000001</v>
      </c>
      <c r="E570" s="3"/>
      <c r="F570" s="3"/>
    </row>
    <row r="571" spans="1:6" ht="14.25" x14ac:dyDescent="0.2">
      <c r="A571" s="13">
        <f ca="1">IFERROR(__xludf.DUMMYFUNCTION("""COMPUTED_VALUE"""),44669.6458333333)</f>
        <v>44669.645833333299</v>
      </c>
      <c r="B571" s="14">
        <f ca="1">IFERROR(__xludf.DUMMYFUNCTION("""COMPUTED_VALUE"""),1271.93)</f>
        <v>1271.93</v>
      </c>
      <c r="C571" s="15">
        <f t="shared" ca="1" si="4"/>
        <v>-3.0568335906819843E-3</v>
      </c>
      <c r="D571" s="14">
        <f t="shared" ca="1" si="5"/>
        <v>1226.5616</v>
      </c>
      <c r="E571" s="3"/>
      <c r="F571" s="3"/>
    </row>
    <row r="572" spans="1:6" ht="14.25" x14ac:dyDescent="0.2">
      <c r="A572" s="13">
        <f ca="1">IFERROR(__xludf.DUMMYFUNCTION("""COMPUTED_VALUE"""),44670.6458333333)</f>
        <v>44670.645833333299</v>
      </c>
      <c r="B572" s="14">
        <f ca="1">IFERROR(__xludf.DUMMYFUNCTION("""COMPUTED_VALUE"""),1320.4)</f>
        <v>1320.4</v>
      </c>
      <c r="C572" s="15">
        <f t="shared" ca="1" si="4"/>
        <v>3.8107443019663068E-2</v>
      </c>
      <c r="D572" s="14">
        <f t="shared" ca="1" si="5"/>
        <v>1229.134</v>
      </c>
      <c r="E572" s="3"/>
      <c r="F572" s="3"/>
    </row>
    <row r="573" spans="1:6" ht="14.25" x14ac:dyDescent="0.2">
      <c r="A573" s="13">
        <f ca="1">IFERROR(__xludf.DUMMYFUNCTION("""COMPUTED_VALUE"""),44671.6458333333)</f>
        <v>44671.645833333299</v>
      </c>
      <c r="B573" s="14">
        <f ca="1">IFERROR(__xludf.DUMMYFUNCTION("""COMPUTED_VALUE"""),1359.23)</f>
        <v>1359.23</v>
      </c>
      <c r="C573" s="15">
        <f t="shared" ca="1" si="4"/>
        <v>2.9407755225689058E-2</v>
      </c>
      <c r="D573" s="14">
        <f t="shared" ca="1" si="5"/>
        <v>1232.7910000000002</v>
      </c>
      <c r="E573" s="3"/>
      <c r="F573" s="3"/>
    </row>
    <row r="574" spans="1:6" ht="14.25" x14ac:dyDescent="0.2">
      <c r="A574" s="13">
        <f ca="1">IFERROR(__xludf.DUMMYFUNCTION("""COMPUTED_VALUE"""),44672.6458333333)</f>
        <v>44672.645833333299</v>
      </c>
      <c r="B574" s="14">
        <f ca="1">IFERROR(__xludf.DUMMYFUNCTION("""COMPUTED_VALUE"""),1391.05)</f>
        <v>1391.05</v>
      </c>
      <c r="C574" s="15">
        <f t="shared" ca="1" si="4"/>
        <v>2.3410313192027798E-2</v>
      </c>
      <c r="D574" s="14">
        <f t="shared" ca="1" si="5"/>
        <v>1237.299</v>
      </c>
      <c r="E574" s="3"/>
      <c r="F574" s="3"/>
    </row>
    <row r="575" spans="1:6" ht="14.25" x14ac:dyDescent="0.2">
      <c r="A575" s="13">
        <f ca="1">IFERROR(__xludf.DUMMYFUNCTION("""COMPUTED_VALUE"""),44673.6458333333)</f>
        <v>44673.645833333299</v>
      </c>
      <c r="B575" s="14">
        <f ca="1">IFERROR(__xludf.DUMMYFUNCTION("""COMPUTED_VALUE"""),1379.4)</f>
        <v>1379.4</v>
      </c>
      <c r="C575" s="15">
        <f t="shared" ca="1" si="4"/>
        <v>-8.3749685489377113E-3</v>
      </c>
      <c r="D575" s="14">
        <f t="shared" ca="1" si="5"/>
        <v>1241.7160000000001</v>
      </c>
      <c r="E575" s="3"/>
      <c r="F575" s="3"/>
    </row>
    <row r="576" spans="1:6" ht="14.25" x14ac:dyDescent="0.2">
      <c r="A576" s="13">
        <f ca="1">IFERROR(__xludf.DUMMYFUNCTION("""COMPUTED_VALUE"""),44676.6458333333)</f>
        <v>44676.645833333299</v>
      </c>
      <c r="B576" s="14">
        <f ca="1">IFERROR(__xludf.DUMMYFUNCTION("""COMPUTED_VALUE"""),1347.5)</f>
        <v>1347.5</v>
      </c>
      <c r="C576" s="15">
        <f t="shared" ca="1" si="4"/>
        <v>-2.3125996810207439E-2</v>
      </c>
      <c r="D576" s="14">
        <f t="shared" ca="1" si="5"/>
        <v>1245.1054000000001</v>
      </c>
      <c r="E576" s="3"/>
      <c r="F576" s="3"/>
    </row>
    <row r="577" spans="1:6" ht="14.25" x14ac:dyDescent="0.2">
      <c r="A577" s="13">
        <f ca="1">IFERROR(__xludf.DUMMYFUNCTION("""COMPUTED_VALUE"""),44677.6458333333)</f>
        <v>44677.645833333299</v>
      </c>
      <c r="B577" s="14">
        <f ca="1">IFERROR(__xludf.DUMMYFUNCTION("""COMPUTED_VALUE"""),1387.83)</f>
        <v>1387.83</v>
      </c>
      <c r="C577" s="15">
        <f t="shared" ca="1" si="4"/>
        <v>2.9929499072356203E-2</v>
      </c>
      <c r="D577" s="14">
        <f t="shared" ca="1" si="5"/>
        <v>1249.0270000000003</v>
      </c>
      <c r="E577" s="3"/>
      <c r="F577" s="3"/>
    </row>
    <row r="578" spans="1:6" ht="14.25" x14ac:dyDescent="0.2">
      <c r="A578" s="13">
        <f ca="1">IFERROR(__xludf.DUMMYFUNCTION("""COMPUTED_VALUE"""),44678.6458333333)</f>
        <v>44678.645833333299</v>
      </c>
      <c r="B578" s="14">
        <f ca="1">IFERROR(__xludf.DUMMYFUNCTION("""COMPUTED_VALUE"""),1389.18)</f>
        <v>1389.18</v>
      </c>
      <c r="C578" s="15">
        <f t="shared" ca="1" si="4"/>
        <v>9.7274161820992688E-4</v>
      </c>
      <c r="D578" s="14">
        <f t="shared" ca="1" si="5"/>
        <v>1253.0000000000002</v>
      </c>
      <c r="E578" s="3"/>
      <c r="F578" s="3"/>
    </row>
    <row r="579" spans="1:6" ht="14.25" x14ac:dyDescent="0.2">
      <c r="A579" s="13">
        <f ca="1">IFERROR(__xludf.DUMMYFUNCTION("""COMPUTED_VALUE"""),44679.6458333333)</f>
        <v>44679.645833333299</v>
      </c>
      <c r="B579" s="14">
        <f ca="1">IFERROR(__xludf.DUMMYFUNCTION("""COMPUTED_VALUE"""),1409.93)</f>
        <v>1409.93</v>
      </c>
      <c r="C579" s="15">
        <f t="shared" ca="1" si="4"/>
        <v>1.4936869232208938E-2</v>
      </c>
      <c r="D579" s="14">
        <f t="shared" ca="1" si="5"/>
        <v>1257.4346000000003</v>
      </c>
      <c r="E579" s="3"/>
      <c r="F579" s="3"/>
    </row>
    <row r="580" spans="1:6" ht="14.25" x14ac:dyDescent="0.2">
      <c r="A580" s="13">
        <f ca="1">IFERROR(__xludf.DUMMYFUNCTION("""COMPUTED_VALUE"""),44680.6458333333)</f>
        <v>44680.645833333299</v>
      </c>
      <c r="B580" s="14">
        <f ca="1">IFERROR(__xludf.DUMMYFUNCTION("""COMPUTED_VALUE"""),1395.13)</f>
        <v>1395.13</v>
      </c>
      <c r="C580" s="15">
        <f t="shared" ca="1" si="4"/>
        <v>-1.0496975027128985E-2</v>
      </c>
      <c r="D580" s="14">
        <f t="shared" ca="1" si="5"/>
        <v>1261.9516000000001</v>
      </c>
      <c r="E580" s="3"/>
      <c r="F580" s="3"/>
    </row>
    <row r="581" spans="1:6" ht="14.25" x14ac:dyDescent="0.2">
      <c r="A581" s="13">
        <f ca="1">IFERROR(__xludf.DUMMYFUNCTION("""COMPUTED_VALUE"""),44683.6458333333)</f>
        <v>44683.645833333299</v>
      </c>
      <c r="B581" s="14">
        <f ca="1">IFERROR(__xludf.DUMMYFUNCTION("""COMPUTED_VALUE"""),1390.23)</f>
        <v>1390.23</v>
      </c>
      <c r="C581" s="15">
        <f t="shared" ca="1" si="4"/>
        <v>-3.5122174994445254E-3</v>
      </c>
      <c r="D581" s="14">
        <f t="shared" ca="1" si="5"/>
        <v>1265.5768000000003</v>
      </c>
      <c r="E581" s="3"/>
      <c r="F581" s="3"/>
    </row>
    <row r="582" spans="1:6" ht="14.25" x14ac:dyDescent="0.2">
      <c r="A582" s="13">
        <f ca="1">IFERROR(__xludf.DUMMYFUNCTION("""COMPUTED_VALUE"""),44685.6458333333)</f>
        <v>44685.645833333299</v>
      </c>
      <c r="B582" s="14">
        <f ca="1">IFERROR(__xludf.DUMMYFUNCTION("""COMPUTED_VALUE"""),1346.83)</f>
        <v>1346.83</v>
      </c>
      <c r="C582" s="15">
        <f t="shared" ca="1" si="4"/>
        <v>-3.121785603820959E-2</v>
      </c>
      <c r="D582" s="14">
        <f t="shared" ca="1" si="5"/>
        <v>1268.3840000000002</v>
      </c>
      <c r="E582" s="3"/>
      <c r="F582" s="3"/>
    </row>
    <row r="583" spans="1:6" ht="14.25" x14ac:dyDescent="0.2">
      <c r="A583" s="13">
        <f ca="1">IFERROR(__xludf.DUMMYFUNCTION("""COMPUTED_VALUE"""),44686.6458333333)</f>
        <v>44686.645833333299</v>
      </c>
      <c r="B583" s="14">
        <f ca="1">IFERROR(__xludf.DUMMYFUNCTION("""COMPUTED_VALUE"""),1320.45)</f>
        <v>1320.45</v>
      </c>
      <c r="C583" s="15">
        <f t="shared" ca="1" si="4"/>
        <v>-1.9586733292249137E-2</v>
      </c>
      <c r="D583" s="14">
        <f t="shared" ca="1" si="5"/>
        <v>1270.3580000000002</v>
      </c>
      <c r="E583" s="3"/>
      <c r="F583" s="3"/>
    </row>
    <row r="584" spans="1:6" ht="14.25" x14ac:dyDescent="0.2">
      <c r="A584" s="13">
        <f ca="1">IFERROR(__xludf.DUMMYFUNCTION("""COMPUTED_VALUE"""),44687.6458333333)</f>
        <v>44687.645833333299</v>
      </c>
      <c r="B584" s="14">
        <f ca="1">IFERROR(__xludf.DUMMYFUNCTION("""COMPUTED_VALUE"""),1310.33)</f>
        <v>1310.33</v>
      </c>
      <c r="C584" s="15">
        <f t="shared" ca="1" si="4"/>
        <v>-7.6640539210118819E-3</v>
      </c>
      <c r="D584" s="14">
        <f t="shared" ca="1" si="5"/>
        <v>1272.3206</v>
      </c>
      <c r="E584" s="3"/>
      <c r="F584" s="3"/>
    </row>
    <row r="585" spans="1:6" ht="14.25" x14ac:dyDescent="0.2">
      <c r="A585" s="13">
        <f ca="1">IFERROR(__xludf.DUMMYFUNCTION("""COMPUTED_VALUE"""),44690.6458333333)</f>
        <v>44690.645833333299</v>
      </c>
      <c r="B585" s="14">
        <f ca="1">IFERROR(__xludf.DUMMYFUNCTION("""COMPUTED_VALUE"""),1259.15)</f>
        <v>1259.1500000000001</v>
      </c>
      <c r="C585" s="15">
        <f t="shared" ca="1" si="4"/>
        <v>-3.9058863034502678E-2</v>
      </c>
      <c r="D585" s="14">
        <f t="shared" ca="1" si="5"/>
        <v>1273.5046000000002</v>
      </c>
      <c r="E585" s="3"/>
      <c r="F585" s="3"/>
    </row>
    <row r="586" spans="1:6" ht="14.25" x14ac:dyDescent="0.2">
      <c r="A586" s="13">
        <f ca="1">IFERROR(__xludf.DUMMYFUNCTION("""COMPUTED_VALUE"""),44691.6458333333)</f>
        <v>44691.645833333299</v>
      </c>
      <c r="B586" s="14">
        <f ca="1">IFERROR(__xludf.DUMMYFUNCTION("""COMPUTED_VALUE"""),1237.33)</f>
        <v>1237.33</v>
      </c>
      <c r="C586" s="15">
        <f t="shared" ca="1" si="4"/>
        <v>-1.7329150617480193E-2</v>
      </c>
      <c r="D586" s="14">
        <f t="shared" ca="1" si="5"/>
        <v>1274.3612000000003</v>
      </c>
      <c r="E586" s="3"/>
      <c r="F586" s="3"/>
    </row>
    <row r="587" spans="1:6" ht="14.25" x14ac:dyDescent="0.2">
      <c r="A587" s="13">
        <f ca="1">IFERROR(__xludf.DUMMYFUNCTION("""COMPUTED_VALUE"""),44692.6458333333)</f>
        <v>44692.645833333299</v>
      </c>
      <c r="B587" s="14">
        <f ca="1">IFERROR(__xludf.DUMMYFUNCTION("""COMPUTED_VALUE"""),1224.65)</f>
        <v>1224.6500000000001</v>
      </c>
      <c r="C587" s="15">
        <f t="shared" ca="1" si="4"/>
        <v>-1.0247872435001026E-2</v>
      </c>
      <c r="D587" s="14">
        <f t="shared" ca="1" si="5"/>
        <v>1275.1136000000004</v>
      </c>
      <c r="E587" s="3"/>
      <c r="F587" s="3"/>
    </row>
    <row r="588" spans="1:6" ht="14.25" x14ac:dyDescent="0.2">
      <c r="A588" s="13">
        <f ca="1">IFERROR(__xludf.DUMMYFUNCTION("""COMPUTED_VALUE"""),44693.6458333333)</f>
        <v>44693.645833333299</v>
      </c>
      <c r="B588" s="14">
        <f ca="1">IFERROR(__xludf.DUMMYFUNCTION("""COMPUTED_VALUE"""),1199.7)</f>
        <v>1199.7</v>
      </c>
      <c r="C588" s="15">
        <f t="shared" ca="1" si="4"/>
        <v>-2.0373167843873774E-2</v>
      </c>
      <c r="D588" s="14">
        <f t="shared" ca="1" si="5"/>
        <v>1276.5500000000002</v>
      </c>
      <c r="E588" s="3"/>
      <c r="F588" s="3"/>
    </row>
    <row r="589" spans="1:6" ht="14.25" x14ac:dyDescent="0.2">
      <c r="A589" s="13">
        <f ca="1">IFERROR(__xludf.DUMMYFUNCTION("""COMPUTED_VALUE"""),44694.6458333333)</f>
        <v>44694.645833333299</v>
      </c>
      <c r="B589" s="14">
        <f ca="1">IFERROR(__xludf.DUMMYFUNCTION("""COMPUTED_VALUE"""),1213.3)</f>
        <v>1213.3</v>
      </c>
      <c r="C589" s="15">
        <f t="shared" ca="1" si="4"/>
        <v>1.1336167375177064E-2</v>
      </c>
      <c r="D589" s="14">
        <f t="shared" ca="1" si="5"/>
        <v>1277.9766000000002</v>
      </c>
      <c r="E589" s="3"/>
      <c r="F589" s="3"/>
    </row>
    <row r="590" spans="1:6" ht="14.25" x14ac:dyDescent="0.2">
      <c r="A590" s="13">
        <f ca="1">IFERROR(__xludf.DUMMYFUNCTION("""COMPUTED_VALUE"""),44697.6458333333)</f>
        <v>44697.645833333299</v>
      </c>
      <c r="B590" s="14">
        <f ca="1">IFERROR(__xludf.DUMMYFUNCTION("""COMPUTED_VALUE"""),1213.6)</f>
        <v>1213.5999999999999</v>
      </c>
      <c r="C590" s="15">
        <f t="shared" ca="1" si="4"/>
        <v>2.4725954009729989E-4</v>
      </c>
      <c r="D590" s="14">
        <f t="shared" ca="1" si="5"/>
        <v>1278.6530000000002</v>
      </c>
      <c r="E590" s="3"/>
      <c r="F590" s="3"/>
    </row>
    <row r="591" spans="1:6" ht="14.25" x14ac:dyDescent="0.2">
      <c r="A591" s="13">
        <f ca="1">IFERROR(__xludf.DUMMYFUNCTION("""COMPUTED_VALUE"""),44698.6458333333)</f>
        <v>44698.645833333299</v>
      </c>
      <c r="B591" s="14">
        <f ca="1">IFERROR(__xludf.DUMMYFUNCTION("""COMPUTED_VALUE"""),1264.58)</f>
        <v>1264.58</v>
      </c>
      <c r="C591" s="15">
        <f t="shared" ca="1" si="4"/>
        <v>4.2007251153592717E-2</v>
      </c>
      <c r="D591" s="14">
        <f t="shared" ca="1" si="5"/>
        <v>1279.9590000000003</v>
      </c>
      <c r="E591" s="3"/>
      <c r="F591" s="3"/>
    </row>
    <row r="592" spans="1:6" ht="14.25" x14ac:dyDescent="0.2">
      <c r="A592" s="13">
        <f ca="1">IFERROR(__xludf.DUMMYFUNCTION("""COMPUTED_VALUE"""),44699.6458333333)</f>
        <v>44699.645833333299</v>
      </c>
      <c r="B592" s="14">
        <f ca="1">IFERROR(__xludf.DUMMYFUNCTION("""COMPUTED_VALUE"""),1269.18)</f>
        <v>1269.18</v>
      </c>
      <c r="C592" s="15">
        <f t="shared" ca="1" si="4"/>
        <v>3.6375713675687038E-3</v>
      </c>
      <c r="D592" s="14">
        <f t="shared" ca="1" si="5"/>
        <v>1281.5596000000003</v>
      </c>
      <c r="E592" s="3"/>
      <c r="F592" s="3"/>
    </row>
    <row r="593" spans="1:6" ht="14.25" x14ac:dyDescent="0.2">
      <c r="A593" s="13">
        <f ca="1">IFERROR(__xludf.DUMMYFUNCTION("""COMPUTED_VALUE"""),44700.6458333333)</f>
        <v>44700.645833333299</v>
      </c>
      <c r="B593" s="14">
        <f ca="1">IFERROR(__xludf.DUMMYFUNCTION("""COMPUTED_VALUE"""),1239.93)</f>
        <v>1239.93</v>
      </c>
      <c r="C593" s="15">
        <f t="shared" ca="1" si="4"/>
        <v>-2.3046376400510549E-2</v>
      </c>
      <c r="D593" s="14">
        <f t="shared" ca="1" si="5"/>
        <v>1283.1026000000002</v>
      </c>
      <c r="E593" s="3"/>
      <c r="F593" s="3"/>
    </row>
    <row r="594" spans="1:6" ht="14.25" x14ac:dyDescent="0.2">
      <c r="A594" s="13">
        <f ca="1">IFERROR(__xludf.DUMMYFUNCTION("""COMPUTED_VALUE"""),44701.6458333333)</f>
        <v>44701.645833333299</v>
      </c>
      <c r="B594" s="14">
        <f ca="1">IFERROR(__xludf.DUMMYFUNCTION("""COMPUTED_VALUE"""),1312.23)</f>
        <v>1312.23</v>
      </c>
      <c r="C594" s="15">
        <f t="shared" ca="1" si="4"/>
        <v>5.8309743291959926E-2</v>
      </c>
      <c r="D594" s="14">
        <f t="shared" ca="1" si="5"/>
        <v>1286.9516000000003</v>
      </c>
      <c r="E594" s="3"/>
      <c r="F594" s="3"/>
    </row>
    <row r="595" spans="1:6" ht="14.25" x14ac:dyDescent="0.2">
      <c r="A595" s="13">
        <f ca="1">IFERROR(__xludf.DUMMYFUNCTION("""COMPUTED_VALUE"""),44704.6458333333)</f>
        <v>44704.645833333299</v>
      </c>
      <c r="B595" s="14">
        <f ca="1">IFERROR(__xludf.DUMMYFUNCTION("""COMPUTED_VALUE"""),1303.45)</f>
        <v>1303.45</v>
      </c>
      <c r="C595" s="15">
        <f t="shared" ca="1" si="4"/>
        <v>-6.690900223284002E-3</v>
      </c>
      <c r="D595" s="14">
        <f t="shared" ca="1" si="5"/>
        <v>1290.6656000000003</v>
      </c>
      <c r="E595" s="3"/>
      <c r="F595" s="3"/>
    </row>
    <row r="596" spans="1:6" ht="14.25" x14ac:dyDescent="0.2">
      <c r="A596" s="13">
        <f ca="1">IFERROR(__xludf.DUMMYFUNCTION("""COMPUTED_VALUE"""),44705.6458333333)</f>
        <v>44705.645833333299</v>
      </c>
      <c r="B596" s="14">
        <f ca="1">IFERROR(__xludf.DUMMYFUNCTION("""COMPUTED_VALUE"""),1307.93)</f>
        <v>1307.93</v>
      </c>
      <c r="C596" s="15">
        <f t="shared" ca="1" si="4"/>
        <v>3.4370324906978222E-3</v>
      </c>
      <c r="D596" s="14">
        <f t="shared" ca="1" si="5"/>
        <v>1293.2832000000003</v>
      </c>
      <c r="E596" s="3"/>
      <c r="F596" s="3"/>
    </row>
    <row r="597" spans="1:6" ht="14.25" x14ac:dyDescent="0.2">
      <c r="A597" s="13">
        <f ca="1">IFERROR(__xludf.DUMMYFUNCTION("""COMPUTED_VALUE"""),44706.6458333333)</f>
        <v>44706.645833333299</v>
      </c>
      <c r="B597" s="14">
        <f ca="1">IFERROR(__xludf.DUMMYFUNCTION("""COMPUTED_VALUE"""),1306)</f>
        <v>1306</v>
      </c>
      <c r="C597" s="15">
        <f t="shared" ca="1" si="4"/>
        <v>-1.4756141383713839E-3</v>
      </c>
      <c r="D597" s="14">
        <f t="shared" ca="1" si="5"/>
        <v>1295.4806000000003</v>
      </c>
      <c r="E597" s="3"/>
      <c r="F597" s="3"/>
    </row>
    <row r="598" spans="1:6" ht="14.25" x14ac:dyDescent="0.2">
      <c r="A598" s="13">
        <f ca="1">IFERROR(__xludf.DUMMYFUNCTION("""COMPUTED_VALUE"""),44707.6458333333)</f>
        <v>44707.645833333299</v>
      </c>
      <c r="B598" s="14">
        <f ca="1">IFERROR(__xludf.DUMMYFUNCTION("""COMPUTED_VALUE"""),1293.55)</f>
        <v>1293.55</v>
      </c>
      <c r="C598" s="15">
        <f t="shared" ca="1" si="4"/>
        <v>-9.5329249617152056E-3</v>
      </c>
      <c r="D598" s="14">
        <f t="shared" ca="1" si="5"/>
        <v>1297.3600000000001</v>
      </c>
      <c r="E598" s="3"/>
      <c r="F598" s="3"/>
    </row>
    <row r="599" spans="1:6" ht="14.25" x14ac:dyDescent="0.2">
      <c r="A599" s="13">
        <f ca="1">IFERROR(__xludf.DUMMYFUNCTION("""COMPUTED_VALUE"""),44708.6458333333)</f>
        <v>44708.645833333299</v>
      </c>
      <c r="B599" s="14">
        <f ca="1">IFERROR(__xludf.DUMMYFUNCTION("""COMPUTED_VALUE"""),1287.55)</f>
        <v>1287.55</v>
      </c>
      <c r="C599" s="15">
        <f t="shared" ca="1" si="4"/>
        <v>-4.6383982064860385E-3</v>
      </c>
      <c r="D599" s="14">
        <f t="shared" ca="1" si="5"/>
        <v>1298.9224000000002</v>
      </c>
      <c r="E599" s="3"/>
      <c r="F599" s="3"/>
    </row>
    <row r="600" spans="1:6" ht="14.25" x14ac:dyDescent="0.2">
      <c r="A600" s="13">
        <f ca="1">IFERROR(__xludf.DUMMYFUNCTION("""COMPUTED_VALUE"""),44711.6458333333)</f>
        <v>44711.645833333299</v>
      </c>
      <c r="B600" s="14">
        <f ca="1">IFERROR(__xludf.DUMMYFUNCTION("""COMPUTED_VALUE"""),1332.4)</f>
        <v>1332.4</v>
      </c>
      <c r="C600" s="15">
        <f t="shared" ca="1" si="4"/>
        <v>3.4833598695196422E-2</v>
      </c>
      <c r="D600" s="14">
        <f t="shared" ca="1" si="5"/>
        <v>1301.9360000000004</v>
      </c>
      <c r="E600" s="3"/>
      <c r="F600" s="3"/>
    </row>
    <row r="601" spans="1:6" ht="14.25" x14ac:dyDescent="0.2">
      <c r="A601" s="13">
        <f ca="1">IFERROR(__xludf.DUMMYFUNCTION("""COMPUTED_VALUE"""),44712.6458333333)</f>
        <v>44712.645833333299</v>
      </c>
      <c r="B601" s="14">
        <f ca="1">IFERROR(__xludf.DUMMYFUNCTION("""COMPUTED_VALUE"""),1316.33)</f>
        <v>1316.33</v>
      </c>
      <c r="C601" s="15">
        <f t="shared" ca="1" si="4"/>
        <v>-1.2060942659862017E-2</v>
      </c>
      <c r="D601" s="14">
        <f t="shared" ca="1" si="5"/>
        <v>1304.2290000000003</v>
      </c>
      <c r="E601" s="3"/>
      <c r="F601" s="3"/>
    </row>
    <row r="602" spans="1:6" ht="14.25" x14ac:dyDescent="0.2">
      <c r="A602" s="13">
        <f ca="1">IFERROR(__xludf.DUMMYFUNCTION("""COMPUTED_VALUE"""),44713.6458333333)</f>
        <v>44713.645833333299</v>
      </c>
      <c r="B602" s="14">
        <f ca="1">IFERROR(__xludf.DUMMYFUNCTION("""COMPUTED_VALUE"""),1316.75)</f>
        <v>1316.75</v>
      </c>
      <c r="C602" s="15">
        <f t="shared" ca="1" si="4"/>
        <v>3.1906892648514429E-4</v>
      </c>
      <c r="D602" s="14">
        <f t="shared" ca="1" si="5"/>
        <v>1305.7470000000003</v>
      </c>
      <c r="E602" s="3"/>
      <c r="F602" s="3"/>
    </row>
    <row r="603" spans="1:6" ht="14.25" x14ac:dyDescent="0.2">
      <c r="A603" s="13">
        <f ca="1">IFERROR(__xludf.DUMMYFUNCTION("""COMPUTED_VALUE"""),44714.6458333333)</f>
        <v>44714.645833333299</v>
      </c>
      <c r="B603" s="14">
        <f ca="1">IFERROR(__xludf.DUMMYFUNCTION("""COMPUTED_VALUE"""),1362.15)</f>
        <v>1362.15</v>
      </c>
      <c r="C603" s="15">
        <f t="shared" ca="1" si="4"/>
        <v>3.4478830453768872E-2</v>
      </c>
      <c r="D603" s="14">
        <f t="shared" ca="1" si="5"/>
        <v>1308.3160000000005</v>
      </c>
      <c r="E603" s="3"/>
      <c r="F603" s="3"/>
    </row>
    <row r="604" spans="1:6" ht="14.25" x14ac:dyDescent="0.2">
      <c r="A604" s="13">
        <f ca="1">IFERROR(__xludf.DUMMYFUNCTION("""COMPUTED_VALUE"""),44715.6458333333)</f>
        <v>44715.645833333299</v>
      </c>
      <c r="B604" s="14">
        <f ca="1">IFERROR(__xludf.DUMMYFUNCTION("""COMPUTED_VALUE"""),1389.75)</f>
        <v>1389.75</v>
      </c>
      <c r="C604" s="15">
        <f t="shared" ca="1" si="4"/>
        <v>2.0262085673383945E-2</v>
      </c>
      <c r="D604" s="14">
        <f t="shared" ca="1" si="5"/>
        <v>1310.7994000000006</v>
      </c>
      <c r="E604" s="3"/>
      <c r="F604" s="3"/>
    </row>
    <row r="605" spans="1:6" ht="14.25" x14ac:dyDescent="0.2">
      <c r="A605" s="13">
        <f ca="1">IFERROR(__xludf.DUMMYFUNCTION("""COMPUTED_VALUE"""),44718.6458333333)</f>
        <v>44718.645833333299</v>
      </c>
      <c r="B605" s="14">
        <f ca="1">IFERROR(__xludf.DUMMYFUNCTION("""COMPUTED_VALUE"""),1383.78)</f>
        <v>1383.78</v>
      </c>
      <c r="C605" s="15">
        <f t="shared" ca="1" si="4"/>
        <v>-4.2957366432812005E-3</v>
      </c>
      <c r="D605" s="14">
        <f t="shared" ca="1" si="5"/>
        <v>1313.0830000000005</v>
      </c>
      <c r="E605" s="3"/>
      <c r="F605" s="3"/>
    </row>
    <row r="606" spans="1:6" ht="14.25" x14ac:dyDescent="0.2">
      <c r="A606" s="13">
        <f ca="1">IFERROR(__xludf.DUMMYFUNCTION("""COMPUTED_VALUE"""),44719.6458333333)</f>
        <v>44719.645833333299</v>
      </c>
      <c r="B606" s="14">
        <f ca="1">IFERROR(__xludf.DUMMYFUNCTION("""COMPUTED_VALUE"""),1386.38)</f>
        <v>1386.38</v>
      </c>
      <c r="C606" s="15">
        <f t="shared" ca="1" si="4"/>
        <v>1.8789113876485075E-3</v>
      </c>
      <c r="D606" s="14">
        <f t="shared" ca="1" si="5"/>
        <v>1315.0240000000006</v>
      </c>
      <c r="E606" s="3"/>
      <c r="F606" s="3"/>
    </row>
    <row r="607" spans="1:6" ht="14.25" x14ac:dyDescent="0.2">
      <c r="A607" s="13">
        <f ca="1">IFERROR(__xludf.DUMMYFUNCTION("""COMPUTED_VALUE"""),44720.6458333333)</f>
        <v>44720.645833333299</v>
      </c>
      <c r="B607" s="14">
        <f ca="1">IFERROR(__xludf.DUMMYFUNCTION("""COMPUTED_VALUE"""),1362.03)</f>
        <v>1362.03</v>
      </c>
      <c r="C607" s="15">
        <f t="shared" ca="1" si="4"/>
        <v>-1.7563727116663652E-2</v>
      </c>
      <c r="D607" s="14">
        <f t="shared" ca="1" si="5"/>
        <v>1316.3060000000003</v>
      </c>
      <c r="E607" s="3"/>
      <c r="F607" s="3"/>
    </row>
    <row r="608" spans="1:6" ht="14.25" x14ac:dyDescent="0.2">
      <c r="A608" s="13">
        <f ca="1">IFERROR(__xludf.DUMMYFUNCTION("""COMPUTED_VALUE"""),44721.6458333333)</f>
        <v>44721.645833333299</v>
      </c>
      <c r="B608" s="14">
        <f ca="1">IFERROR(__xludf.DUMMYFUNCTION("""COMPUTED_VALUE"""),1399.38)</f>
        <v>1399.38</v>
      </c>
      <c r="C608" s="15">
        <f t="shared" ca="1" si="4"/>
        <v>2.7422303473491949E-2</v>
      </c>
      <c r="D608" s="14">
        <f t="shared" ca="1" si="5"/>
        <v>1318.0740000000003</v>
      </c>
      <c r="E608" s="3"/>
      <c r="F608" s="3"/>
    </row>
    <row r="609" spans="1:6" ht="14.25" x14ac:dyDescent="0.2">
      <c r="A609" s="13">
        <f ca="1">IFERROR(__xludf.DUMMYFUNCTION("""COMPUTED_VALUE"""),44722.6458333333)</f>
        <v>44722.645833333299</v>
      </c>
      <c r="B609" s="14">
        <f ca="1">IFERROR(__xludf.DUMMYFUNCTION("""COMPUTED_VALUE"""),1357.13)</f>
        <v>1357.13</v>
      </c>
      <c r="C609" s="15">
        <f t="shared" ca="1" si="4"/>
        <v>-3.0191942145807449E-2</v>
      </c>
      <c r="D609" s="14">
        <f t="shared" ca="1" si="5"/>
        <v>1318.9910000000004</v>
      </c>
      <c r="E609" s="3"/>
      <c r="F609" s="3"/>
    </row>
    <row r="610" spans="1:6" ht="14.25" x14ac:dyDescent="0.2">
      <c r="A610" s="13">
        <f ca="1">IFERROR(__xludf.DUMMYFUNCTION("""COMPUTED_VALUE"""),44725.6458333333)</f>
        <v>44725.645833333299</v>
      </c>
      <c r="B610" s="14">
        <f ca="1">IFERROR(__xludf.DUMMYFUNCTION("""COMPUTED_VALUE"""),1331.45)</f>
        <v>1331.45</v>
      </c>
      <c r="C610" s="15">
        <f t="shared" ca="1" si="4"/>
        <v>-1.8922284526906141E-2</v>
      </c>
      <c r="D610" s="14">
        <f t="shared" ca="1" si="5"/>
        <v>1318.8904</v>
      </c>
      <c r="E610" s="3"/>
      <c r="F610" s="3"/>
    </row>
    <row r="611" spans="1:6" ht="14.25" x14ac:dyDescent="0.2">
      <c r="A611" s="13">
        <f ca="1">IFERROR(__xludf.DUMMYFUNCTION("""COMPUTED_VALUE"""),44726.6458333333)</f>
        <v>44726.645833333299</v>
      </c>
      <c r="B611" s="14">
        <f ca="1">IFERROR(__xludf.DUMMYFUNCTION("""COMPUTED_VALUE"""),1314.05)</f>
        <v>1314.05</v>
      </c>
      <c r="C611" s="15">
        <f t="shared" ca="1" si="4"/>
        <v>-1.3068459198618099E-2</v>
      </c>
      <c r="D611" s="14">
        <f t="shared" ca="1" si="5"/>
        <v>1318.8238000000001</v>
      </c>
      <c r="E611" s="3"/>
      <c r="F611" s="3"/>
    </row>
    <row r="612" spans="1:6" ht="14.25" x14ac:dyDescent="0.2">
      <c r="A612" s="13">
        <f ca="1">IFERROR(__xludf.DUMMYFUNCTION("""COMPUTED_VALUE"""),44727.6458333333)</f>
        <v>44727.645833333299</v>
      </c>
      <c r="B612" s="14">
        <f ca="1">IFERROR(__xludf.DUMMYFUNCTION("""COMPUTED_VALUE"""),1298.15)</f>
        <v>1298.1500000000001</v>
      </c>
      <c r="C612" s="15">
        <f t="shared" ca="1" si="4"/>
        <v>-1.2099996194969598E-2</v>
      </c>
      <c r="D612" s="14">
        <f t="shared" ca="1" si="5"/>
        <v>1318.2282</v>
      </c>
      <c r="E612" s="3"/>
      <c r="F612" s="3"/>
    </row>
    <row r="613" spans="1:6" ht="14.25" x14ac:dyDescent="0.2">
      <c r="A613" s="13">
        <f ca="1">IFERROR(__xludf.DUMMYFUNCTION("""COMPUTED_VALUE"""),44728.6458333333)</f>
        <v>44728.645833333299</v>
      </c>
      <c r="B613" s="14">
        <f ca="1">IFERROR(__xludf.DUMMYFUNCTION("""COMPUTED_VALUE"""),1280)</f>
        <v>1280</v>
      </c>
      <c r="C613" s="15">
        <f t="shared" ca="1" si="4"/>
        <v>-1.398143511920813E-2</v>
      </c>
      <c r="D613" s="14">
        <f t="shared" ca="1" si="5"/>
        <v>1317.1912</v>
      </c>
      <c r="E613" s="3"/>
      <c r="F613" s="3"/>
    </row>
    <row r="614" spans="1:6" ht="14.25" x14ac:dyDescent="0.2">
      <c r="A614" s="13">
        <f ca="1">IFERROR(__xludf.DUMMYFUNCTION("""COMPUTED_VALUE"""),44729.6458333333)</f>
        <v>44729.645833333299</v>
      </c>
      <c r="B614" s="14">
        <f ca="1">IFERROR(__xludf.DUMMYFUNCTION("""COMPUTED_VALUE"""),1295)</f>
        <v>1295</v>
      </c>
      <c r="C614" s="15">
        <f t="shared" ca="1" si="4"/>
        <v>1.171875E-2</v>
      </c>
      <c r="D614" s="14">
        <f t="shared" ca="1" si="5"/>
        <v>1316.8306</v>
      </c>
      <c r="E614" s="3"/>
      <c r="F614" s="3"/>
    </row>
    <row r="615" spans="1:6" ht="14.25" x14ac:dyDescent="0.2">
      <c r="A615" s="13">
        <f ca="1">IFERROR(__xludf.DUMMYFUNCTION("""COMPUTED_VALUE"""),44732.6458333333)</f>
        <v>44732.645833333299</v>
      </c>
      <c r="B615" s="14">
        <f ca="1">IFERROR(__xludf.DUMMYFUNCTION("""COMPUTED_VALUE"""),1271.53)</f>
        <v>1271.53</v>
      </c>
      <c r="C615" s="15">
        <f t="shared" ca="1" si="4"/>
        <v>-1.81235521235521E-2</v>
      </c>
      <c r="D615" s="14">
        <f t="shared" ca="1" si="5"/>
        <v>1316.0706000000002</v>
      </c>
      <c r="E615" s="3"/>
      <c r="F615" s="3"/>
    </row>
    <row r="616" spans="1:6" ht="14.25" x14ac:dyDescent="0.2">
      <c r="A616" s="13">
        <f ca="1">IFERROR(__xludf.DUMMYFUNCTION("""COMPUTED_VALUE"""),44733.6458333333)</f>
        <v>44733.645833333299</v>
      </c>
      <c r="B616" s="14">
        <f ca="1">IFERROR(__xludf.DUMMYFUNCTION("""COMPUTED_VALUE"""),1292.05)</f>
        <v>1292.05</v>
      </c>
      <c r="C616" s="15">
        <f t="shared" ca="1" si="4"/>
        <v>1.6138038426148027E-2</v>
      </c>
      <c r="D616" s="14">
        <f t="shared" ca="1" si="5"/>
        <v>1316.1830000000002</v>
      </c>
      <c r="E616" s="3"/>
      <c r="F616" s="3"/>
    </row>
    <row r="617" spans="1:6" ht="14.25" x14ac:dyDescent="0.2">
      <c r="A617" s="13">
        <f ca="1">IFERROR(__xludf.DUMMYFUNCTION("""COMPUTED_VALUE"""),44734.6458333333)</f>
        <v>44734.645833333299</v>
      </c>
      <c r="B617" s="14">
        <f ca="1">IFERROR(__xludf.DUMMYFUNCTION("""COMPUTED_VALUE"""),1252.8)</f>
        <v>1252.8</v>
      </c>
      <c r="C617" s="15">
        <f t="shared" ca="1" si="4"/>
        <v>-3.0378081343601204E-2</v>
      </c>
      <c r="D617" s="14">
        <f t="shared" ca="1" si="5"/>
        <v>1315.0824000000002</v>
      </c>
      <c r="E617" s="3"/>
      <c r="F617" s="3"/>
    </row>
    <row r="618" spans="1:6" ht="14.25" x14ac:dyDescent="0.2">
      <c r="A618" s="13">
        <f ca="1">IFERROR(__xludf.DUMMYFUNCTION("""COMPUTED_VALUE"""),44735.6458333333)</f>
        <v>44735.645833333299</v>
      </c>
      <c r="B618" s="14">
        <f ca="1">IFERROR(__xludf.DUMMYFUNCTION("""COMPUTED_VALUE"""),1232.47)</f>
        <v>1232.47</v>
      </c>
      <c r="C618" s="15">
        <f t="shared" ca="1" si="4"/>
        <v>-1.6227650063856958E-2</v>
      </c>
      <c r="D618" s="14">
        <f t="shared" ca="1" si="5"/>
        <v>1313.6298000000002</v>
      </c>
      <c r="E618" s="3"/>
      <c r="F618" s="3"/>
    </row>
    <row r="619" spans="1:6" ht="14.25" x14ac:dyDescent="0.2">
      <c r="A619" s="13">
        <f ca="1">IFERROR(__xludf.DUMMYFUNCTION("""COMPUTED_VALUE"""),44736.6458333333)</f>
        <v>44736.645833333299</v>
      </c>
      <c r="B619" s="14">
        <f ca="1">IFERROR(__xludf.DUMMYFUNCTION("""COMPUTED_VALUE"""),1250.03)</f>
        <v>1250.03</v>
      </c>
      <c r="C619" s="15">
        <f t="shared" ca="1" si="4"/>
        <v>1.4247811305751812E-2</v>
      </c>
      <c r="D619" s="14">
        <f t="shared" ca="1" si="5"/>
        <v>1313.0198000000005</v>
      </c>
      <c r="E619" s="3"/>
      <c r="F619" s="3"/>
    </row>
    <row r="620" spans="1:6" ht="14.25" x14ac:dyDescent="0.2">
      <c r="A620" s="13">
        <f ca="1">IFERROR(__xludf.DUMMYFUNCTION("""COMPUTED_VALUE"""),44739.6458333333)</f>
        <v>44739.645833333299</v>
      </c>
      <c r="B620" s="14">
        <f ca="1">IFERROR(__xludf.DUMMYFUNCTION("""COMPUTED_VALUE"""),1246.33)</f>
        <v>1246.33</v>
      </c>
      <c r="C620" s="15">
        <f t="shared" ca="1" si="4"/>
        <v>-2.9599289617049385E-3</v>
      </c>
      <c r="D620" s="14">
        <f t="shared" ca="1" si="5"/>
        <v>1312.4298000000001</v>
      </c>
      <c r="E620" s="3"/>
      <c r="F620" s="3"/>
    </row>
    <row r="621" spans="1:6" ht="14.25" x14ac:dyDescent="0.2">
      <c r="A621" s="13">
        <f ca="1">IFERROR(__xludf.DUMMYFUNCTION("""COMPUTED_VALUE"""),44740.6458333333)</f>
        <v>44740.645833333299</v>
      </c>
      <c r="B621" s="14">
        <f ca="1">IFERROR(__xludf.DUMMYFUNCTION("""COMPUTED_VALUE"""),1263.85)</f>
        <v>1263.8499999999999</v>
      </c>
      <c r="C621" s="15">
        <f t="shared" ca="1" si="4"/>
        <v>1.4057272151035471E-2</v>
      </c>
      <c r="D621" s="14">
        <f t="shared" ca="1" si="5"/>
        <v>1312.2682000000004</v>
      </c>
      <c r="E621" s="3"/>
      <c r="F621" s="3"/>
    </row>
    <row r="622" spans="1:6" ht="14.25" x14ac:dyDescent="0.2">
      <c r="A622" s="13">
        <f ca="1">IFERROR(__xludf.DUMMYFUNCTION("""COMPUTED_VALUE"""),44741.6458333333)</f>
        <v>44741.645833333299</v>
      </c>
      <c r="B622" s="14">
        <f ca="1">IFERROR(__xludf.DUMMYFUNCTION("""COMPUTED_VALUE"""),1290.08)</f>
        <v>1290.08</v>
      </c>
      <c r="C622" s="15">
        <f t="shared" ca="1" si="4"/>
        <v>2.0754045179412151E-2</v>
      </c>
      <c r="D622" s="14">
        <f t="shared" ca="1" si="5"/>
        <v>1311.6618000000003</v>
      </c>
      <c r="E622" s="3"/>
      <c r="F622" s="3"/>
    </row>
    <row r="623" spans="1:6" ht="14.25" x14ac:dyDescent="0.2">
      <c r="A623" s="13">
        <f ca="1">IFERROR(__xludf.DUMMYFUNCTION("""COMPUTED_VALUE"""),44742.6458333333)</f>
        <v>44742.645833333299</v>
      </c>
      <c r="B623" s="14">
        <f ca="1">IFERROR(__xludf.DUMMYFUNCTION("""COMPUTED_VALUE"""),1297.83)</f>
        <v>1297.83</v>
      </c>
      <c r="C623" s="15">
        <f t="shared" ca="1" si="4"/>
        <v>6.0073793873247627E-3</v>
      </c>
      <c r="D623" s="14">
        <f t="shared" ca="1" si="5"/>
        <v>1310.4338</v>
      </c>
      <c r="E623" s="3"/>
      <c r="F623" s="3"/>
    </row>
    <row r="624" spans="1:6" ht="14.25" x14ac:dyDescent="0.2">
      <c r="A624" s="13">
        <f ca="1">IFERROR(__xludf.DUMMYFUNCTION("""COMPUTED_VALUE"""),44743.6458333333)</f>
        <v>44743.645833333299</v>
      </c>
      <c r="B624" s="14">
        <f ca="1">IFERROR(__xludf.DUMMYFUNCTION("""COMPUTED_VALUE"""),1204.35)</f>
        <v>1204.3499999999999</v>
      </c>
      <c r="C624" s="15">
        <f t="shared" ca="1" si="4"/>
        <v>-7.2027923533898863E-2</v>
      </c>
      <c r="D624" s="14">
        <f t="shared" ca="1" si="5"/>
        <v>1306.6998000000001</v>
      </c>
      <c r="E624" s="3"/>
      <c r="F624" s="3"/>
    </row>
    <row r="625" spans="1:6" ht="14.25" x14ac:dyDescent="0.2">
      <c r="A625" s="13">
        <f ca="1">IFERROR(__xludf.DUMMYFUNCTION("""COMPUTED_VALUE"""),44746.6458333333)</f>
        <v>44746.645833333299</v>
      </c>
      <c r="B625" s="14">
        <f ca="1">IFERROR(__xludf.DUMMYFUNCTION("""COMPUTED_VALUE"""),1206.85)</f>
        <v>1206.8499999999999</v>
      </c>
      <c r="C625" s="15">
        <f t="shared" ca="1" si="4"/>
        <v>2.0758085274215077E-3</v>
      </c>
      <c r="D625" s="14">
        <f t="shared" ca="1" si="5"/>
        <v>1303.2488000000001</v>
      </c>
      <c r="E625" s="3"/>
      <c r="F625" s="3"/>
    </row>
    <row r="626" spans="1:6" ht="14.25" x14ac:dyDescent="0.2">
      <c r="A626" s="13">
        <f ca="1">IFERROR(__xludf.DUMMYFUNCTION("""COMPUTED_VALUE"""),44747.6458333333)</f>
        <v>44747.645833333299</v>
      </c>
      <c r="B626" s="14">
        <f ca="1">IFERROR(__xludf.DUMMYFUNCTION("""COMPUTED_VALUE"""),1216.63)</f>
        <v>1216.6300000000001</v>
      </c>
      <c r="C626" s="15">
        <f t="shared" ca="1" si="4"/>
        <v>8.1037411443014573E-3</v>
      </c>
      <c r="D626" s="14">
        <f t="shared" ca="1" si="5"/>
        <v>1300.6314</v>
      </c>
      <c r="E626" s="3"/>
      <c r="F626" s="3"/>
    </row>
    <row r="627" spans="1:6" ht="14.25" x14ac:dyDescent="0.2">
      <c r="A627" s="13">
        <f ca="1">IFERROR(__xludf.DUMMYFUNCTION("""COMPUTED_VALUE"""),44748.6458333333)</f>
        <v>44748.645833333299</v>
      </c>
      <c r="B627" s="14">
        <f ca="1">IFERROR(__xludf.DUMMYFUNCTION("""COMPUTED_VALUE"""),1205.93)</f>
        <v>1205.93</v>
      </c>
      <c r="C627" s="15">
        <f t="shared" ca="1" si="4"/>
        <v>-8.7947855962783317E-3</v>
      </c>
      <c r="D627" s="14">
        <f t="shared" ca="1" si="5"/>
        <v>1296.9934000000001</v>
      </c>
      <c r="E627" s="3"/>
      <c r="F627" s="3"/>
    </row>
    <row r="628" spans="1:6" ht="14.25" x14ac:dyDescent="0.2">
      <c r="A628" s="13">
        <f ca="1">IFERROR(__xludf.DUMMYFUNCTION("""COMPUTED_VALUE"""),44749.6458333333)</f>
        <v>44749.645833333299</v>
      </c>
      <c r="B628" s="14">
        <f ca="1">IFERROR(__xludf.DUMMYFUNCTION("""COMPUTED_VALUE"""),1194.05)</f>
        <v>1194.05</v>
      </c>
      <c r="C628" s="15">
        <f t="shared" ca="1" si="4"/>
        <v>-9.8513180698714953E-3</v>
      </c>
      <c r="D628" s="14">
        <f t="shared" ca="1" si="5"/>
        <v>1293.0907999999999</v>
      </c>
      <c r="E628" s="3"/>
      <c r="F628" s="3"/>
    </row>
    <row r="629" spans="1:6" ht="14.25" x14ac:dyDescent="0.2">
      <c r="A629" s="13">
        <f ca="1">IFERROR(__xludf.DUMMYFUNCTION("""COMPUTED_VALUE"""),44750.6458333333)</f>
        <v>44750.645833333299</v>
      </c>
      <c r="B629" s="14">
        <f ca="1">IFERROR(__xludf.DUMMYFUNCTION("""COMPUTED_VALUE"""),1195.7)</f>
        <v>1195.7</v>
      </c>
      <c r="C629" s="15">
        <f t="shared" ca="1" si="4"/>
        <v>1.3818516812529325E-3</v>
      </c>
      <c r="D629" s="14">
        <f t="shared" ca="1" si="5"/>
        <v>1288.8062</v>
      </c>
      <c r="E629" s="3"/>
      <c r="F629" s="3"/>
    </row>
    <row r="630" spans="1:6" ht="14.25" x14ac:dyDescent="0.2">
      <c r="A630" s="13">
        <f ca="1">IFERROR(__xludf.DUMMYFUNCTION("""COMPUTED_VALUE"""),44753.6458333333)</f>
        <v>44753.645833333299</v>
      </c>
      <c r="B630" s="14">
        <f ca="1">IFERROR(__xludf.DUMMYFUNCTION("""COMPUTED_VALUE"""),1211.95)</f>
        <v>1211.95</v>
      </c>
      <c r="C630" s="15">
        <f t="shared" ca="1" si="4"/>
        <v>1.3590365476290112E-2</v>
      </c>
      <c r="D630" s="14">
        <f t="shared" ca="1" si="5"/>
        <v>1285.1425999999999</v>
      </c>
      <c r="E630" s="3"/>
      <c r="F630" s="3"/>
    </row>
    <row r="631" spans="1:6" ht="14.25" x14ac:dyDescent="0.2">
      <c r="A631" s="13">
        <f ca="1">IFERROR(__xludf.DUMMYFUNCTION("""COMPUTED_VALUE"""),44754.6458333333)</f>
        <v>44754.645833333299</v>
      </c>
      <c r="B631" s="14">
        <f ca="1">IFERROR(__xludf.DUMMYFUNCTION("""COMPUTED_VALUE"""),1210.22)</f>
        <v>1210.22</v>
      </c>
      <c r="C631" s="15">
        <f t="shared" ca="1" si="4"/>
        <v>-1.4274516275424309E-3</v>
      </c>
      <c r="D631" s="14">
        <f t="shared" ca="1" si="5"/>
        <v>1281.5424</v>
      </c>
      <c r="E631" s="3"/>
      <c r="F631" s="3"/>
    </row>
    <row r="632" spans="1:6" ht="14.25" x14ac:dyDescent="0.2">
      <c r="A632" s="13">
        <f ca="1">IFERROR(__xludf.DUMMYFUNCTION("""COMPUTED_VALUE"""),44755.6458333333)</f>
        <v>44755.645833333299</v>
      </c>
      <c r="B632" s="14">
        <f ca="1">IFERROR(__xludf.DUMMYFUNCTION("""COMPUTED_VALUE"""),1188.78)</f>
        <v>1188.78</v>
      </c>
      <c r="C632" s="15">
        <f t="shared" ca="1" si="4"/>
        <v>-1.7715787212242429E-2</v>
      </c>
      <c r="D632" s="14">
        <f t="shared" ca="1" si="5"/>
        <v>1278.3814</v>
      </c>
      <c r="E632" s="3"/>
      <c r="F632" s="3"/>
    </row>
    <row r="633" spans="1:6" ht="14.25" x14ac:dyDescent="0.2">
      <c r="A633" s="13">
        <f ca="1">IFERROR(__xludf.DUMMYFUNCTION("""COMPUTED_VALUE"""),44756.6458333333)</f>
        <v>44756.645833333299</v>
      </c>
      <c r="B633" s="14">
        <f ca="1">IFERROR(__xludf.DUMMYFUNCTION("""COMPUTED_VALUE"""),1198.58)</f>
        <v>1198.58</v>
      </c>
      <c r="C633" s="15">
        <f t="shared" ca="1" si="4"/>
        <v>8.2437456888575511E-3</v>
      </c>
      <c r="D633" s="14">
        <f t="shared" ca="1" si="5"/>
        <v>1275.9440000000002</v>
      </c>
      <c r="E633" s="3"/>
      <c r="F633" s="3"/>
    </row>
    <row r="634" spans="1:6" ht="14.25" x14ac:dyDescent="0.2">
      <c r="A634" s="13">
        <f ca="1">IFERROR(__xludf.DUMMYFUNCTION("""COMPUTED_VALUE"""),44757.6458333333)</f>
        <v>44757.645833333299</v>
      </c>
      <c r="B634" s="14">
        <f ca="1">IFERROR(__xludf.DUMMYFUNCTION("""COMPUTED_VALUE"""),1200.9)</f>
        <v>1200.9000000000001</v>
      </c>
      <c r="C634" s="15">
        <f t="shared" ca="1" si="4"/>
        <v>1.9356238215222366E-3</v>
      </c>
      <c r="D634" s="14">
        <f t="shared" ca="1" si="5"/>
        <v>1273.7554000000002</v>
      </c>
      <c r="E634" s="3"/>
      <c r="F634" s="3"/>
    </row>
    <row r="635" spans="1:6" ht="14.25" x14ac:dyDescent="0.2">
      <c r="A635" s="13">
        <f ca="1">IFERROR(__xludf.DUMMYFUNCTION("""COMPUTED_VALUE"""),44760.6458333333)</f>
        <v>44760.645833333299</v>
      </c>
      <c r="B635" s="14">
        <f ca="1">IFERROR(__xludf.DUMMYFUNCTION("""COMPUTED_VALUE"""),1211.13)</f>
        <v>1211.1300000000001</v>
      </c>
      <c r="C635" s="15">
        <f t="shared" ca="1" si="4"/>
        <v>8.5186110417188043E-3</v>
      </c>
      <c r="D635" s="14">
        <f t="shared" ca="1" si="5"/>
        <v>1272.7950000000001</v>
      </c>
      <c r="E635" s="3"/>
      <c r="F635" s="3"/>
    </row>
    <row r="636" spans="1:6" ht="14.25" x14ac:dyDescent="0.2">
      <c r="A636" s="13">
        <f ca="1">IFERROR(__xludf.DUMMYFUNCTION("""COMPUTED_VALUE"""),44761.6458333333)</f>
        <v>44761.645833333299</v>
      </c>
      <c r="B636" s="14">
        <f ca="1">IFERROR(__xludf.DUMMYFUNCTION("""COMPUTED_VALUE"""),1218.55)</f>
        <v>1218.55</v>
      </c>
      <c r="C636" s="15">
        <f t="shared" ca="1" si="4"/>
        <v>6.1265099535143808E-3</v>
      </c>
      <c r="D636" s="14">
        <f t="shared" ca="1" si="5"/>
        <v>1272.4194000000002</v>
      </c>
      <c r="E636" s="3"/>
      <c r="F636" s="3"/>
    </row>
    <row r="637" spans="1:6" ht="14.25" x14ac:dyDescent="0.2">
      <c r="A637" s="13">
        <f ca="1">IFERROR(__xludf.DUMMYFUNCTION("""COMPUTED_VALUE"""),44762.6458333333)</f>
        <v>44762.645833333299</v>
      </c>
      <c r="B637" s="14">
        <f ca="1">IFERROR(__xludf.DUMMYFUNCTION("""COMPUTED_VALUE"""),1251.5)</f>
        <v>1251.5</v>
      </c>
      <c r="C637" s="15">
        <f t="shared" ca="1" si="4"/>
        <v>2.7040334824176337E-2</v>
      </c>
      <c r="D637" s="14">
        <f t="shared" ca="1" si="5"/>
        <v>1272.9564000000003</v>
      </c>
      <c r="E637" s="3"/>
      <c r="F637" s="3"/>
    </row>
    <row r="638" spans="1:6" ht="14.25" x14ac:dyDescent="0.2">
      <c r="A638" s="13">
        <f ca="1">IFERROR(__xludf.DUMMYFUNCTION("""COMPUTED_VALUE"""),44763.6458333333)</f>
        <v>44763.645833333299</v>
      </c>
      <c r="B638" s="14">
        <f ca="1">IFERROR(__xludf.DUMMYFUNCTION("""COMPUTED_VALUE"""),1243.15)</f>
        <v>1243.1500000000001</v>
      </c>
      <c r="C638" s="15">
        <f t="shared" ca="1" si="4"/>
        <v>-6.6719936076706787E-3</v>
      </c>
      <c r="D638" s="14">
        <f t="shared" ca="1" si="5"/>
        <v>1273.8254000000002</v>
      </c>
      <c r="E638" s="3"/>
      <c r="F638" s="3"/>
    </row>
    <row r="639" spans="1:6" ht="14.25" x14ac:dyDescent="0.2">
      <c r="A639" s="13">
        <f ca="1">IFERROR(__xludf.DUMMYFUNCTION("""COMPUTED_VALUE"""),44764.6458333333)</f>
        <v>44764.645833333299</v>
      </c>
      <c r="B639" s="14">
        <f ca="1">IFERROR(__xludf.DUMMYFUNCTION("""COMPUTED_VALUE"""),1251.55)</f>
        <v>1251.55</v>
      </c>
      <c r="C639" s="15">
        <f t="shared" ca="1" si="4"/>
        <v>6.7570285162690258E-3</v>
      </c>
      <c r="D639" s="14">
        <f t="shared" ca="1" si="5"/>
        <v>1274.5904</v>
      </c>
      <c r="E639" s="3"/>
      <c r="F639" s="3"/>
    </row>
    <row r="640" spans="1:6" ht="14.25" x14ac:dyDescent="0.2">
      <c r="A640" s="13">
        <f ca="1">IFERROR(__xludf.DUMMYFUNCTION("""COMPUTED_VALUE"""),44767.6458333333)</f>
        <v>44767.645833333299</v>
      </c>
      <c r="B640" s="14">
        <f ca="1">IFERROR(__xludf.DUMMYFUNCTION("""COMPUTED_VALUE"""),1210.2)</f>
        <v>1210.2</v>
      </c>
      <c r="C640" s="15">
        <f t="shared" ca="1" si="4"/>
        <v>-3.3039031600814894E-2</v>
      </c>
      <c r="D640" s="14">
        <f t="shared" ca="1" si="5"/>
        <v>1274.5224000000003</v>
      </c>
      <c r="E640" s="3"/>
      <c r="F640" s="3"/>
    </row>
    <row r="641" spans="1:6" ht="14.25" x14ac:dyDescent="0.2">
      <c r="A641" s="13">
        <f ca="1">IFERROR(__xludf.DUMMYFUNCTION("""COMPUTED_VALUE"""),44768.6458333333)</f>
        <v>44768.645833333299</v>
      </c>
      <c r="B641" s="14">
        <f ca="1">IFERROR(__xludf.DUMMYFUNCTION("""COMPUTED_VALUE"""),1210.75)</f>
        <v>1210.75</v>
      </c>
      <c r="C641" s="15">
        <f t="shared" ca="1" si="4"/>
        <v>4.5447033548162707E-4</v>
      </c>
      <c r="D641" s="14">
        <f t="shared" ca="1" si="5"/>
        <v>1273.4458</v>
      </c>
      <c r="E641" s="3"/>
      <c r="F641" s="3"/>
    </row>
    <row r="642" spans="1:6" ht="14.25" x14ac:dyDescent="0.2">
      <c r="A642" s="13">
        <f ca="1">IFERROR(__xludf.DUMMYFUNCTION("""COMPUTED_VALUE"""),44769.6458333333)</f>
        <v>44769.645833333299</v>
      </c>
      <c r="B642" s="14">
        <f ca="1">IFERROR(__xludf.DUMMYFUNCTION("""COMPUTED_VALUE"""),1209.6)</f>
        <v>1209.5999999999999</v>
      </c>
      <c r="C642" s="15">
        <f t="shared" ca="1" si="4"/>
        <v>-9.4982448895319926E-4</v>
      </c>
      <c r="D642" s="14">
        <f t="shared" ca="1" si="5"/>
        <v>1272.2542000000001</v>
      </c>
      <c r="E642" s="3"/>
      <c r="F642" s="3"/>
    </row>
    <row r="643" spans="1:6" ht="14.25" x14ac:dyDescent="0.2">
      <c r="A643" s="13">
        <f ca="1">IFERROR(__xludf.DUMMYFUNCTION("""COMPUTED_VALUE"""),44770.6458333333)</f>
        <v>44770.645833333299</v>
      </c>
      <c r="B643" s="14">
        <f ca="1">IFERROR(__xludf.DUMMYFUNCTION("""COMPUTED_VALUE"""),1228.55)</f>
        <v>1228.55</v>
      </c>
      <c r="C643" s="15">
        <f t="shared" ca="1" si="4"/>
        <v>1.5666335978836043E-2</v>
      </c>
      <c r="D643" s="14">
        <f t="shared" ca="1" si="5"/>
        <v>1272.0266000000001</v>
      </c>
      <c r="E643" s="3"/>
      <c r="F643" s="3"/>
    </row>
    <row r="644" spans="1:6" ht="14.25" x14ac:dyDescent="0.2">
      <c r="A644" s="13">
        <f ca="1">IFERROR(__xludf.DUMMYFUNCTION("""COMPUTED_VALUE"""),44771.6458333333)</f>
        <v>44771.645833333299</v>
      </c>
      <c r="B644" s="14">
        <f ca="1">IFERROR(__xludf.DUMMYFUNCTION("""COMPUTED_VALUE"""),1254.72)</f>
        <v>1254.72</v>
      </c>
      <c r="C644" s="15">
        <f t="shared" ca="1" si="4"/>
        <v>2.1301534329087213E-2</v>
      </c>
      <c r="D644" s="14">
        <f t="shared" ca="1" si="5"/>
        <v>1270.8764000000001</v>
      </c>
      <c r="E644" s="3"/>
      <c r="F644" s="3"/>
    </row>
    <row r="645" spans="1:6" ht="14.25" x14ac:dyDescent="0.2">
      <c r="A645" s="13">
        <f ca="1">IFERROR(__xludf.DUMMYFUNCTION("""COMPUTED_VALUE"""),44774.6458333333)</f>
        <v>44774.645833333299</v>
      </c>
      <c r="B645" s="14">
        <f ca="1">IFERROR(__xludf.DUMMYFUNCTION("""COMPUTED_VALUE"""),1287.43)</f>
        <v>1287.43</v>
      </c>
      <c r="C645" s="15">
        <f t="shared" ca="1" si="4"/>
        <v>2.606956133639371E-2</v>
      </c>
      <c r="D645" s="14">
        <f t="shared" ca="1" si="5"/>
        <v>1270.556</v>
      </c>
      <c r="E645" s="3"/>
      <c r="F645" s="3"/>
    </row>
    <row r="646" spans="1:6" ht="14.25" x14ac:dyDescent="0.2">
      <c r="A646" s="13">
        <f ca="1">IFERROR(__xludf.DUMMYFUNCTION("""COMPUTED_VALUE"""),44775.6458333333)</f>
        <v>44775.645833333299</v>
      </c>
      <c r="B646" s="14">
        <f ca="1">IFERROR(__xludf.DUMMYFUNCTION("""COMPUTED_VALUE"""),1292.33)</f>
        <v>1292.33</v>
      </c>
      <c r="C646" s="15">
        <f t="shared" ca="1" si="4"/>
        <v>3.8060321726227642E-3</v>
      </c>
      <c r="D646" s="14">
        <f t="shared" ca="1" si="5"/>
        <v>1270.2440000000001</v>
      </c>
      <c r="E646" s="3"/>
      <c r="F646" s="3"/>
    </row>
    <row r="647" spans="1:6" ht="14.25" x14ac:dyDescent="0.2">
      <c r="A647" s="13">
        <f ca="1">IFERROR(__xludf.DUMMYFUNCTION("""COMPUTED_VALUE"""),44776.6458333333)</f>
        <v>44776.645833333299</v>
      </c>
      <c r="B647" s="14">
        <f ca="1">IFERROR(__xludf.DUMMYFUNCTION("""COMPUTED_VALUE"""),1303.18)</f>
        <v>1303.18</v>
      </c>
      <c r="C647" s="15">
        <f t="shared" ca="1" si="4"/>
        <v>8.3956884077598382E-3</v>
      </c>
      <c r="D647" s="14">
        <f t="shared" ca="1" si="5"/>
        <v>1270.1876000000002</v>
      </c>
      <c r="E647" s="3"/>
      <c r="F647" s="3"/>
    </row>
    <row r="648" spans="1:6" ht="14.25" x14ac:dyDescent="0.2">
      <c r="A648" s="13">
        <f ca="1">IFERROR(__xludf.DUMMYFUNCTION("""COMPUTED_VALUE"""),44777.6458333333)</f>
        <v>44777.645833333299</v>
      </c>
      <c r="B648" s="14">
        <f ca="1">IFERROR(__xludf.DUMMYFUNCTION("""COMPUTED_VALUE"""),1285.95)</f>
        <v>1285.95</v>
      </c>
      <c r="C648" s="15">
        <f t="shared" ca="1" si="4"/>
        <v>-1.3221504320201416E-2</v>
      </c>
      <c r="D648" s="14">
        <f t="shared" ca="1" si="5"/>
        <v>1270.0355999999999</v>
      </c>
      <c r="E648" s="3"/>
      <c r="F648" s="3"/>
    </row>
    <row r="649" spans="1:6" ht="14.25" x14ac:dyDescent="0.2">
      <c r="A649" s="13">
        <f ca="1">IFERROR(__xludf.DUMMYFUNCTION("""COMPUTED_VALUE"""),44778.6458333333)</f>
        <v>44778.645833333299</v>
      </c>
      <c r="B649" s="14">
        <f ca="1">IFERROR(__xludf.DUMMYFUNCTION("""COMPUTED_VALUE"""),1267)</f>
        <v>1267</v>
      </c>
      <c r="C649" s="15">
        <f t="shared" ca="1" si="4"/>
        <v>-1.4736187254558941E-2</v>
      </c>
      <c r="D649" s="14">
        <f t="shared" ca="1" si="5"/>
        <v>1269.6246000000001</v>
      </c>
      <c r="E649" s="3"/>
      <c r="F649" s="3"/>
    </row>
    <row r="650" spans="1:6" ht="14.25" x14ac:dyDescent="0.2">
      <c r="A650" s="13">
        <f ca="1">IFERROR(__xludf.DUMMYFUNCTION("""COMPUTED_VALUE"""),44781.6458333333)</f>
        <v>44781.645833333299</v>
      </c>
      <c r="B650" s="14">
        <f ca="1">IFERROR(__xludf.DUMMYFUNCTION("""COMPUTED_VALUE"""),1283.58)</f>
        <v>1283.58</v>
      </c>
      <c r="C650" s="15">
        <f t="shared" ca="1" si="4"/>
        <v>1.3086029992107173E-2</v>
      </c>
      <c r="D650" s="14">
        <f t="shared" ca="1" si="5"/>
        <v>1268.6482000000001</v>
      </c>
      <c r="E650" s="3"/>
      <c r="F650" s="3"/>
    </row>
    <row r="651" spans="1:6" ht="14.25" x14ac:dyDescent="0.2">
      <c r="A651" s="13">
        <f ca="1">IFERROR(__xludf.DUMMYFUNCTION("""COMPUTED_VALUE"""),44783.6458333333)</f>
        <v>44783.645833333299</v>
      </c>
      <c r="B651" s="14">
        <f ca="1">IFERROR(__xludf.DUMMYFUNCTION("""COMPUTED_VALUE"""),1291.25)</f>
        <v>1291.25</v>
      </c>
      <c r="C651" s="15">
        <f t="shared" ca="1" si="4"/>
        <v>5.9754748437963467E-3</v>
      </c>
      <c r="D651" s="14">
        <f t="shared" ca="1" si="5"/>
        <v>1268.1466</v>
      </c>
      <c r="E651" s="3"/>
      <c r="F651" s="3"/>
    </row>
    <row r="652" spans="1:6" ht="14.25" x14ac:dyDescent="0.2">
      <c r="A652" s="13">
        <f ca="1">IFERROR(__xludf.DUMMYFUNCTION("""COMPUTED_VALUE"""),44784.6458333333)</f>
        <v>44784.645833333299</v>
      </c>
      <c r="B652" s="14">
        <f ca="1">IFERROR(__xludf.DUMMYFUNCTION("""COMPUTED_VALUE"""),1295.55)</f>
        <v>1295.55</v>
      </c>
      <c r="C652" s="15">
        <f t="shared" ca="1" si="4"/>
        <v>3.3301064859632135E-3</v>
      </c>
      <c r="D652" s="14">
        <f t="shared" ca="1" si="5"/>
        <v>1267.7226000000001</v>
      </c>
      <c r="E652" s="3"/>
      <c r="F652" s="3"/>
    </row>
    <row r="653" spans="1:6" ht="14.25" x14ac:dyDescent="0.2">
      <c r="A653" s="13">
        <f ca="1">IFERROR(__xludf.DUMMYFUNCTION("""COMPUTED_VALUE"""),44785.6458333333)</f>
        <v>44785.645833333299</v>
      </c>
      <c r="B653" s="14">
        <f ca="1">IFERROR(__xludf.DUMMYFUNCTION("""COMPUTED_VALUE"""),1316.5)</f>
        <v>1316.5</v>
      </c>
      <c r="C653" s="15">
        <f t="shared" ca="1" si="4"/>
        <v>1.6170738296476417E-2</v>
      </c>
      <c r="D653" s="14">
        <f t="shared" ca="1" si="5"/>
        <v>1266.8096</v>
      </c>
      <c r="E653" s="3"/>
      <c r="F653" s="3"/>
    </row>
    <row r="654" spans="1:6" ht="14.25" x14ac:dyDescent="0.2">
      <c r="A654" s="13">
        <f ca="1">IFERROR(__xludf.DUMMYFUNCTION("""COMPUTED_VALUE"""),44789.6458333333)</f>
        <v>44789.645833333299</v>
      </c>
      <c r="B654" s="14">
        <f ca="1">IFERROR(__xludf.DUMMYFUNCTION("""COMPUTED_VALUE"""),1325.65)</f>
        <v>1325.65</v>
      </c>
      <c r="C654" s="15">
        <f t="shared" ca="1" si="4"/>
        <v>6.9502468666919892E-3</v>
      </c>
      <c r="D654" s="14">
        <f t="shared" ca="1" si="5"/>
        <v>1265.5276000000003</v>
      </c>
      <c r="E654" s="3"/>
      <c r="F654" s="3"/>
    </row>
    <row r="655" spans="1:6" ht="14.25" x14ac:dyDescent="0.2">
      <c r="A655" s="13">
        <f ca="1">IFERROR(__xludf.DUMMYFUNCTION("""COMPUTED_VALUE"""),44790.6458333333)</f>
        <v>44790.645833333299</v>
      </c>
      <c r="B655" s="14">
        <f ca="1">IFERROR(__xludf.DUMMYFUNCTION("""COMPUTED_VALUE"""),1332.58)</f>
        <v>1332.58</v>
      </c>
      <c r="C655" s="15">
        <f t="shared" ca="1" si="4"/>
        <v>5.2276241843622895E-3</v>
      </c>
      <c r="D655" s="14">
        <f t="shared" ca="1" si="5"/>
        <v>1264.5036000000002</v>
      </c>
      <c r="E655" s="3"/>
      <c r="F655" s="3"/>
    </row>
    <row r="656" spans="1:6" ht="14.25" x14ac:dyDescent="0.2">
      <c r="A656" s="13">
        <f ca="1">IFERROR(__xludf.DUMMYFUNCTION("""COMPUTED_VALUE"""),44791.6458333333)</f>
        <v>44791.645833333299</v>
      </c>
      <c r="B656" s="14">
        <f ca="1">IFERROR(__xludf.DUMMYFUNCTION("""COMPUTED_VALUE"""),1330.65)</f>
        <v>1330.65</v>
      </c>
      <c r="C656" s="15">
        <f t="shared" ca="1" si="4"/>
        <v>-1.4483182998392685E-3</v>
      </c>
      <c r="D656" s="14">
        <f t="shared" ca="1" si="5"/>
        <v>1263.3890000000004</v>
      </c>
      <c r="E656" s="3"/>
      <c r="F656" s="3"/>
    </row>
    <row r="657" spans="1:6" ht="14.25" x14ac:dyDescent="0.2">
      <c r="A657" s="13">
        <f ca="1">IFERROR(__xludf.DUMMYFUNCTION("""COMPUTED_VALUE"""),44792.6458333333)</f>
        <v>44792.645833333299</v>
      </c>
      <c r="B657" s="14">
        <f ca="1">IFERROR(__xludf.DUMMYFUNCTION("""COMPUTED_VALUE"""),1306.93)</f>
        <v>1306.93</v>
      </c>
      <c r="C657" s="15">
        <f t="shared" ca="1" si="4"/>
        <v>-1.7825874572577338E-2</v>
      </c>
      <c r="D657" s="14">
        <f t="shared" ca="1" si="5"/>
        <v>1262.2870000000003</v>
      </c>
      <c r="E657" s="3"/>
      <c r="F657" s="3"/>
    </row>
    <row r="658" spans="1:6" ht="14.25" x14ac:dyDescent="0.2">
      <c r="A658" s="13">
        <f ca="1">IFERROR(__xludf.DUMMYFUNCTION("""COMPUTED_VALUE"""),44795.6458333333)</f>
        <v>44795.645833333299</v>
      </c>
      <c r="B658" s="14">
        <f ca="1">IFERROR(__xludf.DUMMYFUNCTION("""COMPUTED_VALUE"""),1303.3)</f>
        <v>1303.3</v>
      </c>
      <c r="C658" s="15">
        <f t="shared" ca="1" si="4"/>
        <v>-2.777501472917554E-3</v>
      </c>
      <c r="D658" s="14">
        <f t="shared" ca="1" si="5"/>
        <v>1260.3654000000004</v>
      </c>
      <c r="E658" s="3"/>
      <c r="F658" s="3"/>
    </row>
    <row r="659" spans="1:6" ht="14.25" x14ac:dyDescent="0.2">
      <c r="A659" s="13">
        <f ca="1">IFERROR(__xludf.DUMMYFUNCTION("""COMPUTED_VALUE"""),44796.6458333333)</f>
        <v>44796.645833333299</v>
      </c>
      <c r="B659" s="14">
        <f ca="1">IFERROR(__xludf.DUMMYFUNCTION("""COMPUTED_VALUE"""),1323.4)</f>
        <v>1323.4</v>
      </c>
      <c r="C659" s="15">
        <f t="shared" ca="1" si="4"/>
        <v>1.5422389319420082E-2</v>
      </c>
      <c r="D659" s="14">
        <f t="shared" ca="1" si="5"/>
        <v>1259.6908000000005</v>
      </c>
      <c r="E659" s="3"/>
      <c r="F659" s="3"/>
    </row>
    <row r="660" spans="1:6" ht="14.25" x14ac:dyDescent="0.2">
      <c r="A660" s="13">
        <f ca="1">IFERROR(__xludf.DUMMYFUNCTION("""COMPUTED_VALUE"""),44797.6458333333)</f>
        <v>44797.645833333299</v>
      </c>
      <c r="B660" s="14">
        <f ca="1">IFERROR(__xludf.DUMMYFUNCTION("""COMPUTED_VALUE"""),1319.88)</f>
        <v>1319.88</v>
      </c>
      <c r="C660" s="15">
        <f t="shared" ca="1" si="4"/>
        <v>-2.6598156264168171E-3</v>
      </c>
      <c r="D660" s="14">
        <f t="shared" ca="1" si="5"/>
        <v>1259.4594000000004</v>
      </c>
      <c r="E660" s="3"/>
      <c r="F660" s="3"/>
    </row>
    <row r="661" spans="1:6" ht="14.25" x14ac:dyDescent="0.2">
      <c r="A661" s="13">
        <f ca="1">IFERROR(__xludf.DUMMYFUNCTION("""COMPUTED_VALUE"""),44798.6458333333)</f>
        <v>44798.645833333299</v>
      </c>
      <c r="B661" s="14">
        <f ca="1">IFERROR(__xludf.DUMMYFUNCTION("""COMPUTED_VALUE"""),1316.03)</f>
        <v>1316.03</v>
      </c>
      <c r="C661" s="15">
        <f t="shared" ca="1" si="4"/>
        <v>-2.9169318422888058E-3</v>
      </c>
      <c r="D661" s="14">
        <f t="shared" ca="1" si="5"/>
        <v>1259.4990000000005</v>
      </c>
      <c r="E661" s="3"/>
      <c r="F661" s="3"/>
    </row>
    <row r="662" spans="1:6" ht="14.25" x14ac:dyDescent="0.2">
      <c r="A662" s="13">
        <f ca="1">IFERROR(__xludf.DUMMYFUNCTION("""COMPUTED_VALUE"""),44799.6458333333)</f>
        <v>44799.645833333299</v>
      </c>
      <c r="B662" s="14">
        <f ca="1">IFERROR(__xludf.DUMMYFUNCTION("""COMPUTED_VALUE"""),1309)</f>
        <v>1309</v>
      </c>
      <c r="C662" s="15">
        <f t="shared" ca="1" si="4"/>
        <v>-5.3418235146615034E-3</v>
      </c>
      <c r="D662" s="14">
        <f t="shared" ca="1" si="5"/>
        <v>1259.7160000000003</v>
      </c>
      <c r="E662" s="3"/>
      <c r="F662" s="3"/>
    </row>
    <row r="663" spans="1:6" ht="14.25" x14ac:dyDescent="0.2">
      <c r="A663" s="13">
        <f ca="1">IFERROR(__xludf.DUMMYFUNCTION("""COMPUTED_VALUE"""),44802.6458333333)</f>
        <v>44802.645833333299</v>
      </c>
      <c r="B663" s="14">
        <f ca="1">IFERROR(__xludf.DUMMYFUNCTION("""COMPUTED_VALUE"""),1298.83)</f>
        <v>1298.83</v>
      </c>
      <c r="C663" s="15">
        <f t="shared" ca="1" si="4"/>
        <v>-7.7692895339954715E-3</v>
      </c>
      <c r="D663" s="14">
        <f t="shared" ca="1" si="5"/>
        <v>1260.0926000000004</v>
      </c>
      <c r="E663" s="3"/>
      <c r="F663" s="3"/>
    </row>
    <row r="664" spans="1:6" ht="14.25" x14ac:dyDescent="0.2">
      <c r="A664" s="13">
        <f ca="1">IFERROR(__xludf.DUMMYFUNCTION("""COMPUTED_VALUE"""),44803.6458333333)</f>
        <v>44803.645833333299</v>
      </c>
      <c r="B664" s="14">
        <f ca="1">IFERROR(__xludf.DUMMYFUNCTION("""COMPUTED_VALUE"""),1318.98)</f>
        <v>1318.98</v>
      </c>
      <c r="C664" s="15">
        <f t="shared" ca="1" si="4"/>
        <v>1.5513962566309658E-2</v>
      </c>
      <c r="D664" s="14">
        <f t="shared" ca="1" si="5"/>
        <v>1260.5722000000005</v>
      </c>
      <c r="E664" s="3"/>
      <c r="F664" s="3"/>
    </row>
    <row r="665" spans="1:6" ht="14.25" x14ac:dyDescent="0.2">
      <c r="A665" s="13">
        <f ca="1">IFERROR(__xludf.DUMMYFUNCTION("""COMPUTED_VALUE"""),44805.6458333333)</f>
        <v>44805.645833333299</v>
      </c>
      <c r="B665" s="14">
        <f ca="1">IFERROR(__xludf.DUMMYFUNCTION("""COMPUTED_VALUE"""),1280.2)</f>
        <v>1280.2</v>
      </c>
      <c r="C665" s="15">
        <f t="shared" ca="1" si="4"/>
        <v>-2.9401507225280121E-2</v>
      </c>
      <c r="D665" s="14">
        <f t="shared" ca="1" si="5"/>
        <v>1260.7456000000004</v>
      </c>
      <c r="E665" s="3"/>
      <c r="F665" s="3"/>
    </row>
    <row r="666" spans="1:6" ht="14.25" x14ac:dyDescent="0.2">
      <c r="A666" s="13">
        <f ca="1">IFERROR(__xludf.DUMMYFUNCTION("""COMPUTED_VALUE"""),44806.6458333333)</f>
        <v>44806.645833333299</v>
      </c>
      <c r="B666" s="14">
        <f ca="1">IFERROR(__xludf.DUMMYFUNCTION("""COMPUTED_VALUE"""),1265.25)</f>
        <v>1265.25</v>
      </c>
      <c r="C666" s="15">
        <f t="shared" ca="1" si="4"/>
        <v>-1.167786283393224E-2</v>
      </c>
      <c r="D666" s="14">
        <f t="shared" ca="1" si="5"/>
        <v>1260.2096000000004</v>
      </c>
      <c r="E666" s="3"/>
      <c r="F666" s="3"/>
    </row>
    <row r="667" spans="1:6" ht="14.25" x14ac:dyDescent="0.2">
      <c r="A667" s="13">
        <f ca="1">IFERROR(__xludf.DUMMYFUNCTION("""COMPUTED_VALUE"""),44809.6458333333)</f>
        <v>44809.645833333299</v>
      </c>
      <c r="B667" s="14">
        <f ca="1">IFERROR(__xludf.DUMMYFUNCTION("""COMPUTED_VALUE"""),1284.9)</f>
        <v>1284.9000000000001</v>
      </c>
      <c r="C667" s="15">
        <f t="shared" ca="1" si="4"/>
        <v>1.5530527563722751E-2</v>
      </c>
      <c r="D667" s="14">
        <f t="shared" ca="1" si="5"/>
        <v>1260.8516000000004</v>
      </c>
      <c r="E667" s="3"/>
      <c r="F667" s="3"/>
    </row>
    <row r="668" spans="1:6" ht="14.25" x14ac:dyDescent="0.2">
      <c r="A668" s="13">
        <f ca="1">IFERROR(__xludf.DUMMYFUNCTION("""COMPUTED_VALUE"""),44810.6458333333)</f>
        <v>44810.645833333299</v>
      </c>
      <c r="B668" s="14">
        <f ca="1">IFERROR(__xludf.DUMMYFUNCTION("""COMPUTED_VALUE"""),1298.43)</f>
        <v>1298.43</v>
      </c>
      <c r="C668" s="15">
        <f t="shared" ca="1" si="4"/>
        <v>1.053000233481205E-2</v>
      </c>
      <c r="D668" s="14">
        <f t="shared" ca="1" si="5"/>
        <v>1262.1708000000003</v>
      </c>
      <c r="E668" s="3"/>
      <c r="F668" s="3"/>
    </row>
    <row r="669" spans="1:6" ht="14.25" x14ac:dyDescent="0.2">
      <c r="A669" s="13">
        <f ca="1">IFERROR(__xludf.DUMMYFUNCTION("""COMPUTED_VALUE"""),44811.6458333333)</f>
        <v>44811.645833333299</v>
      </c>
      <c r="B669" s="14">
        <f ca="1">IFERROR(__xludf.DUMMYFUNCTION("""COMPUTED_VALUE"""),1290.88)</f>
        <v>1290.8800000000001</v>
      </c>
      <c r="C669" s="15">
        <f t="shared" ca="1" si="4"/>
        <v>-5.814714693899492E-3</v>
      </c>
      <c r="D669" s="14">
        <f t="shared" ca="1" si="5"/>
        <v>1262.9878000000003</v>
      </c>
      <c r="E669" s="3"/>
      <c r="F669" s="3"/>
    </row>
    <row r="670" spans="1:6" ht="14.25" x14ac:dyDescent="0.2">
      <c r="A670" s="13">
        <f ca="1">IFERROR(__xludf.DUMMYFUNCTION("""COMPUTED_VALUE"""),44812.6458333333)</f>
        <v>44812.645833333299</v>
      </c>
      <c r="B670" s="14">
        <f ca="1">IFERROR(__xludf.DUMMYFUNCTION("""COMPUTED_VALUE"""),1292.7)</f>
        <v>1292.7</v>
      </c>
      <c r="C670" s="15">
        <f t="shared" ca="1" si="4"/>
        <v>1.409890927119406E-3</v>
      </c>
      <c r="D670" s="14">
        <f t="shared" ca="1" si="5"/>
        <v>1263.9152000000001</v>
      </c>
      <c r="E670" s="3"/>
      <c r="F670" s="3"/>
    </row>
    <row r="671" spans="1:6" ht="14.25" x14ac:dyDescent="0.2">
      <c r="A671" s="13">
        <f ca="1">IFERROR(__xludf.DUMMYFUNCTION("""COMPUTED_VALUE"""),44813.6458333333)</f>
        <v>44813.645833333299</v>
      </c>
      <c r="B671" s="14">
        <f ca="1">IFERROR(__xludf.DUMMYFUNCTION("""COMPUTED_VALUE"""),1284.65)</f>
        <v>1284.6500000000001</v>
      </c>
      <c r="C671" s="15">
        <f t="shared" ca="1" si="4"/>
        <v>-6.2272762435212625E-3</v>
      </c>
      <c r="D671" s="14">
        <f t="shared" ca="1" si="5"/>
        <v>1264.3312000000001</v>
      </c>
      <c r="E671" s="3"/>
      <c r="F671" s="3"/>
    </row>
    <row r="672" spans="1:6" ht="14.25" x14ac:dyDescent="0.2">
      <c r="A672" s="13">
        <f ca="1">IFERROR(__xludf.DUMMYFUNCTION("""COMPUTED_VALUE"""),44816.6458333333)</f>
        <v>44816.645833333299</v>
      </c>
      <c r="B672" s="14">
        <f ca="1">IFERROR(__xludf.DUMMYFUNCTION("""COMPUTED_VALUE"""),1299.03)</f>
        <v>1299.03</v>
      </c>
      <c r="C672" s="15">
        <f t="shared" ca="1" si="4"/>
        <v>1.1193710349122199E-2</v>
      </c>
      <c r="D672" s="14">
        <f t="shared" ca="1" si="5"/>
        <v>1264.5102000000002</v>
      </c>
      <c r="E672" s="3"/>
      <c r="F672" s="3"/>
    </row>
    <row r="673" spans="1:6" ht="14.25" x14ac:dyDescent="0.2">
      <c r="A673" s="13">
        <f ca="1">IFERROR(__xludf.DUMMYFUNCTION("""COMPUTED_VALUE"""),44817.6458333333)</f>
        <v>44817.645833333299</v>
      </c>
      <c r="B673" s="14">
        <f ca="1">IFERROR(__xludf.DUMMYFUNCTION("""COMPUTED_VALUE"""),1309.88)</f>
        <v>1309.8800000000001</v>
      </c>
      <c r="C673" s="15">
        <f t="shared" ca="1" si="4"/>
        <v>8.3523860111007764E-3</v>
      </c>
      <c r="D673" s="14">
        <f t="shared" ca="1" si="5"/>
        <v>1264.7512000000002</v>
      </c>
      <c r="E673" s="3"/>
      <c r="F673" s="3"/>
    </row>
    <row r="674" spans="1:6" ht="14.25" x14ac:dyDescent="0.2">
      <c r="A674" s="13">
        <f ca="1">IFERROR(__xludf.DUMMYFUNCTION("""COMPUTED_VALUE"""),44818.6458333333)</f>
        <v>44818.645833333299</v>
      </c>
      <c r="B674" s="14">
        <f ca="1">IFERROR(__xludf.DUMMYFUNCTION("""COMPUTED_VALUE"""),1294.18)</f>
        <v>1294.18</v>
      </c>
      <c r="C674" s="15">
        <f t="shared" ca="1" si="4"/>
        <v>-1.1985830763123428E-2</v>
      </c>
      <c r="D674" s="14">
        <f t="shared" ca="1" si="5"/>
        <v>1266.5478000000001</v>
      </c>
      <c r="E674" s="3"/>
      <c r="F674" s="3"/>
    </row>
    <row r="675" spans="1:6" ht="14.25" x14ac:dyDescent="0.2">
      <c r="A675" s="13">
        <f ca="1">IFERROR(__xludf.DUMMYFUNCTION("""COMPUTED_VALUE"""),44819.6458333333)</f>
        <v>44819.645833333299</v>
      </c>
      <c r="B675" s="14">
        <f ca="1">IFERROR(__xludf.DUMMYFUNCTION("""COMPUTED_VALUE"""),1281.35)</f>
        <v>1281.3499999999999</v>
      </c>
      <c r="C675" s="15">
        <f t="shared" ca="1" si="4"/>
        <v>-9.9136132531797427E-3</v>
      </c>
      <c r="D675" s="14">
        <f t="shared" ca="1" si="5"/>
        <v>1268.0378000000001</v>
      </c>
      <c r="E675" s="3"/>
      <c r="F675" s="3"/>
    </row>
    <row r="676" spans="1:6" ht="14.25" x14ac:dyDescent="0.2">
      <c r="A676" s="13">
        <f ca="1">IFERROR(__xludf.DUMMYFUNCTION("""COMPUTED_VALUE"""),44820.6458333333)</f>
        <v>44820.645833333299</v>
      </c>
      <c r="B676" s="14">
        <f ca="1">IFERROR(__xludf.DUMMYFUNCTION("""COMPUTED_VALUE"""),1249.6)</f>
        <v>1249.5999999999999</v>
      </c>
      <c r="C676" s="15">
        <f t="shared" ca="1" si="4"/>
        <v>-2.4778553868966324E-2</v>
      </c>
      <c r="D676" s="14">
        <f t="shared" ca="1" si="5"/>
        <v>1268.6971999999996</v>
      </c>
      <c r="E676" s="3"/>
      <c r="F676" s="3"/>
    </row>
    <row r="677" spans="1:6" ht="14.25" x14ac:dyDescent="0.2">
      <c r="A677" s="13">
        <f ca="1">IFERROR(__xludf.DUMMYFUNCTION("""COMPUTED_VALUE"""),44823.6458333333)</f>
        <v>44823.645833333299</v>
      </c>
      <c r="B677" s="14">
        <f ca="1">IFERROR(__xludf.DUMMYFUNCTION("""COMPUTED_VALUE"""),1251.22)</f>
        <v>1251.22</v>
      </c>
      <c r="C677" s="15">
        <f t="shared" ca="1" si="4"/>
        <v>1.2964148527530028E-3</v>
      </c>
      <c r="D677" s="14">
        <f t="shared" ca="1" si="5"/>
        <v>1269.6029999999998</v>
      </c>
      <c r="E677" s="3"/>
      <c r="F677" s="3"/>
    </row>
    <row r="678" spans="1:6" ht="14.25" x14ac:dyDescent="0.2">
      <c r="A678" s="13">
        <f ca="1">IFERROR(__xludf.DUMMYFUNCTION("""COMPUTED_VALUE"""),44824.6458333333)</f>
        <v>44824.645833333299</v>
      </c>
      <c r="B678" s="14">
        <f ca="1">IFERROR(__xludf.DUMMYFUNCTION("""COMPUTED_VALUE"""),1251.43)</f>
        <v>1251.43</v>
      </c>
      <c r="C678" s="15">
        <f t="shared" ca="1" si="4"/>
        <v>1.6783619187665799E-4</v>
      </c>
      <c r="D678" s="14">
        <f t="shared" ca="1" si="5"/>
        <v>1270.7505999999998</v>
      </c>
      <c r="E678" s="3"/>
      <c r="F678" s="3"/>
    </row>
    <row r="679" spans="1:6" ht="14.25" x14ac:dyDescent="0.2">
      <c r="A679" s="13">
        <f ca="1">IFERROR(__xludf.DUMMYFUNCTION("""COMPUTED_VALUE"""),44825.6458333333)</f>
        <v>44825.645833333299</v>
      </c>
      <c r="B679" s="14">
        <f ca="1">IFERROR(__xludf.DUMMYFUNCTION("""COMPUTED_VALUE"""),1254.88)</f>
        <v>1254.8800000000001</v>
      </c>
      <c r="C679" s="15">
        <f t="shared" ca="1" si="4"/>
        <v>2.756846167983884E-3</v>
      </c>
      <c r="D679" s="14">
        <f t="shared" ca="1" si="5"/>
        <v>1271.9341999999999</v>
      </c>
      <c r="E679" s="3"/>
      <c r="F679" s="3"/>
    </row>
    <row r="680" spans="1:6" ht="14.25" x14ac:dyDescent="0.2">
      <c r="A680" s="13">
        <f ca="1">IFERROR(__xludf.DUMMYFUNCTION("""COMPUTED_VALUE"""),44826.6458333333)</f>
        <v>44826.645833333299</v>
      </c>
      <c r="B680" s="14">
        <f ca="1">IFERROR(__xludf.DUMMYFUNCTION("""COMPUTED_VALUE"""),1243.05)</f>
        <v>1243.05</v>
      </c>
      <c r="C680" s="15">
        <f t="shared" ca="1" si="4"/>
        <v>-9.4271962259341313E-3</v>
      </c>
      <c r="D680" s="14">
        <f t="shared" ca="1" si="5"/>
        <v>1272.5562</v>
      </c>
      <c r="E680" s="3"/>
      <c r="F680" s="3"/>
    </row>
    <row r="681" spans="1:6" ht="14.25" x14ac:dyDescent="0.2">
      <c r="A681" s="13">
        <f ca="1">IFERROR(__xludf.DUMMYFUNCTION("""COMPUTED_VALUE"""),44827.6458333333)</f>
        <v>44827.645833333299</v>
      </c>
      <c r="B681" s="14">
        <f ca="1">IFERROR(__xludf.DUMMYFUNCTION("""COMPUTED_VALUE"""),1219.75)</f>
        <v>1219.75</v>
      </c>
      <c r="C681" s="15">
        <f t="shared" ca="1" si="4"/>
        <v>-1.8744217851252909E-2</v>
      </c>
      <c r="D681" s="14">
        <f t="shared" ca="1" si="5"/>
        <v>1272.7467999999999</v>
      </c>
      <c r="E681" s="3"/>
      <c r="F681" s="3"/>
    </row>
    <row r="682" spans="1:6" ht="14.25" x14ac:dyDescent="0.2">
      <c r="A682" s="13">
        <f ca="1">IFERROR(__xludf.DUMMYFUNCTION("""COMPUTED_VALUE"""),44830.6458333333)</f>
        <v>44830.645833333299</v>
      </c>
      <c r="B682" s="14">
        <f ca="1">IFERROR(__xludf.DUMMYFUNCTION("""COMPUTED_VALUE"""),1188.68)</f>
        <v>1188.68</v>
      </c>
      <c r="C682" s="15">
        <f t="shared" ca="1" si="4"/>
        <v>-2.5472432875589202E-2</v>
      </c>
      <c r="D682" s="14">
        <f t="shared" ca="1" si="5"/>
        <v>1272.7447999999999</v>
      </c>
      <c r="E682" s="3"/>
      <c r="F682" s="3"/>
    </row>
    <row r="683" spans="1:6" ht="14.25" x14ac:dyDescent="0.2">
      <c r="A683" s="13">
        <f ca="1">IFERROR(__xludf.DUMMYFUNCTION("""COMPUTED_VALUE"""),44831.6458333333)</f>
        <v>44831.645833333299</v>
      </c>
      <c r="B683" s="14">
        <f ca="1">IFERROR(__xludf.DUMMYFUNCTION("""COMPUTED_VALUE"""),1198.13)</f>
        <v>1198.1300000000001</v>
      </c>
      <c r="C683" s="15">
        <f t="shared" ca="1" si="4"/>
        <v>7.9499949523842428E-3</v>
      </c>
      <c r="D683" s="14">
        <f t="shared" ca="1" si="5"/>
        <v>1272.7357999999997</v>
      </c>
      <c r="E683" s="3"/>
      <c r="F683" s="3"/>
    </row>
    <row r="684" spans="1:6" ht="14.25" x14ac:dyDescent="0.2">
      <c r="A684" s="13">
        <f ca="1">IFERROR(__xludf.DUMMYFUNCTION("""COMPUTED_VALUE"""),44832.6458333333)</f>
        <v>44832.645833333299</v>
      </c>
      <c r="B684" s="14">
        <f ca="1">IFERROR(__xludf.DUMMYFUNCTION("""COMPUTED_VALUE"""),1166.22)</f>
        <v>1166.22</v>
      </c>
      <c r="C684" s="15">
        <f t="shared" ca="1" si="4"/>
        <v>-2.6633170023286357E-2</v>
      </c>
      <c r="D684" s="14">
        <f t="shared" ca="1" si="5"/>
        <v>1272.0421999999999</v>
      </c>
      <c r="E684" s="3"/>
      <c r="F684" s="3"/>
    </row>
    <row r="685" spans="1:6" ht="14.25" x14ac:dyDescent="0.2">
      <c r="A685" s="13">
        <f ca="1">IFERROR(__xludf.DUMMYFUNCTION("""COMPUTED_VALUE"""),44833.6458333333)</f>
        <v>44833.645833333299</v>
      </c>
      <c r="B685" s="14">
        <f ca="1">IFERROR(__xludf.DUMMYFUNCTION("""COMPUTED_VALUE"""),1162.65)</f>
        <v>1162.6500000000001</v>
      </c>
      <c r="C685" s="15">
        <f t="shared" ca="1" si="4"/>
        <v>-3.0611719915624169E-3</v>
      </c>
      <c r="D685" s="14">
        <f t="shared" ca="1" si="5"/>
        <v>1271.0726</v>
      </c>
      <c r="E685" s="3"/>
      <c r="F685" s="3"/>
    </row>
    <row r="686" spans="1:6" ht="14.25" x14ac:dyDescent="0.2">
      <c r="A686" s="13">
        <f ca="1">IFERROR(__xludf.DUMMYFUNCTION("""COMPUTED_VALUE"""),44834.6458333333)</f>
        <v>44834.645833333299</v>
      </c>
      <c r="B686" s="14">
        <f ca="1">IFERROR(__xludf.DUMMYFUNCTION("""COMPUTED_VALUE"""),1188.88)</f>
        <v>1188.8800000000001</v>
      </c>
      <c r="C686" s="15">
        <f t="shared" ca="1" si="4"/>
        <v>2.2560529824108722E-2</v>
      </c>
      <c r="D686" s="14">
        <f t="shared" ca="1" si="5"/>
        <v>1270.4791999999998</v>
      </c>
      <c r="E686" s="3"/>
      <c r="F686" s="3"/>
    </row>
    <row r="687" spans="1:6" ht="14.25" x14ac:dyDescent="0.2">
      <c r="A687" s="13">
        <f ca="1">IFERROR(__xludf.DUMMYFUNCTION("""COMPUTED_VALUE"""),44837.6458333333)</f>
        <v>44837.645833333299</v>
      </c>
      <c r="B687" s="14">
        <f ca="1">IFERROR(__xludf.DUMMYFUNCTION("""COMPUTED_VALUE"""),1184.75)</f>
        <v>1184.75</v>
      </c>
      <c r="C687" s="15">
        <f t="shared" ca="1" si="4"/>
        <v>-3.4738577484692001E-3</v>
      </c>
      <c r="D687" s="14">
        <f t="shared" ca="1" si="5"/>
        <v>1269.1442</v>
      </c>
      <c r="E687" s="3"/>
      <c r="F687" s="3"/>
    </row>
    <row r="688" spans="1:6" ht="14.25" x14ac:dyDescent="0.2">
      <c r="A688" s="13">
        <f ca="1">IFERROR(__xludf.DUMMYFUNCTION("""COMPUTED_VALUE"""),44838.6458333333)</f>
        <v>44838.645833333299</v>
      </c>
      <c r="B688" s="14">
        <f ca="1">IFERROR(__xludf.DUMMYFUNCTION("""COMPUTED_VALUE"""),1206.6)</f>
        <v>1206.5999999999999</v>
      </c>
      <c r="C688" s="15">
        <f t="shared" ca="1" si="4"/>
        <v>1.8442709432369586E-2</v>
      </c>
      <c r="D688" s="14">
        <f t="shared" ca="1" si="5"/>
        <v>1268.4132</v>
      </c>
      <c r="E688" s="3"/>
      <c r="F688" s="3"/>
    </row>
    <row r="689" spans="1:6" ht="14.25" x14ac:dyDescent="0.2">
      <c r="A689" s="13">
        <f ca="1">IFERROR(__xludf.DUMMYFUNCTION("""COMPUTED_VALUE"""),44840.6458333333)</f>
        <v>44840.645833333299</v>
      </c>
      <c r="B689" s="14">
        <f ca="1">IFERROR(__xludf.DUMMYFUNCTION("""COMPUTED_VALUE"""),1211.05)</f>
        <v>1211.05</v>
      </c>
      <c r="C689" s="15">
        <f t="shared" ca="1" si="4"/>
        <v>3.6880490634842999E-3</v>
      </c>
      <c r="D689" s="14">
        <f t="shared" ca="1" si="5"/>
        <v>1267.6032</v>
      </c>
      <c r="E689" s="3"/>
      <c r="F689" s="3"/>
    </row>
    <row r="690" spans="1:6" ht="14.25" x14ac:dyDescent="0.2">
      <c r="A690" s="13">
        <f ca="1">IFERROR(__xludf.DUMMYFUNCTION("""COMPUTED_VALUE"""),44841.6458333333)</f>
        <v>44841.645833333299</v>
      </c>
      <c r="B690" s="14">
        <f ca="1">IFERROR(__xludf.DUMMYFUNCTION("""COMPUTED_VALUE"""),1216.18)</f>
        <v>1216.18</v>
      </c>
      <c r="C690" s="15">
        <f t="shared" ca="1" si="4"/>
        <v>4.2359935593081488E-3</v>
      </c>
      <c r="D690" s="14">
        <f t="shared" ca="1" si="5"/>
        <v>1267.7228</v>
      </c>
      <c r="E690" s="3"/>
      <c r="F690" s="3"/>
    </row>
    <row r="691" spans="1:6" ht="14.25" x14ac:dyDescent="0.2">
      <c r="A691" s="13">
        <f ca="1">IFERROR(__xludf.DUMMYFUNCTION("""COMPUTED_VALUE"""),44844.6458333333)</f>
        <v>44844.645833333299</v>
      </c>
      <c r="B691" s="14">
        <f ca="1">IFERROR(__xludf.DUMMYFUNCTION("""COMPUTED_VALUE"""),1202.9)</f>
        <v>1202.9000000000001</v>
      </c>
      <c r="C691" s="15">
        <f t="shared" ca="1" si="4"/>
        <v>-1.0919436267657678E-2</v>
      </c>
      <c r="D691" s="14">
        <f t="shared" ca="1" si="5"/>
        <v>1267.5658000000001</v>
      </c>
      <c r="E691" s="3"/>
      <c r="F691" s="3"/>
    </row>
    <row r="692" spans="1:6" ht="14.25" x14ac:dyDescent="0.2">
      <c r="A692" s="13">
        <f ca="1">IFERROR(__xludf.DUMMYFUNCTION("""COMPUTED_VALUE"""),44845.6458333333)</f>
        <v>44845.645833333299</v>
      </c>
      <c r="B692" s="14">
        <f ca="1">IFERROR(__xludf.DUMMYFUNCTION("""COMPUTED_VALUE"""),1178.95)</f>
        <v>1178.95</v>
      </c>
      <c r="C692" s="15">
        <f t="shared" ca="1" si="4"/>
        <v>-1.9910216975642214E-2</v>
      </c>
      <c r="D692" s="14">
        <f t="shared" ca="1" si="5"/>
        <v>1266.9527999999998</v>
      </c>
      <c r="E692" s="3"/>
      <c r="F692" s="3"/>
    </row>
    <row r="693" spans="1:6" ht="14.25" x14ac:dyDescent="0.2">
      <c r="A693" s="13">
        <f ca="1">IFERROR(__xludf.DUMMYFUNCTION("""COMPUTED_VALUE"""),44846.6458333333)</f>
        <v>44846.645833333299</v>
      </c>
      <c r="B693" s="14">
        <f ca="1">IFERROR(__xludf.DUMMYFUNCTION("""COMPUTED_VALUE"""),1187.63)</f>
        <v>1187.6300000000001</v>
      </c>
      <c r="C693" s="15">
        <f t="shared" ca="1" si="4"/>
        <v>7.3624835658849808E-3</v>
      </c>
      <c r="D693" s="14">
        <f t="shared" ca="1" si="5"/>
        <v>1266.1343999999997</v>
      </c>
      <c r="E693" s="3"/>
      <c r="F693" s="3"/>
    </row>
    <row r="694" spans="1:6" ht="14.25" x14ac:dyDescent="0.2">
      <c r="A694" s="13">
        <f ca="1">IFERROR(__xludf.DUMMYFUNCTION("""COMPUTED_VALUE"""),44847.6458333333)</f>
        <v>44847.645833333299</v>
      </c>
      <c r="B694" s="14">
        <f ca="1">IFERROR(__xludf.DUMMYFUNCTION("""COMPUTED_VALUE"""),1191.4)</f>
        <v>1191.4000000000001</v>
      </c>
      <c r="C694" s="15">
        <f t="shared" ca="1" si="4"/>
        <v>3.174389330010241E-3</v>
      </c>
      <c r="D694" s="14">
        <f t="shared" ca="1" si="5"/>
        <v>1264.8679999999999</v>
      </c>
      <c r="E694" s="3"/>
      <c r="F694" s="3"/>
    </row>
    <row r="695" spans="1:6" ht="14.25" x14ac:dyDescent="0.2">
      <c r="A695" s="13">
        <f ca="1">IFERROR(__xludf.DUMMYFUNCTION("""COMPUTED_VALUE"""),44848.6458333333)</f>
        <v>44848.645833333299</v>
      </c>
      <c r="B695" s="14">
        <f ca="1">IFERROR(__xludf.DUMMYFUNCTION("""COMPUTED_VALUE"""),1185.35)</f>
        <v>1185.3499999999999</v>
      </c>
      <c r="C695" s="15">
        <f t="shared" ca="1" si="4"/>
        <v>-5.0780594258856837E-3</v>
      </c>
      <c r="D695" s="14">
        <f t="shared" ca="1" si="5"/>
        <v>1262.8263999999999</v>
      </c>
      <c r="E695" s="3"/>
      <c r="F695" s="3"/>
    </row>
    <row r="696" spans="1:6" ht="14.25" x14ac:dyDescent="0.2">
      <c r="A696" s="13">
        <f ca="1">IFERROR(__xludf.DUMMYFUNCTION("""COMPUTED_VALUE"""),44851.6458333333)</f>
        <v>44851.645833333299</v>
      </c>
      <c r="B696" s="14">
        <f ca="1">IFERROR(__xludf.DUMMYFUNCTION("""COMPUTED_VALUE"""),1204.38)</f>
        <v>1204.3800000000001</v>
      </c>
      <c r="C696" s="15">
        <f t="shared" ca="1" si="4"/>
        <v>1.6054329944742207E-2</v>
      </c>
      <c r="D696" s="14">
        <f t="shared" ca="1" si="5"/>
        <v>1261.0673999999999</v>
      </c>
      <c r="E696" s="3"/>
      <c r="F696" s="3"/>
    </row>
    <row r="697" spans="1:6" ht="14.25" x14ac:dyDescent="0.2">
      <c r="A697" s="13">
        <f ca="1">IFERROR(__xludf.DUMMYFUNCTION("""COMPUTED_VALUE"""),44852.6458333333)</f>
        <v>44852.645833333299</v>
      </c>
      <c r="B697" s="14">
        <f ca="1">IFERROR(__xludf.DUMMYFUNCTION("""COMPUTED_VALUE"""),1225.63)</f>
        <v>1225.6300000000001</v>
      </c>
      <c r="C697" s="15">
        <f t="shared" ca="1" si="4"/>
        <v>1.764393297796385E-2</v>
      </c>
      <c r="D697" s="14">
        <f t="shared" ca="1" si="5"/>
        <v>1259.5163999999997</v>
      </c>
      <c r="E697" s="3"/>
      <c r="F697" s="3"/>
    </row>
    <row r="698" spans="1:6" ht="14.25" x14ac:dyDescent="0.2">
      <c r="A698" s="13">
        <f ca="1">IFERROR(__xludf.DUMMYFUNCTION("""COMPUTED_VALUE"""),44853.6458333333)</f>
        <v>44853.645833333299</v>
      </c>
      <c r="B698" s="14">
        <f ca="1">IFERROR(__xludf.DUMMYFUNCTION("""COMPUTED_VALUE"""),1246.95)</f>
        <v>1246.95</v>
      </c>
      <c r="C698" s="15">
        <f t="shared" ca="1" si="4"/>
        <v>1.7395135562934927E-2</v>
      </c>
      <c r="D698" s="14">
        <f t="shared" ca="1" si="5"/>
        <v>1258.7363999999998</v>
      </c>
      <c r="E698" s="3"/>
      <c r="F698" s="3"/>
    </row>
    <row r="699" spans="1:6" ht="14.25" x14ac:dyDescent="0.2">
      <c r="A699" s="13">
        <f ca="1">IFERROR(__xludf.DUMMYFUNCTION("""COMPUTED_VALUE"""),44854.6458333333)</f>
        <v>44854.645833333299</v>
      </c>
      <c r="B699" s="14">
        <f ca="1">IFERROR(__xludf.DUMMYFUNCTION("""COMPUTED_VALUE"""),1250.3)</f>
        <v>1250.3</v>
      </c>
      <c r="C699" s="15">
        <f t="shared" ca="1" si="4"/>
        <v>2.6865551946748667E-3</v>
      </c>
      <c r="D699" s="14">
        <f t="shared" ca="1" si="5"/>
        <v>1258.4023999999999</v>
      </c>
      <c r="E699" s="3"/>
      <c r="F699" s="3"/>
    </row>
    <row r="700" spans="1:6" ht="14.25" x14ac:dyDescent="0.2">
      <c r="A700" s="13">
        <f ca="1">IFERROR(__xludf.DUMMYFUNCTION("""COMPUTED_VALUE"""),44855.6458333333)</f>
        <v>44855.645833333299</v>
      </c>
      <c r="B700" s="14">
        <f ca="1">IFERROR(__xludf.DUMMYFUNCTION("""COMPUTED_VALUE"""),1235.8)</f>
        <v>1235.8</v>
      </c>
      <c r="C700" s="15">
        <f t="shared" ca="1" si="4"/>
        <v>-1.1597216667999732E-2</v>
      </c>
      <c r="D700" s="14">
        <f t="shared" ca="1" si="5"/>
        <v>1257.4467999999999</v>
      </c>
      <c r="E700" s="3"/>
      <c r="F700" s="3"/>
    </row>
    <row r="701" spans="1:6" ht="14.25" x14ac:dyDescent="0.2">
      <c r="A701" s="13">
        <f ca="1">IFERROR(__xludf.DUMMYFUNCTION("""COMPUTED_VALUE"""),44859.6458333333)</f>
        <v>44859.645833333299</v>
      </c>
      <c r="B701" s="14">
        <f ca="1">IFERROR(__xludf.DUMMYFUNCTION("""COMPUTED_VALUE"""),1220.78)</f>
        <v>1220.78</v>
      </c>
      <c r="C701" s="15">
        <f t="shared" ca="1" si="4"/>
        <v>-1.2154070237902603E-2</v>
      </c>
      <c r="D701" s="14">
        <f t="shared" ca="1" si="5"/>
        <v>1256.0373999999999</v>
      </c>
      <c r="E701" s="3"/>
      <c r="F701" s="3"/>
    </row>
    <row r="702" spans="1:6" ht="14.25" x14ac:dyDescent="0.2">
      <c r="A702" s="13">
        <f ca="1">IFERROR(__xludf.DUMMYFUNCTION("""COMPUTED_VALUE"""),44861.6458333333)</f>
        <v>44861.645833333299</v>
      </c>
      <c r="B702" s="14">
        <f ca="1">IFERROR(__xludf.DUMMYFUNCTION("""COMPUTED_VALUE"""),1225.58)</f>
        <v>1225.58</v>
      </c>
      <c r="C702" s="15">
        <f t="shared" ca="1" si="4"/>
        <v>3.9319123838856829E-3</v>
      </c>
      <c r="D702" s="14">
        <f t="shared" ca="1" si="5"/>
        <v>1254.6379999999999</v>
      </c>
      <c r="E702" s="3"/>
      <c r="F702" s="3"/>
    </row>
    <row r="703" spans="1:6" ht="14.25" x14ac:dyDescent="0.2">
      <c r="A703" s="13">
        <f ca="1">IFERROR(__xludf.DUMMYFUNCTION("""COMPUTED_VALUE"""),44862.6458333333)</f>
        <v>44862.645833333299</v>
      </c>
      <c r="B703" s="14">
        <f ca="1">IFERROR(__xludf.DUMMYFUNCTION("""COMPUTED_VALUE"""),1263.08)</f>
        <v>1263.08</v>
      </c>
      <c r="C703" s="15">
        <f t="shared" ca="1" si="4"/>
        <v>3.0597757796308578E-2</v>
      </c>
      <c r="D703" s="14">
        <f t="shared" ca="1" si="5"/>
        <v>1253.5696</v>
      </c>
      <c r="E703" s="3"/>
      <c r="F703" s="3"/>
    </row>
    <row r="704" spans="1:6" ht="14.25" x14ac:dyDescent="0.2">
      <c r="A704" s="13">
        <f ca="1">IFERROR(__xludf.DUMMYFUNCTION("""COMPUTED_VALUE"""),44865.6458333333)</f>
        <v>44865.645833333299</v>
      </c>
      <c r="B704" s="14">
        <f ca="1">IFERROR(__xludf.DUMMYFUNCTION("""COMPUTED_VALUE"""),1274.8)</f>
        <v>1274.8</v>
      </c>
      <c r="C704" s="15">
        <f t="shared" ca="1" si="4"/>
        <v>9.2789055325077641E-3</v>
      </c>
      <c r="D704" s="14">
        <f t="shared" ca="1" si="5"/>
        <v>1252.5526</v>
      </c>
      <c r="E704" s="3"/>
      <c r="F704" s="3"/>
    </row>
    <row r="705" spans="1:6" ht="14.25" x14ac:dyDescent="0.2">
      <c r="A705" s="13">
        <f ca="1">IFERROR(__xludf.DUMMYFUNCTION("""COMPUTED_VALUE"""),44866.6458333333)</f>
        <v>44866.645833333299</v>
      </c>
      <c r="B705" s="14">
        <f ca="1">IFERROR(__xludf.DUMMYFUNCTION("""COMPUTED_VALUE"""),1264.93)</f>
        <v>1264.93</v>
      </c>
      <c r="C705" s="15">
        <f t="shared" ca="1" si="4"/>
        <v>-7.7423909632883259E-3</v>
      </c>
      <c r="D705" s="14">
        <f t="shared" ca="1" si="5"/>
        <v>1251.1996000000001</v>
      </c>
      <c r="E705" s="3"/>
      <c r="F705" s="3"/>
    </row>
    <row r="706" spans="1:6" ht="14.25" x14ac:dyDescent="0.2">
      <c r="A706" s="13">
        <f ca="1">IFERROR(__xludf.DUMMYFUNCTION("""COMPUTED_VALUE"""),44867.6458333333)</f>
        <v>44867.645833333299</v>
      </c>
      <c r="B706" s="14">
        <f ca="1">IFERROR(__xludf.DUMMYFUNCTION("""COMPUTED_VALUE"""),1272.83)</f>
        <v>1272.83</v>
      </c>
      <c r="C706" s="15">
        <f t="shared" ca="1" si="4"/>
        <v>6.2454048840645537E-3</v>
      </c>
      <c r="D706" s="14">
        <f t="shared" ca="1" si="5"/>
        <v>1250.0431999999998</v>
      </c>
      <c r="E706" s="3"/>
      <c r="F706" s="3"/>
    </row>
    <row r="707" spans="1:6" ht="14.25" x14ac:dyDescent="0.2">
      <c r="A707" s="13">
        <f ca="1">IFERROR(__xludf.DUMMYFUNCTION("""COMPUTED_VALUE"""),44868.6458333333)</f>
        <v>44868.645833333299</v>
      </c>
      <c r="B707" s="14">
        <f ca="1">IFERROR(__xludf.DUMMYFUNCTION("""COMPUTED_VALUE"""),1277.58)</f>
        <v>1277.58</v>
      </c>
      <c r="C707" s="15">
        <f t="shared" ca="1" si="4"/>
        <v>3.7318416442102542E-3</v>
      </c>
      <c r="D707" s="14">
        <f t="shared" ca="1" si="5"/>
        <v>1249.4562000000001</v>
      </c>
      <c r="E707" s="3"/>
      <c r="F707" s="3"/>
    </row>
    <row r="708" spans="1:6" ht="14.25" x14ac:dyDescent="0.2">
      <c r="A708" s="13">
        <f ca="1">IFERROR(__xludf.DUMMYFUNCTION("""COMPUTED_VALUE"""),44869.6458333333)</f>
        <v>44869.645833333299</v>
      </c>
      <c r="B708" s="14">
        <f ca="1">IFERROR(__xludf.DUMMYFUNCTION("""COMPUTED_VALUE"""),1296.38)</f>
        <v>1296.3800000000001</v>
      </c>
      <c r="C708" s="15">
        <f t="shared" ca="1" si="4"/>
        <v>1.4715321154056937E-2</v>
      </c>
      <c r="D708" s="14">
        <f t="shared" ca="1" si="5"/>
        <v>1249.3178</v>
      </c>
      <c r="E708" s="3"/>
      <c r="F708" s="3"/>
    </row>
    <row r="709" spans="1:6" ht="14.25" x14ac:dyDescent="0.2">
      <c r="A709" s="13">
        <f ca="1">IFERROR(__xludf.DUMMYFUNCTION("""COMPUTED_VALUE"""),44872.6458333333)</f>
        <v>44872.645833333299</v>
      </c>
      <c r="B709" s="14">
        <f ca="1">IFERROR(__xludf.DUMMYFUNCTION("""COMPUTED_VALUE"""),1303.3)</f>
        <v>1303.3</v>
      </c>
      <c r="C709" s="15">
        <f t="shared" ca="1" si="4"/>
        <v>5.3379410358072032E-3</v>
      </c>
      <c r="D709" s="14">
        <f t="shared" ca="1" si="5"/>
        <v>1248.9158</v>
      </c>
      <c r="E709" s="3"/>
      <c r="F709" s="3"/>
    </row>
    <row r="710" spans="1:6" ht="14.25" x14ac:dyDescent="0.2">
      <c r="A710" s="13">
        <f ca="1">IFERROR(__xludf.DUMMYFUNCTION("""COMPUTED_VALUE"""),44874.6458333333)</f>
        <v>44874.645833333299</v>
      </c>
      <c r="B710" s="14">
        <f ca="1">IFERROR(__xludf.DUMMYFUNCTION("""COMPUTED_VALUE"""),1302)</f>
        <v>1302</v>
      </c>
      <c r="C710" s="15">
        <f t="shared" ca="1" si="4"/>
        <v>-9.974679659325858E-4</v>
      </c>
      <c r="D710" s="14">
        <f t="shared" ca="1" si="5"/>
        <v>1248.5582000000002</v>
      </c>
      <c r="E710" s="3"/>
      <c r="F710" s="3"/>
    </row>
    <row r="711" spans="1:6" ht="14.25" x14ac:dyDescent="0.2">
      <c r="A711" s="13">
        <f ca="1">IFERROR(__xludf.DUMMYFUNCTION("""COMPUTED_VALUE"""),44875.6458333333)</f>
        <v>44875.645833333299</v>
      </c>
      <c r="B711" s="14">
        <f ca="1">IFERROR(__xludf.DUMMYFUNCTION("""COMPUTED_VALUE"""),1286.25)</f>
        <v>1286.25</v>
      </c>
      <c r="C711" s="15">
        <f t="shared" ca="1" si="4"/>
        <v>-1.2096774193548376E-2</v>
      </c>
      <c r="D711" s="14">
        <f t="shared" ca="1" si="5"/>
        <v>1247.9626000000003</v>
      </c>
      <c r="E711" s="3"/>
      <c r="F711" s="3"/>
    </row>
    <row r="712" spans="1:6" ht="14.25" x14ac:dyDescent="0.2">
      <c r="A712" s="13">
        <f ca="1">IFERROR(__xludf.DUMMYFUNCTION("""COMPUTED_VALUE"""),44876.6458333333)</f>
        <v>44876.645833333299</v>
      </c>
      <c r="B712" s="14">
        <f ca="1">IFERROR(__xludf.DUMMYFUNCTION("""COMPUTED_VALUE"""),1315.9)</f>
        <v>1315.9</v>
      </c>
      <c r="C712" s="15">
        <f t="shared" ca="1" si="4"/>
        <v>2.3051506316812409E-2</v>
      </c>
      <c r="D712" s="14">
        <f t="shared" ca="1" si="5"/>
        <v>1248.1006000000002</v>
      </c>
      <c r="E712" s="3"/>
      <c r="F712" s="3"/>
    </row>
    <row r="713" spans="1:6" ht="14.25" x14ac:dyDescent="0.2">
      <c r="A713" s="13">
        <f ca="1">IFERROR(__xludf.DUMMYFUNCTION("""COMPUTED_VALUE"""),44879.6458333333)</f>
        <v>44879.645833333299</v>
      </c>
      <c r="B713" s="14">
        <f ca="1">IFERROR(__xludf.DUMMYFUNCTION("""COMPUTED_VALUE"""),1309.53)</f>
        <v>1309.53</v>
      </c>
      <c r="C713" s="15">
        <f t="shared" ca="1" si="4"/>
        <v>-4.8407933733567443E-3</v>
      </c>
      <c r="D713" s="14">
        <f t="shared" ca="1" si="5"/>
        <v>1248.3146000000002</v>
      </c>
      <c r="E713" s="3"/>
      <c r="F713" s="3"/>
    </row>
    <row r="714" spans="1:6" ht="14.25" x14ac:dyDescent="0.2">
      <c r="A714" s="13">
        <f ca="1">IFERROR(__xludf.DUMMYFUNCTION("""COMPUTED_VALUE"""),44880.6458333333)</f>
        <v>44880.645833333299</v>
      </c>
      <c r="B714" s="14">
        <f ca="1">IFERROR(__xludf.DUMMYFUNCTION("""COMPUTED_VALUE"""),1303.65)</f>
        <v>1303.6500000000001</v>
      </c>
      <c r="C714" s="15">
        <f t="shared" ca="1" si="4"/>
        <v>-4.490160591968051E-3</v>
      </c>
      <c r="D714" s="14">
        <f t="shared" ca="1" si="5"/>
        <v>1248.0080000000003</v>
      </c>
      <c r="E714" s="3"/>
      <c r="F714" s="3"/>
    </row>
    <row r="715" spans="1:6" ht="14.25" x14ac:dyDescent="0.2">
      <c r="A715" s="13">
        <f ca="1">IFERROR(__xludf.DUMMYFUNCTION("""COMPUTED_VALUE"""),44881.6458333333)</f>
        <v>44881.645833333299</v>
      </c>
      <c r="B715" s="14">
        <f ca="1">IFERROR(__xludf.DUMMYFUNCTION("""COMPUTED_VALUE"""),1296.18)</f>
        <v>1296.18</v>
      </c>
      <c r="C715" s="15">
        <f t="shared" ca="1" si="4"/>
        <v>-5.73006558508804E-3</v>
      </c>
      <c r="D715" s="14">
        <f t="shared" ca="1" si="5"/>
        <v>1248.3276000000003</v>
      </c>
      <c r="E715" s="3"/>
      <c r="F715" s="3"/>
    </row>
    <row r="716" spans="1:6" ht="14.25" x14ac:dyDescent="0.2">
      <c r="A716" s="13">
        <f ca="1">IFERROR(__xludf.DUMMYFUNCTION("""COMPUTED_VALUE"""),44882.6458333333)</f>
        <v>44882.645833333299</v>
      </c>
      <c r="B716" s="14">
        <f ca="1">IFERROR(__xludf.DUMMYFUNCTION("""COMPUTED_VALUE"""),1299.53)</f>
        <v>1299.53</v>
      </c>
      <c r="C716" s="15">
        <f t="shared" ca="1" si="4"/>
        <v>2.5845175824343869E-3</v>
      </c>
      <c r="D716" s="14">
        <f t="shared" ca="1" si="5"/>
        <v>1249.0132000000003</v>
      </c>
      <c r="E716" s="3"/>
      <c r="F716" s="3"/>
    </row>
    <row r="717" spans="1:6" ht="14.25" x14ac:dyDescent="0.2">
      <c r="A717" s="13">
        <f ca="1">IFERROR(__xludf.DUMMYFUNCTION("""COMPUTED_VALUE"""),44883.6458333333)</f>
        <v>44883.645833333299</v>
      </c>
      <c r="B717" s="14">
        <f ca="1">IFERROR(__xludf.DUMMYFUNCTION("""COMPUTED_VALUE"""),1298.83)</f>
        <v>1298.83</v>
      </c>
      <c r="C717" s="15">
        <f t="shared" ca="1" si="4"/>
        <v>-5.3865628342553151E-4</v>
      </c>
      <c r="D717" s="14">
        <f t="shared" ca="1" si="5"/>
        <v>1249.2918000000002</v>
      </c>
      <c r="E717" s="3"/>
      <c r="F717" s="3"/>
    </row>
    <row r="718" spans="1:6" ht="14.25" x14ac:dyDescent="0.2">
      <c r="A718" s="13">
        <f ca="1">IFERROR(__xludf.DUMMYFUNCTION("""COMPUTED_VALUE"""),44886.6458333333)</f>
        <v>44886.645833333299</v>
      </c>
      <c r="B718" s="14">
        <f ca="1">IFERROR(__xludf.DUMMYFUNCTION("""COMPUTED_VALUE"""),1275.45)</f>
        <v>1275.45</v>
      </c>
      <c r="C718" s="15">
        <f t="shared" ca="1" si="4"/>
        <v>-1.800081611912252E-2</v>
      </c>
      <c r="D718" s="14">
        <f t="shared" ca="1" si="5"/>
        <v>1248.8322000000003</v>
      </c>
      <c r="E718" s="3"/>
      <c r="F718" s="3"/>
    </row>
    <row r="719" spans="1:6" ht="14.25" x14ac:dyDescent="0.2">
      <c r="A719" s="13">
        <f ca="1">IFERROR(__xludf.DUMMYFUNCTION("""COMPUTED_VALUE"""),44887.6458333333)</f>
        <v>44887.645833333299</v>
      </c>
      <c r="B719" s="14">
        <f ca="1">IFERROR(__xludf.DUMMYFUNCTION("""COMPUTED_VALUE"""),1282.53)</f>
        <v>1282.53</v>
      </c>
      <c r="C719" s="15">
        <f t="shared" ca="1" si="4"/>
        <v>5.5509820063506243E-3</v>
      </c>
      <c r="D719" s="14">
        <f t="shared" ca="1" si="5"/>
        <v>1248.6652000000004</v>
      </c>
      <c r="E719" s="3"/>
      <c r="F719" s="3"/>
    </row>
    <row r="720" spans="1:6" ht="14.25" x14ac:dyDescent="0.2">
      <c r="A720" s="13">
        <f ca="1">IFERROR(__xludf.DUMMYFUNCTION("""COMPUTED_VALUE"""),44888.6458333333)</f>
        <v>44888.645833333299</v>
      </c>
      <c r="B720" s="14">
        <f ca="1">IFERROR(__xludf.DUMMYFUNCTION("""COMPUTED_VALUE"""),1278.53)</f>
        <v>1278.53</v>
      </c>
      <c r="C720" s="15">
        <f t="shared" ca="1" si="4"/>
        <v>-3.1188354268516516E-3</v>
      </c>
      <c r="D720" s="14">
        <f t="shared" ca="1" si="5"/>
        <v>1248.3818000000003</v>
      </c>
      <c r="E720" s="3"/>
      <c r="F720" s="3"/>
    </row>
    <row r="721" spans="1:6" ht="14.25" x14ac:dyDescent="0.2">
      <c r="A721" s="13">
        <f ca="1">IFERROR(__xludf.DUMMYFUNCTION("""COMPUTED_VALUE"""),44889.6458333333)</f>
        <v>44889.645833333299</v>
      </c>
      <c r="B721" s="14">
        <f ca="1">IFERROR(__xludf.DUMMYFUNCTION("""COMPUTED_VALUE"""),1289.55)</f>
        <v>1289.55</v>
      </c>
      <c r="C721" s="15">
        <f t="shared" ca="1" si="4"/>
        <v>8.6192736971364425E-3</v>
      </c>
      <c r="D721" s="14">
        <f t="shared" ca="1" si="5"/>
        <v>1248.4798000000003</v>
      </c>
      <c r="E721" s="3"/>
      <c r="F721" s="3"/>
    </row>
    <row r="722" spans="1:6" ht="14.25" x14ac:dyDescent="0.2">
      <c r="A722" s="13">
        <f ca="1">IFERROR(__xludf.DUMMYFUNCTION("""COMPUTED_VALUE"""),44890.6458333333)</f>
        <v>44890.645833333299</v>
      </c>
      <c r="B722" s="14">
        <f ca="1">IFERROR(__xludf.DUMMYFUNCTION("""COMPUTED_VALUE"""),1308.8)</f>
        <v>1308.8</v>
      </c>
      <c r="C722" s="15">
        <f t="shared" ca="1" si="4"/>
        <v>1.4927687953161906E-2</v>
      </c>
      <c r="D722" s="14">
        <f t="shared" ca="1" si="5"/>
        <v>1248.6752000000006</v>
      </c>
      <c r="E722" s="3"/>
      <c r="F722" s="3"/>
    </row>
    <row r="723" spans="1:6" ht="14.25" x14ac:dyDescent="0.2">
      <c r="A723" s="13">
        <f ca="1">IFERROR(__xludf.DUMMYFUNCTION("""COMPUTED_VALUE"""),44893.6458333333)</f>
        <v>44893.645833333299</v>
      </c>
      <c r="B723" s="14">
        <f ca="1">IFERROR(__xludf.DUMMYFUNCTION("""COMPUTED_VALUE"""),1353.78)</f>
        <v>1353.78</v>
      </c>
      <c r="C723" s="15">
        <f t="shared" ca="1" si="4"/>
        <v>3.4367359413203014E-2</v>
      </c>
      <c r="D723" s="14">
        <f t="shared" ca="1" si="5"/>
        <v>1249.5532000000003</v>
      </c>
      <c r="E723" s="3"/>
      <c r="F723" s="3"/>
    </row>
    <row r="724" spans="1:6" ht="14.25" x14ac:dyDescent="0.2">
      <c r="A724" s="13">
        <f ca="1">IFERROR(__xludf.DUMMYFUNCTION("""COMPUTED_VALUE"""),44894.6458333333)</f>
        <v>44894.645833333299</v>
      </c>
      <c r="B724" s="14">
        <f ca="1">IFERROR(__xludf.DUMMYFUNCTION("""COMPUTED_VALUE"""),1356.1)</f>
        <v>1356.1</v>
      </c>
      <c r="C724" s="15">
        <f t="shared" ca="1" si="4"/>
        <v>1.7137201022321413E-3</v>
      </c>
      <c r="D724" s="14">
        <f t="shared" ca="1" si="5"/>
        <v>1250.7916000000002</v>
      </c>
      <c r="E724" s="3"/>
      <c r="F724" s="3"/>
    </row>
    <row r="725" spans="1:6" ht="14.25" x14ac:dyDescent="0.2">
      <c r="A725" s="13">
        <f ca="1">IFERROR(__xludf.DUMMYFUNCTION("""COMPUTED_VALUE"""),44895.6458333333)</f>
        <v>44895.645833333299</v>
      </c>
      <c r="B725" s="14">
        <f ca="1">IFERROR(__xludf.DUMMYFUNCTION("""COMPUTED_VALUE"""),1365.68)</f>
        <v>1365.68</v>
      </c>
      <c r="C725" s="15">
        <f t="shared" ca="1" si="4"/>
        <v>7.0643757834969456E-3</v>
      </c>
      <c r="D725" s="14">
        <f t="shared" ca="1" si="5"/>
        <v>1252.4782000000005</v>
      </c>
      <c r="E725" s="3"/>
      <c r="F725" s="3"/>
    </row>
    <row r="726" spans="1:6" ht="14.25" x14ac:dyDescent="0.2">
      <c r="A726" s="13">
        <f ca="1">IFERROR(__xludf.DUMMYFUNCTION("""COMPUTED_VALUE"""),44896.6458333333)</f>
        <v>44896.645833333299</v>
      </c>
      <c r="B726" s="14">
        <f ca="1">IFERROR(__xludf.DUMMYFUNCTION("""COMPUTED_VALUE"""),1361.65)</f>
        <v>1361.65</v>
      </c>
      <c r="C726" s="15">
        <f t="shared" ca="1" si="4"/>
        <v>-2.9509109015288804E-3</v>
      </c>
      <c r="D726" s="14">
        <f t="shared" ca="1" si="5"/>
        <v>1254.7192000000002</v>
      </c>
      <c r="E726" s="3"/>
      <c r="F726" s="3"/>
    </row>
    <row r="727" spans="1:6" ht="14.25" x14ac:dyDescent="0.2">
      <c r="A727" s="13">
        <f ca="1">IFERROR(__xludf.DUMMYFUNCTION("""COMPUTED_VALUE"""),44897.6458333333)</f>
        <v>44897.645833333299</v>
      </c>
      <c r="B727" s="14">
        <f ca="1">IFERROR(__xludf.DUMMYFUNCTION("""COMPUTED_VALUE"""),1361.08)</f>
        <v>1361.08</v>
      </c>
      <c r="C727" s="15">
        <f t="shared" ca="1" si="4"/>
        <v>-4.1860977490559836E-4</v>
      </c>
      <c r="D727" s="14">
        <f t="shared" ca="1" si="5"/>
        <v>1256.9164000000003</v>
      </c>
      <c r="E727" s="3"/>
      <c r="F727" s="3"/>
    </row>
    <row r="728" spans="1:6" ht="14.25" x14ac:dyDescent="0.2">
      <c r="A728" s="13">
        <f ca="1">IFERROR(__xludf.DUMMYFUNCTION("""COMPUTED_VALUE"""),44900.6458333333)</f>
        <v>44900.645833333299</v>
      </c>
      <c r="B728" s="14">
        <f ca="1">IFERROR(__xludf.DUMMYFUNCTION("""COMPUTED_VALUE"""),1341.23)</f>
        <v>1341.23</v>
      </c>
      <c r="C728" s="15">
        <f t="shared" ca="1" si="4"/>
        <v>-1.4584006818115003E-2</v>
      </c>
      <c r="D728" s="14">
        <f t="shared" ca="1" si="5"/>
        <v>1258.7124000000001</v>
      </c>
      <c r="E728" s="3"/>
      <c r="F728" s="3"/>
    </row>
    <row r="729" spans="1:6" ht="14.25" x14ac:dyDescent="0.2">
      <c r="A729" s="13">
        <f ca="1">IFERROR(__xludf.DUMMYFUNCTION("""COMPUTED_VALUE"""),44901.6458333333)</f>
        <v>44901.645833333299</v>
      </c>
      <c r="B729" s="14">
        <f ca="1">IFERROR(__xludf.DUMMYFUNCTION("""COMPUTED_VALUE"""),1345.1)</f>
        <v>1345.1</v>
      </c>
      <c r="C729" s="15">
        <f t="shared" ca="1" si="4"/>
        <v>2.8854111524494463E-3</v>
      </c>
      <c r="D729" s="14">
        <f t="shared" ca="1" si="5"/>
        <v>1260.5168000000003</v>
      </c>
      <c r="E729" s="3"/>
      <c r="F729" s="3"/>
    </row>
    <row r="730" spans="1:6" ht="14.25" x14ac:dyDescent="0.2">
      <c r="A730" s="13">
        <f ca="1">IFERROR(__xludf.DUMMYFUNCTION("""COMPUTED_VALUE"""),44902.6458333333)</f>
        <v>44902.645833333299</v>
      </c>
      <c r="B730" s="14">
        <f ca="1">IFERROR(__xludf.DUMMYFUNCTION("""COMPUTED_VALUE"""),1325.25)</f>
        <v>1325.25</v>
      </c>
      <c r="C730" s="15">
        <f t="shared" ca="1" si="4"/>
        <v>-1.4757267117686323E-2</v>
      </c>
      <c r="D730" s="14">
        <f t="shared" ca="1" si="5"/>
        <v>1262.1608000000001</v>
      </c>
      <c r="E730" s="3"/>
      <c r="F730" s="3"/>
    </row>
    <row r="731" spans="1:6" ht="14.25" x14ac:dyDescent="0.2">
      <c r="A731" s="13">
        <f ca="1">IFERROR(__xludf.DUMMYFUNCTION("""COMPUTED_VALUE"""),44903.6458333333)</f>
        <v>44903.645833333299</v>
      </c>
      <c r="B731" s="14">
        <f ca="1">IFERROR(__xludf.DUMMYFUNCTION("""COMPUTED_VALUE"""),1324.63)</f>
        <v>1324.63</v>
      </c>
      <c r="C731" s="15">
        <f t="shared" ca="1" si="4"/>
        <v>-4.6783625730983935E-4</v>
      </c>
      <c r="D731" s="14">
        <f t="shared" ca="1" si="5"/>
        <v>1264.2584000000002</v>
      </c>
      <c r="E731" s="3"/>
      <c r="F731" s="3"/>
    </row>
    <row r="732" spans="1:6" ht="14.25" x14ac:dyDescent="0.2">
      <c r="A732" s="13">
        <f ca="1">IFERROR(__xludf.DUMMYFUNCTION("""COMPUTED_VALUE"""),44904.6458333333)</f>
        <v>44904.645833333299</v>
      </c>
      <c r="B732" s="14">
        <f ca="1">IFERROR(__xludf.DUMMYFUNCTION("""COMPUTED_VALUE"""),1304.55)</f>
        <v>1304.55</v>
      </c>
      <c r="C732" s="15">
        <f t="shared" ca="1" si="4"/>
        <v>-1.5158950046428199E-2</v>
      </c>
      <c r="D732" s="14">
        <f t="shared" ca="1" si="5"/>
        <v>1266.5758000000001</v>
      </c>
      <c r="E732" s="3"/>
      <c r="F732" s="3"/>
    </row>
    <row r="733" spans="1:6" ht="14.25" x14ac:dyDescent="0.2">
      <c r="A733" s="13">
        <f ca="1">IFERROR(__xludf.DUMMYFUNCTION("""COMPUTED_VALUE"""),44907.6458333333)</f>
        <v>44907.645833333299</v>
      </c>
      <c r="B733" s="14">
        <f ca="1">IFERROR(__xludf.DUMMYFUNCTION("""COMPUTED_VALUE"""),1306.55)</f>
        <v>1306.55</v>
      </c>
      <c r="C733" s="15">
        <f t="shared" ca="1" si="4"/>
        <v>1.5330957034993542E-3</v>
      </c>
      <c r="D733" s="14">
        <f t="shared" ca="1" si="5"/>
        <v>1268.7442000000003</v>
      </c>
      <c r="E733" s="3"/>
      <c r="F733" s="3"/>
    </row>
    <row r="734" spans="1:6" ht="14.25" x14ac:dyDescent="0.2">
      <c r="A734" s="13">
        <f ca="1">IFERROR(__xludf.DUMMYFUNCTION("""COMPUTED_VALUE"""),44908.6458333333)</f>
        <v>44908.645833333299</v>
      </c>
      <c r="B734" s="14">
        <f ca="1">IFERROR(__xludf.DUMMYFUNCTION("""COMPUTED_VALUE"""),1312.5)</f>
        <v>1312.5</v>
      </c>
      <c r="C734" s="15">
        <f t="shared" ca="1" si="4"/>
        <v>4.5539780337531255E-3</v>
      </c>
      <c r="D734" s="14">
        <f t="shared" ca="1" si="5"/>
        <v>1271.6698000000004</v>
      </c>
      <c r="E734" s="3"/>
      <c r="F734" s="3"/>
    </row>
    <row r="735" spans="1:6" ht="14.25" x14ac:dyDescent="0.2">
      <c r="A735" s="13">
        <f ca="1">IFERROR(__xludf.DUMMYFUNCTION("""COMPUTED_VALUE"""),44909.6458333333)</f>
        <v>44909.645833333299</v>
      </c>
      <c r="B735" s="14">
        <f ca="1">IFERROR(__xludf.DUMMYFUNCTION("""COMPUTED_VALUE"""),1307.75)</f>
        <v>1307.75</v>
      </c>
      <c r="C735" s="15">
        <f t="shared" ca="1" si="4"/>
        <v>-3.6190476190476328E-3</v>
      </c>
      <c r="D735" s="14">
        <f t="shared" ca="1" si="5"/>
        <v>1274.5718000000002</v>
      </c>
      <c r="E735" s="3"/>
      <c r="F735" s="3"/>
    </row>
    <row r="736" spans="1:6" ht="14.25" x14ac:dyDescent="0.2">
      <c r="A736" s="13">
        <f ca="1">IFERROR(__xludf.DUMMYFUNCTION("""COMPUTED_VALUE"""),44910.6458333333)</f>
        <v>44910.645833333299</v>
      </c>
      <c r="B736" s="14">
        <f ca="1">IFERROR(__xludf.DUMMYFUNCTION("""COMPUTED_VALUE"""),1289.18)</f>
        <v>1289.18</v>
      </c>
      <c r="C736" s="15">
        <f t="shared" ca="1" si="4"/>
        <v>-1.4199961766392599E-2</v>
      </c>
      <c r="D736" s="14">
        <f t="shared" ca="1" si="5"/>
        <v>1276.5778</v>
      </c>
      <c r="E736" s="3"/>
      <c r="F736" s="3"/>
    </row>
    <row r="737" spans="1:6" ht="14.25" x14ac:dyDescent="0.2">
      <c r="A737" s="13">
        <f ca="1">IFERROR(__xludf.DUMMYFUNCTION("""COMPUTED_VALUE"""),44911.6458333333)</f>
        <v>44911.645833333299</v>
      </c>
      <c r="B737" s="14">
        <f ca="1">IFERROR(__xludf.DUMMYFUNCTION("""COMPUTED_VALUE"""),1282.8)</f>
        <v>1282.8</v>
      </c>
      <c r="C737" s="15">
        <f t="shared" ca="1" si="4"/>
        <v>-4.9488822352193873E-3</v>
      </c>
      <c r="D737" s="14">
        <f t="shared" ca="1" si="5"/>
        <v>1278.5388000000003</v>
      </c>
      <c r="E737" s="3"/>
      <c r="F737" s="3"/>
    </row>
    <row r="738" spans="1:6" ht="14.25" x14ac:dyDescent="0.2">
      <c r="A738" s="13">
        <f ca="1">IFERROR(__xludf.DUMMYFUNCTION("""COMPUTED_VALUE"""),44914.6458333333)</f>
        <v>44914.645833333299</v>
      </c>
      <c r="B738" s="14">
        <f ca="1">IFERROR(__xludf.DUMMYFUNCTION("""COMPUTED_VALUE"""),1299.65)</f>
        <v>1299.6500000000001</v>
      </c>
      <c r="C738" s="15">
        <f t="shared" ca="1" si="4"/>
        <v>1.3135328967882831E-2</v>
      </c>
      <c r="D738" s="14">
        <f t="shared" ca="1" si="5"/>
        <v>1280.3998000000001</v>
      </c>
      <c r="E738" s="3"/>
      <c r="F738" s="3"/>
    </row>
    <row r="739" spans="1:6" ht="14.25" x14ac:dyDescent="0.2">
      <c r="A739" s="13">
        <f ca="1">IFERROR(__xludf.DUMMYFUNCTION("""COMPUTED_VALUE"""),44915.6458333333)</f>
        <v>44915.645833333299</v>
      </c>
      <c r="B739" s="14">
        <f ca="1">IFERROR(__xludf.DUMMYFUNCTION("""COMPUTED_VALUE"""),1310.9)</f>
        <v>1310.9</v>
      </c>
      <c r="C739" s="15">
        <f t="shared" ca="1" si="4"/>
        <v>8.6561766629478232E-3</v>
      </c>
      <c r="D739" s="14">
        <f t="shared" ca="1" si="5"/>
        <v>1282.3968000000004</v>
      </c>
      <c r="E739" s="3"/>
      <c r="F739" s="3"/>
    </row>
    <row r="740" spans="1:6" ht="14.25" x14ac:dyDescent="0.2">
      <c r="A740" s="13">
        <f ca="1">IFERROR(__xludf.DUMMYFUNCTION("""COMPUTED_VALUE"""),44916.6458333333)</f>
        <v>44916.645833333299</v>
      </c>
      <c r="B740" s="14">
        <f ca="1">IFERROR(__xludf.DUMMYFUNCTION("""COMPUTED_VALUE"""),1292.25)</f>
        <v>1292.25</v>
      </c>
      <c r="C740" s="15">
        <f t="shared" ca="1" si="4"/>
        <v>-1.4226867037912982E-2</v>
      </c>
      <c r="D740" s="14">
        <f t="shared" ca="1" si="5"/>
        <v>1283.9182000000003</v>
      </c>
      <c r="E740" s="3"/>
      <c r="F740" s="3"/>
    </row>
    <row r="741" spans="1:6" ht="14.25" x14ac:dyDescent="0.2">
      <c r="A741" s="13">
        <f ca="1">IFERROR(__xludf.DUMMYFUNCTION("""COMPUTED_VALUE"""),44917.6458333333)</f>
        <v>44917.645833333299</v>
      </c>
      <c r="B741" s="14">
        <f ca="1">IFERROR(__xludf.DUMMYFUNCTION("""COMPUTED_VALUE"""),1288.9)</f>
        <v>1288.9000000000001</v>
      </c>
      <c r="C741" s="15">
        <f t="shared" ca="1" si="4"/>
        <v>-2.5923776359062511E-3</v>
      </c>
      <c r="D741" s="14">
        <f t="shared" ca="1" si="5"/>
        <v>1285.6382000000003</v>
      </c>
      <c r="E741" s="3"/>
      <c r="F741" s="3"/>
    </row>
    <row r="742" spans="1:6" ht="14.25" x14ac:dyDescent="0.2">
      <c r="A742" s="13">
        <f ca="1">IFERROR(__xludf.DUMMYFUNCTION("""COMPUTED_VALUE"""),44918.6458333333)</f>
        <v>44918.645833333299</v>
      </c>
      <c r="B742" s="14">
        <f ca="1">IFERROR(__xludf.DUMMYFUNCTION("""COMPUTED_VALUE"""),1251.1)</f>
        <v>1251.0999999999999</v>
      </c>
      <c r="C742" s="15">
        <f t="shared" ca="1" si="4"/>
        <v>-2.9327333385057219E-2</v>
      </c>
      <c r="D742" s="14">
        <f t="shared" ca="1" si="5"/>
        <v>1287.0812000000003</v>
      </c>
      <c r="E742" s="3"/>
      <c r="F742" s="3"/>
    </row>
    <row r="743" spans="1:6" ht="14.25" x14ac:dyDescent="0.2">
      <c r="A743" s="13">
        <f ca="1">IFERROR(__xludf.DUMMYFUNCTION("""COMPUTED_VALUE"""),44921.6458333333)</f>
        <v>44921.645833333299</v>
      </c>
      <c r="B743" s="14">
        <f ca="1">IFERROR(__xludf.DUMMYFUNCTION("""COMPUTED_VALUE"""),1262.03)</f>
        <v>1262.03</v>
      </c>
      <c r="C743" s="15">
        <f t="shared" ca="1" si="4"/>
        <v>8.7363120454000409E-3</v>
      </c>
      <c r="D743" s="14">
        <f t="shared" ca="1" si="5"/>
        <v>1288.5692000000004</v>
      </c>
      <c r="E743" s="3"/>
      <c r="F743" s="3"/>
    </row>
    <row r="744" spans="1:6" ht="14.25" x14ac:dyDescent="0.2">
      <c r="A744" s="13">
        <f ca="1">IFERROR(__xludf.DUMMYFUNCTION("""COMPUTED_VALUE"""),44922.6458333333)</f>
        <v>44922.645833333299</v>
      </c>
      <c r="B744" s="14">
        <f ca="1">IFERROR(__xludf.DUMMYFUNCTION("""COMPUTED_VALUE"""),1272.35)</f>
        <v>1272.3499999999999</v>
      </c>
      <c r="C744" s="15">
        <f t="shared" ca="1" si="4"/>
        <v>8.1773016489306016E-3</v>
      </c>
      <c r="D744" s="14">
        <f t="shared" ca="1" si="5"/>
        <v>1290.1882000000003</v>
      </c>
      <c r="E744" s="3"/>
      <c r="F744" s="3"/>
    </row>
    <row r="745" spans="1:6" ht="14.25" x14ac:dyDescent="0.2">
      <c r="A745" s="13">
        <f ca="1">IFERROR(__xludf.DUMMYFUNCTION("""COMPUTED_VALUE"""),44923.6458333333)</f>
        <v>44923.645833333299</v>
      </c>
      <c r="B745" s="14">
        <f ca="1">IFERROR(__xludf.DUMMYFUNCTION("""COMPUTED_VALUE"""),1272.22)</f>
        <v>1272.22</v>
      </c>
      <c r="C745" s="15">
        <f t="shared" ca="1" si="4"/>
        <v>-1.0217314418192736E-4</v>
      </c>
      <c r="D745" s="14">
        <f t="shared" ca="1" si="5"/>
        <v>1291.9256000000003</v>
      </c>
      <c r="E745" s="3"/>
      <c r="F745" s="3"/>
    </row>
    <row r="746" spans="1:6" ht="14.25" x14ac:dyDescent="0.2">
      <c r="A746" s="13">
        <f ca="1">IFERROR(__xludf.DUMMYFUNCTION("""COMPUTED_VALUE"""),44924.6458333333)</f>
        <v>44924.645833333299</v>
      </c>
      <c r="B746" s="14">
        <f ca="1">IFERROR(__xludf.DUMMYFUNCTION("""COMPUTED_VALUE"""),1271.65)</f>
        <v>1271.6500000000001</v>
      </c>
      <c r="C746" s="15">
        <f t="shared" ca="1" si="4"/>
        <v>-4.4803571709295387E-4</v>
      </c>
      <c r="D746" s="14">
        <f t="shared" ca="1" si="5"/>
        <v>1293.2710000000002</v>
      </c>
      <c r="E746" s="3"/>
      <c r="F746" s="3"/>
    </row>
    <row r="747" spans="1:6" ht="14.25" x14ac:dyDescent="0.2">
      <c r="A747" s="13">
        <f ca="1">IFERROR(__xludf.DUMMYFUNCTION("""COMPUTED_VALUE"""),44925.6458333333)</f>
        <v>44925.645833333299</v>
      </c>
      <c r="B747" s="14">
        <f ca="1">IFERROR(__xludf.DUMMYFUNCTION("""COMPUTED_VALUE"""),1273.6)</f>
        <v>1273.5999999999999</v>
      </c>
      <c r="C747" s="15">
        <f t="shared" ca="1" si="4"/>
        <v>1.5334408052529724E-3</v>
      </c>
      <c r="D747" s="14">
        <f t="shared" ca="1" si="5"/>
        <v>1294.2304000000001</v>
      </c>
      <c r="E747" s="3"/>
      <c r="F747" s="3"/>
    </row>
    <row r="748" spans="1:6" ht="14.25" x14ac:dyDescent="0.2">
      <c r="A748" s="13">
        <f ca="1">IFERROR(__xludf.DUMMYFUNCTION("""COMPUTED_VALUE"""),44928.6458333333)</f>
        <v>44928.645833333299</v>
      </c>
      <c r="B748" s="14">
        <f ca="1">IFERROR(__xludf.DUMMYFUNCTION("""COMPUTED_VALUE"""),1287.95)</f>
        <v>1287.95</v>
      </c>
      <c r="C748" s="15">
        <f t="shared" ca="1" si="4"/>
        <v>1.1267273869346894E-2</v>
      </c>
      <c r="D748" s="14">
        <f t="shared" ca="1" si="5"/>
        <v>1295.0504000000003</v>
      </c>
      <c r="E748" s="3"/>
      <c r="F748" s="3"/>
    </row>
    <row r="749" spans="1:6" ht="14.25" x14ac:dyDescent="0.2">
      <c r="A749" s="13">
        <f ca="1">IFERROR(__xludf.DUMMYFUNCTION("""COMPUTED_VALUE"""),44929.6458333333)</f>
        <v>44929.645833333299</v>
      </c>
      <c r="B749" s="14">
        <f ca="1">IFERROR(__xludf.DUMMYFUNCTION("""COMPUTED_VALUE"""),1278.53)</f>
        <v>1278.53</v>
      </c>
      <c r="C749" s="15">
        <f t="shared" ca="1" si="4"/>
        <v>-7.3139485228463919E-3</v>
      </c>
      <c r="D749" s="14">
        <f t="shared" ca="1" si="5"/>
        <v>1295.615</v>
      </c>
      <c r="E749" s="3"/>
      <c r="F749" s="3"/>
    </row>
    <row r="750" spans="1:6" ht="14.25" x14ac:dyDescent="0.2">
      <c r="A750" s="13">
        <f ca="1">IFERROR(__xludf.DUMMYFUNCTION("""COMPUTED_VALUE"""),44930.6458333333)</f>
        <v>44930.645833333299</v>
      </c>
      <c r="B750" s="14">
        <f ca="1">IFERROR(__xludf.DUMMYFUNCTION("""COMPUTED_VALUE"""),1259.28)</f>
        <v>1259.28</v>
      </c>
      <c r="C750" s="15">
        <f t="shared" ca="1" si="4"/>
        <v>-1.5056353781295662E-2</v>
      </c>
      <c r="D750" s="14">
        <f t="shared" ca="1" si="5"/>
        <v>1296.0845999999999</v>
      </c>
      <c r="E750" s="3"/>
      <c r="F750" s="3"/>
    </row>
    <row r="751" spans="1:6" ht="14.25" x14ac:dyDescent="0.2">
      <c r="A751" s="13">
        <f ca="1">IFERROR(__xludf.DUMMYFUNCTION("""COMPUTED_VALUE"""),44931.6458333333)</f>
        <v>44931.645833333299</v>
      </c>
      <c r="B751" s="14">
        <f ca="1">IFERROR(__xludf.DUMMYFUNCTION("""COMPUTED_VALUE"""),1257.03)</f>
        <v>1257.03</v>
      </c>
      <c r="C751" s="15">
        <f t="shared" ca="1" si="4"/>
        <v>-1.7867352773013323E-3</v>
      </c>
      <c r="D751" s="14">
        <f t="shared" ca="1" si="5"/>
        <v>1296.8095999999998</v>
      </c>
      <c r="E751" s="3"/>
      <c r="F751" s="3"/>
    </row>
    <row r="752" spans="1:6" ht="14.25" x14ac:dyDescent="0.2">
      <c r="A752" s="13">
        <f ca="1">IFERROR(__xludf.DUMMYFUNCTION("""COMPUTED_VALUE"""),44932.6458333333)</f>
        <v>44932.645833333299</v>
      </c>
      <c r="B752" s="14">
        <f ca="1">IFERROR(__xludf.DUMMYFUNCTION("""COMPUTED_VALUE"""),1268.45)</f>
        <v>1268.45</v>
      </c>
      <c r="C752" s="15">
        <f t="shared" ca="1" si="4"/>
        <v>9.0849064859233053E-3</v>
      </c>
      <c r="D752" s="14">
        <f t="shared" ca="1" si="5"/>
        <v>1297.6669999999999</v>
      </c>
      <c r="E752" s="3"/>
      <c r="F752" s="3"/>
    </row>
    <row r="753" spans="1:6" ht="14.25" x14ac:dyDescent="0.2">
      <c r="A753" s="13">
        <f ca="1">IFERROR(__xludf.DUMMYFUNCTION("""COMPUTED_VALUE"""),44935.6458333333)</f>
        <v>44935.645833333299</v>
      </c>
      <c r="B753" s="14">
        <f ca="1">IFERROR(__xludf.DUMMYFUNCTION("""COMPUTED_VALUE"""),1298.4)</f>
        <v>1298.4000000000001</v>
      </c>
      <c r="C753" s="15">
        <f t="shared" ca="1" si="4"/>
        <v>2.3611494343490191E-2</v>
      </c>
      <c r="D753" s="14">
        <f t="shared" ca="1" si="5"/>
        <v>1298.3733999999999</v>
      </c>
      <c r="E753" s="3"/>
      <c r="F753" s="3"/>
    </row>
    <row r="754" spans="1:6" ht="14.25" x14ac:dyDescent="0.2">
      <c r="A754" s="13">
        <f ca="1">IFERROR(__xludf.DUMMYFUNCTION("""COMPUTED_VALUE"""),44936.6458333333)</f>
        <v>44936.645833333299</v>
      </c>
      <c r="B754" s="14">
        <f ca="1">IFERROR(__xludf.DUMMYFUNCTION("""COMPUTED_VALUE"""),1279.2)</f>
        <v>1279.2</v>
      </c>
      <c r="C754" s="15">
        <f t="shared" ca="1" si="4"/>
        <v>-1.4787430683918745E-2</v>
      </c>
      <c r="D754" s="14">
        <f t="shared" ca="1" si="5"/>
        <v>1298.4613999999999</v>
      </c>
      <c r="E754" s="3"/>
      <c r="F754" s="3"/>
    </row>
    <row r="755" spans="1:6" ht="14.25" x14ac:dyDescent="0.2">
      <c r="A755" s="13">
        <f ca="1">IFERROR(__xludf.DUMMYFUNCTION("""COMPUTED_VALUE"""),44937.6458333333)</f>
        <v>44937.645833333299</v>
      </c>
      <c r="B755" s="14">
        <f ca="1">IFERROR(__xludf.DUMMYFUNCTION("""COMPUTED_VALUE"""),1263.08)</f>
        <v>1263.08</v>
      </c>
      <c r="C755" s="15">
        <f t="shared" ca="1" si="4"/>
        <v>-1.2601626016260248E-2</v>
      </c>
      <c r="D755" s="14">
        <f t="shared" ca="1" si="5"/>
        <v>1298.4243999999997</v>
      </c>
      <c r="E755" s="3"/>
      <c r="F755" s="3"/>
    </row>
    <row r="756" spans="1:6" ht="14.25" x14ac:dyDescent="0.2">
      <c r="A756" s="13">
        <f ca="1">IFERROR(__xludf.DUMMYFUNCTION("""COMPUTED_VALUE"""),44938.6458333333)</f>
        <v>44938.645833333299</v>
      </c>
      <c r="B756" s="14">
        <f ca="1">IFERROR(__xludf.DUMMYFUNCTION("""COMPUTED_VALUE"""),1235.8)</f>
        <v>1235.8</v>
      </c>
      <c r="C756" s="15">
        <f t="shared" ca="1" si="4"/>
        <v>-2.1597998543243513E-2</v>
      </c>
      <c r="D756" s="14">
        <f t="shared" ca="1" si="5"/>
        <v>1297.6838</v>
      </c>
      <c r="E756" s="3"/>
      <c r="F756" s="3"/>
    </row>
    <row r="757" spans="1:6" ht="14.25" x14ac:dyDescent="0.2">
      <c r="A757" s="13">
        <f ca="1">IFERROR(__xludf.DUMMYFUNCTION("""COMPUTED_VALUE"""),44939.6458333333)</f>
        <v>44939.645833333299</v>
      </c>
      <c r="B757" s="14">
        <f ca="1">IFERROR(__xludf.DUMMYFUNCTION("""COMPUTED_VALUE"""),1233.8)</f>
        <v>1233.8</v>
      </c>
      <c r="C757" s="15">
        <f t="shared" ca="1" si="4"/>
        <v>-1.6183848519177868E-3</v>
      </c>
      <c r="D757" s="14">
        <f t="shared" ca="1" si="5"/>
        <v>1296.8082000000002</v>
      </c>
      <c r="E757" s="3"/>
      <c r="F757" s="3"/>
    </row>
    <row r="758" spans="1:6" ht="14.25" x14ac:dyDescent="0.2">
      <c r="A758" s="13">
        <f ca="1">IFERROR(__xludf.DUMMYFUNCTION("""COMPUTED_VALUE"""),44942.6458333333)</f>
        <v>44942.645833333299</v>
      </c>
      <c r="B758" s="14">
        <f ca="1">IFERROR(__xludf.DUMMYFUNCTION("""COMPUTED_VALUE"""),1222.05)</f>
        <v>1222.05</v>
      </c>
      <c r="C758" s="15">
        <f t="shared" ca="1" si="4"/>
        <v>-9.5234235694602321E-3</v>
      </c>
      <c r="D758" s="14">
        <f t="shared" ca="1" si="5"/>
        <v>1295.3216</v>
      </c>
      <c r="E758" s="3"/>
      <c r="F758" s="3"/>
    </row>
    <row r="759" spans="1:6" ht="14.25" x14ac:dyDescent="0.2">
      <c r="A759" s="13">
        <f ca="1">IFERROR(__xludf.DUMMYFUNCTION("""COMPUTED_VALUE"""),44943.6458333333)</f>
        <v>44943.645833333299</v>
      </c>
      <c r="B759" s="14">
        <f ca="1">IFERROR(__xludf.DUMMYFUNCTION("""COMPUTED_VALUE"""),1239.4)</f>
        <v>1239.4000000000001</v>
      </c>
      <c r="C759" s="15">
        <f t="shared" ca="1" si="4"/>
        <v>1.4197455095945388E-2</v>
      </c>
      <c r="D759" s="14">
        <f t="shared" ca="1" si="5"/>
        <v>1294.0436000000002</v>
      </c>
      <c r="E759" s="3"/>
      <c r="F759" s="3"/>
    </row>
    <row r="760" spans="1:6" ht="14.25" x14ac:dyDescent="0.2">
      <c r="A760" s="13">
        <f ca="1">IFERROR(__xludf.DUMMYFUNCTION("""COMPUTED_VALUE"""),44944.6458333333)</f>
        <v>44944.645833333299</v>
      </c>
      <c r="B760" s="14">
        <f ca="1">IFERROR(__xludf.DUMMYFUNCTION("""COMPUTED_VALUE"""),1237.35)</f>
        <v>1237.3499999999999</v>
      </c>
      <c r="C760" s="15">
        <f t="shared" ca="1" si="4"/>
        <v>-1.6540261416816415E-3</v>
      </c>
      <c r="D760" s="14">
        <f t="shared" ca="1" si="5"/>
        <v>1292.7506000000001</v>
      </c>
      <c r="E760" s="3"/>
      <c r="F760" s="3"/>
    </row>
    <row r="761" spans="1:6" ht="14.25" x14ac:dyDescent="0.2">
      <c r="A761" s="13">
        <f ca="1">IFERROR(__xludf.DUMMYFUNCTION("""COMPUTED_VALUE"""),44945.6458333333)</f>
        <v>44945.645833333299</v>
      </c>
      <c r="B761" s="14">
        <f ca="1">IFERROR(__xludf.DUMMYFUNCTION("""COMPUTED_VALUE"""),1236.03)</f>
        <v>1236.03</v>
      </c>
      <c r="C761" s="15">
        <f t="shared" ca="1" si="4"/>
        <v>-1.0667959752697076E-3</v>
      </c>
      <c r="D761" s="14">
        <f t="shared" ca="1" si="5"/>
        <v>1291.7462</v>
      </c>
      <c r="E761" s="3"/>
      <c r="F761" s="3"/>
    </row>
    <row r="762" spans="1:6" ht="14.25" x14ac:dyDescent="0.2">
      <c r="A762" s="13">
        <f ca="1">IFERROR(__xludf.DUMMYFUNCTION("""COMPUTED_VALUE"""),44946.6458333333)</f>
        <v>44946.645833333299</v>
      </c>
      <c r="B762" s="14">
        <f ca="1">IFERROR(__xludf.DUMMYFUNCTION("""COMPUTED_VALUE"""),1221.33)</f>
        <v>1221.33</v>
      </c>
      <c r="C762" s="15">
        <f t="shared" ca="1" si="4"/>
        <v>-1.1892915220504396E-2</v>
      </c>
      <c r="D762" s="14">
        <f t="shared" ca="1" si="5"/>
        <v>1289.8548000000001</v>
      </c>
      <c r="E762" s="3"/>
      <c r="F762" s="3"/>
    </row>
    <row r="763" spans="1:6" ht="14.25" x14ac:dyDescent="0.2">
      <c r="A763" s="13">
        <f ca="1">IFERROR(__xludf.DUMMYFUNCTION("""COMPUTED_VALUE"""),44949.6458333333)</f>
        <v>44949.645833333299</v>
      </c>
      <c r="B763" s="14">
        <f ca="1">IFERROR(__xludf.DUMMYFUNCTION("""COMPUTED_VALUE"""),1215.15)</f>
        <v>1215.1500000000001</v>
      </c>
      <c r="C763" s="15">
        <f t="shared" ca="1" si="4"/>
        <v>-5.0600574783227215E-3</v>
      </c>
      <c r="D763" s="14">
        <f t="shared" ca="1" si="5"/>
        <v>1287.9671999999998</v>
      </c>
      <c r="E763" s="3"/>
      <c r="F763" s="3"/>
    </row>
    <row r="764" spans="1:6" ht="14.25" x14ac:dyDescent="0.2">
      <c r="A764" s="13">
        <f ca="1">IFERROR(__xludf.DUMMYFUNCTION("""COMPUTED_VALUE"""),44950.6458333333)</f>
        <v>44950.645833333299</v>
      </c>
      <c r="B764" s="14">
        <f ca="1">IFERROR(__xludf.DUMMYFUNCTION("""COMPUTED_VALUE"""),1207.97)</f>
        <v>1207.97</v>
      </c>
      <c r="C764" s="15">
        <f t="shared" ca="1" si="4"/>
        <v>-5.9087355470518466E-3</v>
      </c>
      <c r="D764" s="14">
        <f t="shared" ca="1" si="5"/>
        <v>1286.0536</v>
      </c>
      <c r="E764" s="3"/>
      <c r="F764" s="3"/>
    </row>
    <row r="765" spans="1:6" ht="14.25" x14ac:dyDescent="0.2">
      <c r="A765" s="13">
        <f ca="1">IFERROR(__xludf.DUMMYFUNCTION("""COMPUTED_VALUE"""),44951.6458333333)</f>
        <v>44951.645833333299</v>
      </c>
      <c r="B765" s="14">
        <f ca="1">IFERROR(__xludf.DUMMYFUNCTION("""COMPUTED_VALUE"""),1191.28)</f>
        <v>1191.28</v>
      </c>
      <c r="C765" s="15">
        <f t="shared" ca="1" si="4"/>
        <v>-1.3816568292258968E-2</v>
      </c>
      <c r="D765" s="14">
        <f t="shared" ca="1" si="5"/>
        <v>1283.9556000000002</v>
      </c>
      <c r="E765" s="3"/>
      <c r="F765" s="3"/>
    </row>
    <row r="766" spans="1:6" ht="14.25" x14ac:dyDescent="0.2">
      <c r="A766" s="13">
        <f ca="1">IFERROR(__xludf.DUMMYFUNCTION("""COMPUTED_VALUE"""),44953.6458333333)</f>
        <v>44953.645833333299</v>
      </c>
      <c r="B766" s="14">
        <f ca="1">IFERROR(__xludf.DUMMYFUNCTION("""COMPUTED_VALUE"""),1168.68)</f>
        <v>1168.68</v>
      </c>
      <c r="C766" s="15">
        <f t="shared" ca="1" si="4"/>
        <v>-1.8971190652071646E-2</v>
      </c>
      <c r="D766" s="14">
        <f t="shared" ca="1" si="5"/>
        <v>1281.3386</v>
      </c>
      <c r="E766" s="3"/>
      <c r="F766" s="3"/>
    </row>
    <row r="767" spans="1:6" ht="14.25" x14ac:dyDescent="0.2">
      <c r="A767" s="13">
        <f ca="1">IFERROR(__xludf.DUMMYFUNCTION("""COMPUTED_VALUE"""),44956.6458333333)</f>
        <v>44956.645833333299</v>
      </c>
      <c r="B767" s="14">
        <f ca="1">IFERROR(__xludf.DUMMYFUNCTION("""COMPUTED_VALUE"""),1179.88)</f>
        <v>1179.8800000000001</v>
      </c>
      <c r="C767" s="15">
        <f t="shared" ca="1" si="4"/>
        <v>9.5834616832666253E-3</v>
      </c>
      <c r="D767" s="14">
        <f t="shared" ca="1" si="5"/>
        <v>1278.9596000000001</v>
      </c>
      <c r="E767" s="3"/>
      <c r="F767" s="3"/>
    </row>
    <row r="768" spans="1:6" ht="14.25" x14ac:dyDescent="0.2">
      <c r="A768" s="13">
        <f ca="1">IFERROR(__xludf.DUMMYFUNCTION("""COMPUTED_VALUE"""),44957.6458333333)</f>
        <v>44957.645833333299</v>
      </c>
      <c r="B768" s="14">
        <f ca="1">IFERROR(__xludf.DUMMYFUNCTION("""COMPUTED_VALUE"""),1176.93)</f>
        <v>1176.93</v>
      </c>
      <c r="C768" s="15">
        <f t="shared" ref="C768:C1022" ca="1" si="6">(B768/B767)-1</f>
        <v>-2.5002542631454849E-3</v>
      </c>
      <c r="D768" s="14">
        <f t="shared" ca="1" si="5"/>
        <v>1276.9892</v>
      </c>
      <c r="E768" s="3"/>
      <c r="F768" s="3"/>
    </row>
    <row r="769" spans="1:6" ht="14.25" x14ac:dyDescent="0.2">
      <c r="A769" s="13">
        <f ca="1">IFERROR(__xludf.DUMMYFUNCTION("""COMPUTED_VALUE"""),44958.6458333333)</f>
        <v>44958.645833333299</v>
      </c>
      <c r="B769" s="14">
        <f ca="1">IFERROR(__xludf.DUMMYFUNCTION("""COMPUTED_VALUE"""),1169.95)</f>
        <v>1169.95</v>
      </c>
      <c r="C769" s="15">
        <f t="shared" ca="1" si="6"/>
        <v>-5.9306840678715611E-3</v>
      </c>
      <c r="D769" s="14">
        <f t="shared" ca="1" si="5"/>
        <v>1274.7375999999999</v>
      </c>
      <c r="E769" s="3"/>
      <c r="F769" s="3"/>
    </row>
    <row r="770" spans="1:6" ht="14.25" x14ac:dyDescent="0.2">
      <c r="A770" s="13">
        <f ca="1">IFERROR(__xludf.DUMMYFUNCTION("""COMPUTED_VALUE"""),44959.6458333333)</f>
        <v>44959.645833333299</v>
      </c>
      <c r="B770" s="14">
        <f ca="1">IFERROR(__xludf.DUMMYFUNCTION("""COMPUTED_VALUE"""),1163.47)</f>
        <v>1163.47</v>
      </c>
      <c r="C770" s="15">
        <f t="shared" ca="1" si="6"/>
        <v>-5.5386982349673319E-3</v>
      </c>
      <c r="D770" s="14">
        <f t="shared" ca="1" si="5"/>
        <v>1272.4363999999998</v>
      </c>
      <c r="E770" s="3"/>
      <c r="F770" s="3"/>
    </row>
    <row r="771" spans="1:6" ht="14.25" x14ac:dyDescent="0.2">
      <c r="A771" s="13">
        <f ca="1">IFERROR(__xludf.DUMMYFUNCTION("""COMPUTED_VALUE"""),44960.6458333333)</f>
        <v>44960.645833333299</v>
      </c>
      <c r="B771" s="14">
        <f ca="1">IFERROR(__xludf.DUMMYFUNCTION("""COMPUTED_VALUE"""),1164.5)</f>
        <v>1164.5</v>
      </c>
      <c r="C771" s="15">
        <f t="shared" ca="1" si="6"/>
        <v>8.852828177778882E-4</v>
      </c>
      <c r="D771" s="14">
        <f t="shared" ca="1" si="5"/>
        <v>1269.9353999999998</v>
      </c>
      <c r="E771" s="3"/>
      <c r="F771" s="3"/>
    </row>
    <row r="772" spans="1:6" ht="14.25" x14ac:dyDescent="0.2">
      <c r="A772" s="13">
        <f ca="1">IFERROR(__xludf.DUMMYFUNCTION("""COMPUTED_VALUE"""),44963.6458333333)</f>
        <v>44963.645833333299</v>
      </c>
      <c r="B772" s="14">
        <f ca="1">IFERROR(__xludf.DUMMYFUNCTION("""COMPUTED_VALUE"""),1155.72)</f>
        <v>1155.72</v>
      </c>
      <c r="C772" s="15">
        <f t="shared" ca="1" si="6"/>
        <v>-7.5397166165735996E-3</v>
      </c>
      <c r="D772" s="14">
        <f t="shared" ca="1" si="5"/>
        <v>1266.8738000000001</v>
      </c>
      <c r="E772" s="3"/>
      <c r="F772" s="3"/>
    </row>
    <row r="773" spans="1:6" ht="14.25" x14ac:dyDescent="0.2">
      <c r="A773" s="13">
        <f ca="1">IFERROR(__xludf.DUMMYFUNCTION("""COMPUTED_VALUE"""),44964.6458333333)</f>
        <v>44964.645833333299</v>
      </c>
      <c r="B773" s="14">
        <f ca="1">IFERROR(__xludf.DUMMYFUNCTION("""COMPUTED_VALUE"""),1152.95)</f>
        <v>1152.95</v>
      </c>
      <c r="C773" s="15">
        <f t="shared" ca="1" si="6"/>
        <v>-2.3967743051950263E-3</v>
      </c>
      <c r="D773" s="14">
        <f t="shared" ca="1" si="5"/>
        <v>1262.8571999999999</v>
      </c>
      <c r="E773" s="3"/>
      <c r="F773" s="3"/>
    </row>
    <row r="774" spans="1:6" ht="14.25" x14ac:dyDescent="0.2">
      <c r="A774" s="13">
        <f ca="1">IFERROR(__xludf.DUMMYFUNCTION("""COMPUTED_VALUE"""),44965.6458333333)</f>
        <v>44965.645833333299</v>
      </c>
      <c r="B774" s="14">
        <f ca="1">IFERROR(__xludf.DUMMYFUNCTION("""COMPUTED_VALUE"""),1175.97)</f>
        <v>1175.97</v>
      </c>
      <c r="C774" s="15">
        <f t="shared" ca="1" si="6"/>
        <v>1.9966173728262371E-2</v>
      </c>
      <c r="D774" s="14">
        <f t="shared" ca="1" si="5"/>
        <v>1259.2546</v>
      </c>
      <c r="E774" s="3"/>
      <c r="F774" s="3"/>
    </row>
    <row r="775" spans="1:6" ht="14.25" x14ac:dyDescent="0.2">
      <c r="A775" s="13">
        <f ca="1">IFERROR(__xludf.DUMMYFUNCTION("""COMPUTED_VALUE"""),44966.6458333333)</f>
        <v>44966.645833333299</v>
      </c>
      <c r="B775" s="14">
        <f ca="1">IFERROR(__xludf.DUMMYFUNCTION("""COMPUTED_VALUE"""),1178.03)</f>
        <v>1178.03</v>
      </c>
      <c r="C775" s="15">
        <f t="shared" ca="1" si="6"/>
        <v>1.7517453676538786E-3</v>
      </c>
      <c r="D775" s="14">
        <f t="shared" ca="1" si="5"/>
        <v>1255.5016000000001</v>
      </c>
      <c r="E775" s="3"/>
      <c r="F775" s="3"/>
    </row>
    <row r="776" spans="1:6" ht="14.25" x14ac:dyDescent="0.2">
      <c r="A776" s="13">
        <f ca="1">IFERROR(__xludf.DUMMYFUNCTION("""COMPUTED_VALUE"""),44967.6458333333)</f>
        <v>44967.645833333299</v>
      </c>
      <c r="B776" s="14">
        <f ca="1">IFERROR(__xludf.DUMMYFUNCTION("""COMPUTED_VALUE"""),1168.33)</f>
        <v>1168.33</v>
      </c>
      <c r="C776" s="15">
        <f t="shared" ca="1" si="6"/>
        <v>-8.2340857193790029E-3</v>
      </c>
      <c r="D776" s="14">
        <f t="shared" ca="1" si="5"/>
        <v>1251.6351999999999</v>
      </c>
      <c r="E776" s="3"/>
      <c r="F776" s="3"/>
    </row>
    <row r="777" spans="1:6" ht="14.25" x14ac:dyDescent="0.2">
      <c r="A777" s="13">
        <f ca="1">IFERROR(__xludf.DUMMYFUNCTION("""COMPUTED_VALUE"""),44970.6458333333)</f>
        <v>44970.645833333299</v>
      </c>
      <c r="B777" s="14">
        <f ca="1">IFERROR(__xludf.DUMMYFUNCTION("""COMPUTED_VALUE"""),1161.68)</f>
        <v>1161.68</v>
      </c>
      <c r="C777" s="15">
        <f t="shared" ca="1" si="6"/>
        <v>-5.6918849982452446E-3</v>
      </c>
      <c r="D777" s="14">
        <f t="shared" ca="1" si="5"/>
        <v>1247.6472000000001</v>
      </c>
      <c r="E777" s="3"/>
      <c r="F777" s="3"/>
    </row>
    <row r="778" spans="1:6" ht="14.25" x14ac:dyDescent="0.2">
      <c r="A778" s="13">
        <f ca="1">IFERROR(__xludf.DUMMYFUNCTION("""COMPUTED_VALUE"""),44971.6458333333)</f>
        <v>44971.645833333299</v>
      </c>
      <c r="B778" s="14">
        <f ca="1">IFERROR(__xludf.DUMMYFUNCTION("""COMPUTED_VALUE"""),1189.05)</f>
        <v>1189.05</v>
      </c>
      <c r="C778" s="15">
        <f t="shared" ca="1" si="6"/>
        <v>2.3560705185593278E-2</v>
      </c>
      <c r="D778" s="14">
        <f t="shared" ca="1" si="5"/>
        <v>1244.6036000000001</v>
      </c>
      <c r="E778" s="3"/>
      <c r="F778" s="3"/>
    </row>
    <row r="779" spans="1:6" ht="14.25" x14ac:dyDescent="0.2">
      <c r="A779" s="13">
        <f ca="1">IFERROR(__xludf.DUMMYFUNCTION("""COMPUTED_VALUE"""),44972.6458333333)</f>
        <v>44972.645833333299</v>
      </c>
      <c r="B779" s="14">
        <f ca="1">IFERROR(__xludf.DUMMYFUNCTION("""COMPUTED_VALUE"""),1215.97)</f>
        <v>1215.97</v>
      </c>
      <c r="C779" s="15">
        <f t="shared" ca="1" si="6"/>
        <v>2.2639922627307518E-2</v>
      </c>
      <c r="D779" s="14">
        <f t="shared" ca="1" si="5"/>
        <v>1242.0210000000002</v>
      </c>
      <c r="E779" s="3"/>
      <c r="F779" s="3"/>
    </row>
    <row r="780" spans="1:6" ht="14.25" x14ac:dyDescent="0.2">
      <c r="A780" s="13">
        <f ca="1">IFERROR(__xludf.DUMMYFUNCTION("""COMPUTED_VALUE"""),44973.6458333333)</f>
        <v>44973.645833333299</v>
      </c>
      <c r="B780" s="14">
        <f ca="1">IFERROR(__xludf.DUMMYFUNCTION("""COMPUTED_VALUE"""),1215.03)</f>
        <v>1215.03</v>
      </c>
      <c r="C780" s="15">
        <f t="shared" ca="1" si="6"/>
        <v>-7.7304538763300901E-4</v>
      </c>
      <c r="D780" s="14">
        <f t="shared" ca="1" si="5"/>
        <v>1239.8166000000001</v>
      </c>
      <c r="E780" s="3"/>
      <c r="F780" s="3"/>
    </row>
    <row r="781" spans="1:6" ht="14.25" x14ac:dyDescent="0.2">
      <c r="A781" s="13">
        <f ca="1">IFERROR(__xludf.DUMMYFUNCTION("""COMPUTED_VALUE"""),44974.6458333333)</f>
        <v>44974.645833333299</v>
      </c>
      <c r="B781" s="14">
        <f ca="1">IFERROR(__xludf.DUMMYFUNCTION("""COMPUTED_VALUE"""),1220.1)</f>
        <v>1220.0999999999999</v>
      </c>
      <c r="C781" s="15">
        <f t="shared" ca="1" si="6"/>
        <v>4.1727364756425356E-3</v>
      </c>
      <c r="D781" s="14">
        <f t="shared" ca="1" si="5"/>
        <v>1237.7260000000001</v>
      </c>
      <c r="E781" s="3"/>
      <c r="F781" s="3"/>
    </row>
    <row r="782" spans="1:6" ht="14.25" x14ac:dyDescent="0.2">
      <c r="A782" s="13">
        <f ca="1">IFERROR(__xludf.DUMMYFUNCTION("""COMPUTED_VALUE"""),44977.6458333333)</f>
        <v>44977.645833333299</v>
      </c>
      <c r="B782" s="14">
        <f ca="1">IFERROR(__xludf.DUMMYFUNCTION("""COMPUTED_VALUE"""),1207.2)</f>
        <v>1207.2</v>
      </c>
      <c r="C782" s="15">
        <f t="shared" ca="1" si="6"/>
        <v>-1.0572903860339156E-2</v>
      </c>
      <c r="D782" s="14">
        <f t="shared" ca="1" si="5"/>
        <v>1235.779</v>
      </c>
      <c r="E782" s="3"/>
      <c r="F782" s="3"/>
    </row>
    <row r="783" spans="1:6" ht="14.25" x14ac:dyDescent="0.2">
      <c r="A783" s="13">
        <f ca="1">IFERROR(__xludf.DUMMYFUNCTION("""COMPUTED_VALUE"""),44978.6458333333)</f>
        <v>44978.645833333299</v>
      </c>
      <c r="B783" s="14">
        <f ca="1">IFERROR(__xludf.DUMMYFUNCTION("""COMPUTED_VALUE"""),1217.05)</f>
        <v>1217.05</v>
      </c>
      <c r="C783" s="15">
        <f t="shared" ca="1" si="6"/>
        <v>8.1593770709078584E-3</v>
      </c>
      <c r="D783" s="14">
        <f t="shared" ca="1" si="5"/>
        <v>1233.989</v>
      </c>
      <c r="E783" s="3"/>
      <c r="F783" s="3"/>
    </row>
    <row r="784" spans="1:6" ht="14.25" x14ac:dyDescent="0.2">
      <c r="A784" s="13">
        <f ca="1">IFERROR(__xludf.DUMMYFUNCTION("""COMPUTED_VALUE"""),44979.6458333333)</f>
        <v>44979.645833333299</v>
      </c>
      <c r="B784" s="14">
        <f ca="1">IFERROR(__xludf.DUMMYFUNCTION("""COMPUTED_VALUE"""),1189.45)</f>
        <v>1189.45</v>
      </c>
      <c r="C784" s="15">
        <f t="shared" ca="1" si="6"/>
        <v>-2.2677786450844173E-2</v>
      </c>
      <c r="D784" s="14">
        <f t="shared" ca="1" si="5"/>
        <v>1231.528</v>
      </c>
      <c r="E784" s="3"/>
      <c r="F784" s="3"/>
    </row>
    <row r="785" spans="1:6" ht="14.25" x14ac:dyDescent="0.2">
      <c r="A785" s="13">
        <f ca="1">IFERROR(__xludf.DUMMYFUNCTION("""COMPUTED_VALUE"""),44980.6458333333)</f>
        <v>44980.645833333299</v>
      </c>
      <c r="B785" s="14">
        <f ca="1">IFERROR(__xludf.DUMMYFUNCTION("""COMPUTED_VALUE"""),1183.75)</f>
        <v>1183.75</v>
      </c>
      <c r="C785" s="15">
        <f t="shared" ca="1" si="6"/>
        <v>-4.7921308167641063E-3</v>
      </c>
      <c r="D785" s="14">
        <f t="shared" ca="1" si="5"/>
        <v>1229.048</v>
      </c>
      <c r="E785" s="3"/>
      <c r="F785" s="3"/>
    </row>
    <row r="786" spans="1:6" ht="14.25" x14ac:dyDescent="0.2">
      <c r="A786" s="13">
        <f ca="1">IFERROR(__xludf.DUMMYFUNCTION("""COMPUTED_VALUE"""),44981.6458333333)</f>
        <v>44981.645833333299</v>
      </c>
      <c r="B786" s="14">
        <f ca="1">IFERROR(__xludf.DUMMYFUNCTION("""COMPUTED_VALUE"""),1191.85)</f>
        <v>1191.8499999999999</v>
      </c>
      <c r="C786" s="15">
        <f t="shared" ca="1" si="6"/>
        <v>6.8426610348468753E-3</v>
      </c>
      <c r="D786" s="14">
        <f t="shared" ca="1" si="5"/>
        <v>1227.1013999999998</v>
      </c>
      <c r="E786" s="3"/>
      <c r="F786" s="3"/>
    </row>
    <row r="787" spans="1:6" ht="14.25" x14ac:dyDescent="0.2">
      <c r="A787" s="13">
        <f ca="1">IFERROR(__xludf.DUMMYFUNCTION("""COMPUTED_VALUE"""),44984.6458333333)</f>
        <v>44984.645833333299</v>
      </c>
      <c r="B787" s="14">
        <f ca="1">IFERROR(__xludf.DUMMYFUNCTION("""COMPUTED_VALUE"""),1183.93)</f>
        <v>1183.93</v>
      </c>
      <c r="C787" s="15">
        <f t="shared" ca="1" si="6"/>
        <v>-6.6451315182278758E-3</v>
      </c>
      <c r="D787" s="14">
        <f t="shared" ca="1" si="5"/>
        <v>1225.1239999999998</v>
      </c>
      <c r="E787" s="3"/>
      <c r="F787" s="3"/>
    </row>
    <row r="788" spans="1:6" ht="14.25" x14ac:dyDescent="0.2">
      <c r="A788" s="13">
        <f ca="1">IFERROR(__xludf.DUMMYFUNCTION("""COMPUTED_VALUE"""),44985.6458333333)</f>
        <v>44985.645833333299</v>
      </c>
      <c r="B788" s="14">
        <f ca="1">IFERROR(__xludf.DUMMYFUNCTION("""COMPUTED_VALUE"""),1161.28)</f>
        <v>1161.28</v>
      </c>
      <c r="C788" s="15">
        <f t="shared" ca="1" si="6"/>
        <v>-1.9131198635054525E-2</v>
      </c>
      <c r="D788" s="14">
        <f t="shared" ca="1" si="5"/>
        <v>1222.3565999999998</v>
      </c>
      <c r="E788" s="3"/>
      <c r="F788" s="3"/>
    </row>
    <row r="789" spans="1:6" ht="14.25" x14ac:dyDescent="0.2">
      <c r="A789" s="13">
        <f ca="1">IFERROR(__xludf.DUMMYFUNCTION("""COMPUTED_VALUE"""),44986.6458333333)</f>
        <v>44986.645833333299</v>
      </c>
      <c r="B789" s="14">
        <f ca="1">IFERROR(__xludf.DUMMYFUNCTION("""COMPUTED_VALUE"""),1171.95)</f>
        <v>1171.95</v>
      </c>
      <c r="C789" s="15">
        <f t="shared" ca="1" si="6"/>
        <v>9.1881372278865836E-3</v>
      </c>
      <c r="D789" s="14">
        <f t="shared" ca="1" si="5"/>
        <v>1219.5775999999998</v>
      </c>
      <c r="E789" s="3"/>
      <c r="F789" s="3"/>
    </row>
    <row r="790" spans="1:6" ht="14.25" x14ac:dyDescent="0.2">
      <c r="A790" s="13">
        <f ca="1">IFERROR(__xludf.DUMMYFUNCTION("""COMPUTED_VALUE"""),44987.6458333333)</f>
        <v>44987.645833333299</v>
      </c>
      <c r="B790" s="14">
        <f ca="1">IFERROR(__xludf.DUMMYFUNCTION("""COMPUTED_VALUE"""),1163.03)</f>
        <v>1163.03</v>
      </c>
      <c r="C790" s="15">
        <f t="shared" ca="1" si="6"/>
        <v>-7.6112462135756731E-3</v>
      </c>
      <c r="D790" s="14">
        <f t="shared" ca="1" si="5"/>
        <v>1216.9931999999999</v>
      </c>
      <c r="E790" s="3"/>
      <c r="F790" s="3"/>
    </row>
    <row r="791" spans="1:6" ht="14.25" x14ac:dyDescent="0.2">
      <c r="A791" s="13">
        <f ca="1">IFERROR(__xludf.DUMMYFUNCTION("""COMPUTED_VALUE"""),44988.6458333333)</f>
        <v>44988.645833333299</v>
      </c>
      <c r="B791" s="14">
        <f ca="1">IFERROR(__xludf.DUMMYFUNCTION("""COMPUTED_VALUE"""),1192.7)</f>
        <v>1192.7</v>
      </c>
      <c r="C791" s="15">
        <f t="shared" ca="1" si="6"/>
        <v>2.551094984652158E-2</v>
      </c>
      <c r="D791" s="14">
        <f t="shared" ca="1" si="5"/>
        <v>1215.0691999999997</v>
      </c>
      <c r="E791" s="3"/>
      <c r="F791" s="3"/>
    </row>
    <row r="792" spans="1:6" ht="14.25" x14ac:dyDescent="0.2">
      <c r="A792" s="13">
        <f ca="1">IFERROR(__xludf.DUMMYFUNCTION("""COMPUTED_VALUE"""),44991.6458333333)</f>
        <v>44991.645833333299</v>
      </c>
      <c r="B792" s="14">
        <f ca="1">IFERROR(__xludf.DUMMYFUNCTION("""COMPUTED_VALUE"""),1204.35)</f>
        <v>1204.3499999999999</v>
      </c>
      <c r="C792" s="15">
        <f t="shared" ca="1" si="6"/>
        <v>9.7677538358345029E-3</v>
      </c>
      <c r="D792" s="14">
        <f t="shared" ca="1" si="5"/>
        <v>1214.1341999999997</v>
      </c>
      <c r="E792" s="3"/>
      <c r="F792" s="3"/>
    </row>
    <row r="793" spans="1:6" ht="14.25" x14ac:dyDescent="0.2">
      <c r="A793" s="13">
        <f ca="1">IFERROR(__xludf.DUMMYFUNCTION("""COMPUTED_VALUE"""),44993.6458333333)</f>
        <v>44993.645833333299</v>
      </c>
      <c r="B793" s="14">
        <f ca="1">IFERROR(__xludf.DUMMYFUNCTION("""COMPUTED_VALUE"""),1208.68)</f>
        <v>1208.68</v>
      </c>
      <c r="C793" s="15">
        <f t="shared" ca="1" si="6"/>
        <v>3.5953003694939589E-3</v>
      </c>
      <c r="D793" s="14">
        <f t="shared" ca="1" si="5"/>
        <v>1213.0672</v>
      </c>
      <c r="E793" s="3"/>
      <c r="F793" s="3"/>
    </row>
    <row r="794" spans="1:6" ht="14.25" x14ac:dyDescent="0.2">
      <c r="A794" s="13">
        <f ca="1">IFERROR(__xludf.DUMMYFUNCTION("""COMPUTED_VALUE"""),44994.6458333333)</f>
        <v>44994.645833333299</v>
      </c>
      <c r="B794" s="14">
        <f ca="1">IFERROR(__xludf.DUMMYFUNCTION("""COMPUTED_VALUE"""),1179.63)</f>
        <v>1179.6300000000001</v>
      </c>
      <c r="C794" s="15">
        <f t="shared" ca="1" si="6"/>
        <v>-2.4034483899791459E-2</v>
      </c>
      <c r="D794" s="14">
        <f t="shared" ca="1" si="5"/>
        <v>1211.2127999999998</v>
      </c>
      <c r="E794" s="3"/>
      <c r="F794" s="3"/>
    </row>
    <row r="795" spans="1:6" ht="14.25" x14ac:dyDescent="0.2">
      <c r="A795" s="13">
        <f ca="1">IFERROR(__xludf.DUMMYFUNCTION("""COMPUTED_VALUE"""),44995.6458333333)</f>
        <v>44995.645833333299</v>
      </c>
      <c r="B795" s="14">
        <f ca="1">IFERROR(__xludf.DUMMYFUNCTION("""COMPUTED_VALUE"""),1161.35)</f>
        <v>1161.3499999999999</v>
      </c>
      <c r="C795" s="15">
        <f t="shared" ca="1" si="6"/>
        <v>-1.5496384459534052E-2</v>
      </c>
      <c r="D795" s="14">
        <f t="shared" ca="1" si="5"/>
        <v>1208.9953999999998</v>
      </c>
      <c r="E795" s="3"/>
      <c r="F795" s="3"/>
    </row>
    <row r="796" spans="1:6" ht="14.25" x14ac:dyDescent="0.2">
      <c r="A796" s="13">
        <f ca="1">IFERROR(__xludf.DUMMYFUNCTION("""COMPUTED_VALUE"""),44998.6458333333)</f>
        <v>44998.645833333299</v>
      </c>
      <c r="B796" s="14">
        <f ca="1">IFERROR(__xludf.DUMMYFUNCTION("""COMPUTED_VALUE"""),1142.25)</f>
        <v>1142.25</v>
      </c>
      <c r="C796" s="15">
        <f t="shared" ca="1" si="6"/>
        <v>-1.6446377061178685E-2</v>
      </c>
      <c r="D796" s="14">
        <f t="shared" ca="1" si="5"/>
        <v>1206.4073999999998</v>
      </c>
      <c r="E796" s="3"/>
      <c r="F796" s="3"/>
    </row>
    <row r="797" spans="1:6" ht="14.25" x14ac:dyDescent="0.2">
      <c r="A797" s="13">
        <f ca="1">IFERROR(__xludf.DUMMYFUNCTION("""COMPUTED_VALUE"""),44999.6458333333)</f>
        <v>44999.645833333299</v>
      </c>
      <c r="B797" s="14">
        <f ca="1">IFERROR(__xludf.DUMMYFUNCTION("""COMPUTED_VALUE"""),1137.97)</f>
        <v>1137.97</v>
      </c>
      <c r="C797" s="15">
        <f t="shared" ca="1" si="6"/>
        <v>-3.7469905887502764E-3</v>
      </c>
      <c r="D797" s="14">
        <f t="shared" ca="1" si="5"/>
        <v>1203.6947999999998</v>
      </c>
      <c r="E797" s="3"/>
      <c r="F797" s="3"/>
    </row>
    <row r="798" spans="1:6" ht="14.25" x14ac:dyDescent="0.2">
      <c r="A798" s="13">
        <f ca="1">IFERROR(__xludf.DUMMYFUNCTION("""COMPUTED_VALUE"""),45000.6458333333)</f>
        <v>45000.645833333299</v>
      </c>
      <c r="B798" s="14">
        <f ca="1">IFERROR(__xludf.DUMMYFUNCTION("""COMPUTED_VALUE"""),1118.53)</f>
        <v>1118.53</v>
      </c>
      <c r="C798" s="15">
        <f t="shared" ca="1" si="6"/>
        <v>-1.7083051398543048E-2</v>
      </c>
      <c r="D798" s="14">
        <f t="shared" ca="1" si="5"/>
        <v>1200.3063999999999</v>
      </c>
      <c r="E798" s="3"/>
      <c r="F798" s="3"/>
    </row>
    <row r="799" spans="1:6" ht="14.25" x14ac:dyDescent="0.2">
      <c r="A799" s="13">
        <f ca="1">IFERROR(__xludf.DUMMYFUNCTION("""COMPUTED_VALUE"""),45001.6458333333)</f>
        <v>45001.645833333299</v>
      </c>
      <c r="B799" s="14">
        <f ca="1">IFERROR(__xludf.DUMMYFUNCTION("""COMPUTED_VALUE"""),1112.95)</f>
        <v>1112.95</v>
      </c>
      <c r="C799" s="15">
        <f t="shared" ca="1" si="6"/>
        <v>-4.9886905134416404E-3</v>
      </c>
      <c r="D799" s="14">
        <f t="shared" ca="1" si="5"/>
        <v>1196.9947999999997</v>
      </c>
      <c r="E799" s="3"/>
      <c r="F799" s="3"/>
    </row>
    <row r="800" spans="1:6" ht="14.25" x14ac:dyDescent="0.2">
      <c r="A800" s="13">
        <f ca="1">IFERROR(__xludf.DUMMYFUNCTION("""COMPUTED_VALUE"""),45002.6458333333)</f>
        <v>45002.645833333299</v>
      </c>
      <c r="B800" s="14">
        <f ca="1">IFERROR(__xludf.DUMMYFUNCTION("""COMPUTED_VALUE"""),1111.55)</f>
        <v>1111.55</v>
      </c>
      <c r="C800" s="15">
        <f t="shared" ca="1" si="6"/>
        <v>-1.2579181454693833E-3</v>
      </c>
      <c r="D800" s="14">
        <f t="shared" ca="1" si="5"/>
        <v>1194.0401999999997</v>
      </c>
      <c r="E800" s="3"/>
      <c r="F800" s="3"/>
    </row>
    <row r="801" spans="1:6" ht="14.25" x14ac:dyDescent="0.2">
      <c r="A801" s="13">
        <f ca="1">IFERROR(__xludf.DUMMYFUNCTION("""COMPUTED_VALUE"""),45005.6458333333)</f>
        <v>45005.645833333299</v>
      </c>
      <c r="B801" s="14">
        <f ca="1">IFERROR(__xludf.DUMMYFUNCTION("""COMPUTED_VALUE"""),1100.63)</f>
        <v>1100.6300000000001</v>
      </c>
      <c r="C801" s="15">
        <f t="shared" ca="1" si="6"/>
        <v>-9.824119472808146E-3</v>
      </c>
      <c r="D801" s="14">
        <f t="shared" ca="1" si="5"/>
        <v>1190.9121999999995</v>
      </c>
      <c r="E801" s="3"/>
      <c r="F801" s="3"/>
    </row>
    <row r="802" spans="1:6" ht="14.25" x14ac:dyDescent="0.2">
      <c r="A802" s="13">
        <f ca="1">IFERROR(__xludf.DUMMYFUNCTION("""COMPUTED_VALUE"""),45006.6458333333)</f>
        <v>45006.645833333299</v>
      </c>
      <c r="B802" s="14">
        <f ca="1">IFERROR(__xludf.DUMMYFUNCTION("""COMPUTED_VALUE"""),1134.85)</f>
        <v>1134.8499999999999</v>
      </c>
      <c r="C802" s="15">
        <f t="shared" ca="1" si="6"/>
        <v>3.1091284082752413E-2</v>
      </c>
      <c r="D802" s="14">
        <f t="shared" ca="1" si="5"/>
        <v>1188.2401999999997</v>
      </c>
      <c r="E802" s="3"/>
      <c r="F802" s="3"/>
    </row>
    <row r="803" spans="1:6" ht="14.25" x14ac:dyDescent="0.2">
      <c r="A803" s="13">
        <f ca="1">IFERROR(__xludf.DUMMYFUNCTION("""COMPUTED_VALUE"""),45007.6458333333)</f>
        <v>45007.645833333299</v>
      </c>
      <c r="B803" s="14">
        <f ca="1">IFERROR(__xludf.DUMMYFUNCTION("""COMPUTED_VALUE"""),1138.3)</f>
        <v>1138.3</v>
      </c>
      <c r="C803" s="15">
        <f t="shared" ca="1" si="6"/>
        <v>3.040049345728546E-3</v>
      </c>
      <c r="D803" s="14">
        <f t="shared" ca="1" si="5"/>
        <v>1185.0381999999997</v>
      </c>
      <c r="E803" s="3"/>
      <c r="F803" s="3"/>
    </row>
    <row r="804" spans="1:6" ht="14.25" x14ac:dyDescent="0.2">
      <c r="A804" s="13">
        <f ca="1">IFERROR(__xludf.DUMMYFUNCTION("""COMPUTED_VALUE"""),45008.6458333333)</f>
        <v>45008.645833333299</v>
      </c>
      <c r="B804" s="14">
        <f ca="1">IFERROR(__xludf.DUMMYFUNCTION("""COMPUTED_VALUE"""),1123.9)</f>
        <v>1123.9000000000001</v>
      </c>
      <c r="C804" s="15">
        <f t="shared" ca="1" si="6"/>
        <v>-1.2650443644030451E-2</v>
      </c>
      <c r="D804" s="14">
        <f t="shared" ca="1" si="5"/>
        <v>1181.9322</v>
      </c>
      <c r="E804" s="3"/>
      <c r="F804" s="3"/>
    </row>
    <row r="805" spans="1:6" ht="14.25" x14ac:dyDescent="0.2">
      <c r="A805" s="13">
        <f ca="1">IFERROR(__xludf.DUMMYFUNCTION("""COMPUTED_VALUE"""),45009.6458333333)</f>
        <v>45009.645833333299</v>
      </c>
      <c r="B805" s="14">
        <f ca="1">IFERROR(__xludf.DUMMYFUNCTION("""COMPUTED_VALUE"""),1101.65)</f>
        <v>1101.6500000000001</v>
      </c>
      <c r="C805" s="15">
        <f t="shared" ca="1" si="6"/>
        <v>-1.9797134976421438E-2</v>
      </c>
      <c r="D805" s="14">
        <f t="shared" ca="1" si="5"/>
        <v>1178.7035999999998</v>
      </c>
      <c r="E805" s="3"/>
      <c r="F805" s="3"/>
    </row>
    <row r="806" spans="1:6" ht="14.25" x14ac:dyDescent="0.2">
      <c r="A806" s="13">
        <f ca="1">IFERROR(__xludf.DUMMYFUNCTION("""COMPUTED_VALUE"""),45012.6458333333)</f>
        <v>45012.645833333299</v>
      </c>
      <c r="B806" s="14">
        <f ca="1">IFERROR(__xludf.DUMMYFUNCTION("""COMPUTED_VALUE"""),1118.78)</f>
        <v>1118.78</v>
      </c>
      <c r="C806" s="15">
        <f t="shared" ca="1" si="6"/>
        <v>1.5549403167975262E-2</v>
      </c>
      <c r="D806" s="14">
        <f t="shared" ca="1" si="5"/>
        <v>1176.3631999999998</v>
      </c>
      <c r="E806" s="3"/>
      <c r="F806" s="3"/>
    </row>
    <row r="807" spans="1:6" ht="14.25" x14ac:dyDescent="0.2">
      <c r="A807" s="13">
        <f ca="1">IFERROR(__xludf.DUMMYFUNCTION("""COMPUTED_VALUE"""),45013.6458333333)</f>
        <v>45013.645833333299</v>
      </c>
      <c r="B807" s="14">
        <f ca="1">IFERROR(__xludf.DUMMYFUNCTION("""COMPUTED_VALUE"""),1124)</f>
        <v>1124</v>
      </c>
      <c r="C807" s="15">
        <f t="shared" ca="1" si="6"/>
        <v>4.6657966713741228E-3</v>
      </c>
      <c r="D807" s="14">
        <f t="shared" ca="1" si="5"/>
        <v>1174.1671999999996</v>
      </c>
      <c r="E807" s="3"/>
      <c r="F807" s="3"/>
    </row>
    <row r="808" spans="1:6" ht="14.25" x14ac:dyDescent="0.2">
      <c r="A808" s="13">
        <f ca="1">IFERROR(__xludf.DUMMYFUNCTION("""COMPUTED_VALUE"""),45014.6458333333)</f>
        <v>45014.645833333299</v>
      </c>
      <c r="B808" s="14">
        <f ca="1">IFERROR(__xludf.DUMMYFUNCTION("""COMPUTED_VALUE"""),1117.35)</f>
        <v>1117.3499999999999</v>
      </c>
      <c r="C808" s="15">
        <f t="shared" ca="1" si="6"/>
        <v>-5.9163701067616037E-3</v>
      </c>
      <c r="D808" s="14">
        <f t="shared" ca="1" si="5"/>
        <v>1172.0731999999996</v>
      </c>
      <c r="E808" s="3"/>
      <c r="F808" s="3"/>
    </row>
    <row r="809" spans="1:6" ht="14.25" x14ac:dyDescent="0.2">
      <c r="A809" s="13">
        <f ca="1">IFERROR(__xludf.DUMMYFUNCTION("""COMPUTED_VALUE"""),45016.6458333333)</f>
        <v>45016.645833333299</v>
      </c>
      <c r="B809" s="14">
        <f ca="1">IFERROR(__xludf.DUMMYFUNCTION("""COMPUTED_VALUE"""),1165.53)</f>
        <v>1165.53</v>
      </c>
      <c r="C809" s="15">
        <f t="shared" ca="1" si="6"/>
        <v>4.3119881863337373E-2</v>
      </c>
      <c r="D809" s="14">
        <f t="shared" ca="1" si="5"/>
        <v>1170.5957999999998</v>
      </c>
      <c r="E809" s="3"/>
      <c r="F809" s="3"/>
    </row>
    <row r="810" spans="1:6" ht="14.25" x14ac:dyDescent="0.2">
      <c r="A810" s="13">
        <f ca="1">IFERROR(__xludf.DUMMYFUNCTION("""COMPUTED_VALUE"""),45019.6458333333)</f>
        <v>45019.645833333299</v>
      </c>
      <c r="B810" s="14">
        <f ca="1">IFERROR(__xludf.DUMMYFUNCTION("""COMPUTED_VALUE"""),1165.72)</f>
        <v>1165.72</v>
      </c>
      <c r="C810" s="15">
        <f t="shared" ca="1" si="6"/>
        <v>1.6301596698498066E-4</v>
      </c>
      <c r="D810" s="14">
        <f t="shared" ca="1" si="5"/>
        <v>1169.1631999999997</v>
      </c>
      <c r="E810" s="3"/>
      <c r="F810" s="3"/>
    </row>
    <row r="811" spans="1:6" ht="14.25" x14ac:dyDescent="0.2">
      <c r="A811" s="13">
        <f ca="1">IFERROR(__xludf.DUMMYFUNCTION("""COMPUTED_VALUE"""),45021.6458333333)</f>
        <v>45021.645833333299</v>
      </c>
      <c r="B811" s="14">
        <f ca="1">IFERROR(__xludf.DUMMYFUNCTION("""COMPUTED_VALUE"""),1162.93)</f>
        <v>1162.93</v>
      </c>
      <c r="C811" s="15">
        <f t="shared" ca="1" si="6"/>
        <v>-2.3933706207321936E-3</v>
      </c>
      <c r="D811" s="14">
        <f t="shared" ca="1" si="5"/>
        <v>1167.7011999999997</v>
      </c>
      <c r="E811" s="3"/>
      <c r="F811" s="3"/>
    </row>
    <row r="812" spans="1:6" ht="14.25" x14ac:dyDescent="0.2">
      <c r="A812" s="13">
        <f ca="1">IFERROR(__xludf.DUMMYFUNCTION("""COMPUTED_VALUE"""),45022.6458333333)</f>
        <v>45022.645833333299</v>
      </c>
      <c r="B812" s="14">
        <f ca="1">IFERROR(__xludf.DUMMYFUNCTION("""COMPUTED_VALUE"""),1170.72)</f>
        <v>1170.72</v>
      </c>
      <c r="C812" s="15">
        <f t="shared" ca="1" si="6"/>
        <v>6.698597508018489E-3</v>
      </c>
      <c r="D812" s="14">
        <f t="shared" ca="1" si="5"/>
        <v>1166.6889999999999</v>
      </c>
      <c r="E812" s="3"/>
      <c r="F812" s="3"/>
    </row>
    <row r="813" spans="1:6" ht="14.25" x14ac:dyDescent="0.2">
      <c r="A813" s="13">
        <f ca="1">IFERROR(__xludf.DUMMYFUNCTION("""COMPUTED_VALUE"""),45026.6458333333)</f>
        <v>45026.645833333299</v>
      </c>
      <c r="B813" s="14">
        <f ca="1">IFERROR(__xludf.DUMMYFUNCTION("""COMPUTED_VALUE"""),1162.43)</f>
        <v>1162.43</v>
      </c>
      <c r="C813" s="15">
        <f t="shared" ca="1" si="6"/>
        <v>-7.0811124777914181E-3</v>
      </c>
      <c r="D813" s="14">
        <f t="shared" ca="1" si="5"/>
        <v>1165.6345999999999</v>
      </c>
      <c r="E813" s="3"/>
      <c r="F813" s="3"/>
    </row>
    <row r="814" spans="1:6" ht="14.25" x14ac:dyDescent="0.2">
      <c r="A814" s="13">
        <f ca="1">IFERROR(__xludf.DUMMYFUNCTION("""COMPUTED_VALUE"""),45027.6458333333)</f>
        <v>45027.645833333299</v>
      </c>
      <c r="B814" s="14">
        <f ca="1">IFERROR(__xludf.DUMMYFUNCTION("""COMPUTED_VALUE"""),1168.18)</f>
        <v>1168.18</v>
      </c>
      <c r="C814" s="15">
        <f t="shared" ca="1" si="6"/>
        <v>4.9465344149755008E-3</v>
      </c>
      <c r="D814" s="14">
        <f t="shared" ca="1" si="5"/>
        <v>1164.8388</v>
      </c>
      <c r="E814" s="3"/>
      <c r="F814" s="3"/>
    </row>
    <row r="815" spans="1:6" ht="14.25" x14ac:dyDescent="0.2">
      <c r="A815" s="13">
        <f ca="1">IFERROR(__xludf.DUMMYFUNCTION("""COMPUTED_VALUE"""),45028.6458333333)</f>
        <v>45028.645833333299</v>
      </c>
      <c r="B815" s="14">
        <f ca="1">IFERROR(__xludf.DUMMYFUNCTION("""COMPUTED_VALUE"""),1173.33)</f>
        <v>1173.33</v>
      </c>
      <c r="C815" s="15">
        <f t="shared" ca="1" si="6"/>
        <v>4.4085671728670839E-3</v>
      </c>
      <c r="D815" s="14">
        <f t="shared" ca="1" si="5"/>
        <v>1164.4797999999998</v>
      </c>
      <c r="E815" s="3"/>
      <c r="F815" s="3"/>
    </row>
    <row r="816" spans="1:6" ht="14.25" x14ac:dyDescent="0.2">
      <c r="A816" s="13">
        <f ca="1">IFERROR(__xludf.DUMMYFUNCTION("""COMPUTED_VALUE"""),45029.6458333333)</f>
        <v>45029.645833333299</v>
      </c>
      <c r="B816" s="14">
        <f ca="1">IFERROR(__xludf.DUMMYFUNCTION("""COMPUTED_VALUE"""),1177.75)</f>
        <v>1177.75</v>
      </c>
      <c r="C816" s="15">
        <f t="shared" ca="1" si="6"/>
        <v>3.7670561564095983E-3</v>
      </c>
      <c r="D816" s="14">
        <f t="shared" ref="D816:D1070" ca="1" si="7">AVERAGE(B767:B816)</f>
        <v>1164.6612</v>
      </c>
      <c r="E816" s="3"/>
      <c r="F816" s="3"/>
    </row>
    <row r="817" spans="1:6" ht="14.25" x14ac:dyDescent="0.2">
      <c r="A817" s="13">
        <f ca="1">IFERROR(__xludf.DUMMYFUNCTION("""COMPUTED_VALUE"""),45033.6458333333)</f>
        <v>45033.645833333299</v>
      </c>
      <c r="B817" s="14">
        <f ca="1">IFERROR(__xludf.DUMMYFUNCTION("""COMPUTED_VALUE"""),1183.72)</f>
        <v>1183.72</v>
      </c>
      <c r="C817" s="15">
        <f t="shared" ca="1" si="6"/>
        <v>5.068987476119835E-3</v>
      </c>
      <c r="D817" s="14">
        <f t="shared" ca="1" si="7"/>
        <v>1164.7380000000001</v>
      </c>
      <c r="E817" s="3"/>
      <c r="F817" s="3"/>
    </row>
    <row r="818" spans="1:6" ht="14.25" x14ac:dyDescent="0.2">
      <c r="A818" s="13">
        <f ca="1">IFERROR(__xludf.DUMMYFUNCTION("""COMPUTED_VALUE"""),45034.6458333333)</f>
        <v>45034.645833333299</v>
      </c>
      <c r="B818" s="14">
        <f ca="1">IFERROR(__xludf.DUMMYFUNCTION("""COMPUTED_VALUE"""),1170.18)</f>
        <v>1170.18</v>
      </c>
      <c r="C818" s="15">
        <f t="shared" ca="1" si="6"/>
        <v>-1.1438515865238363E-2</v>
      </c>
      <c r="D818" s="14">
        <f t="shared" ca="1" si="7"/>
        <v>1164.6030000000001</v>
      </c>
      <c r="E818" s="3"/>
      <c r="F818" s="3"/>
    </row>
    <row r="819" spans="1:6" ht="14.25" x14ac:dyDescent="0.2">
      <c r="A819" s="13">
        <f ca="1">IFERROR(__xludf.DUMMYFUNCTION("""COMPUTED_VALUE"""),45035.6458333333)</f>
        <v>45035.645833333299</v>
      </c>
      <c r="B819" s="14">
        <f ca="1">IFERROR(__xludf.DUMMYFUNCTION("""COMPUTED_VALUE"""),1176)</f>
        <v>1176</v>
      </c>
      <c r="C819" s="15">
        <f t="shared" ca="1" si="6"/>
        <v>4.9735938060810891E-3</v>
      </c>
      <c r="D819" s="14">
        <f t="shared" ca="1" si="7"/>
        <v>1164.7239999999999</v>
      </c>
      <c r="E819" s="3"/>
      <c r="F819" s="3"/>
    </row>
    <row r="820" spans="1:6" ht="14.25" x14ac:dyDescent="0.2">
      <c r="A820" s="13">
        <f ca="1">IFERROR(__xludf.DUMMYFUNCTION("""COMPUTED_VALUE"""),45036.6458333333)</f>
        <v>45036.645833333299</v>
      </c>
      <c r="B820" s="14">
        <f ca="1">IFERROR(__xludf.DUMMYFUNCTION("""COMPUTED_VALUE"""),1173.03)</f>
        <v>1173.03</v>
      </c>
      <c r="C820" s="15">
        <f t="shared" ca="1" si="6"/>
        <v>-2.5255102040816491E-3</v>
      </c>
      <c r="D820" s="14">
        <f t="shared" ca="1" si="7"/>
        <v>1164.9152000000001</v>
      </c>
      <c r="E820" s="3"/>
      <c r="F820" s="3"/>
    </row>
    <row r="821" spans="1:6" ht="14.25" x14ac:dyDescent="0.2">
      <c r="A821" s="13">
        <f ca="1">IFERROR(__xludf.DUMMYFUNCTION("""COMPUTED_VALUE"""),45037.6458333333)</f>
        <v>45037.645833333299</v>
      </c>
      <c r="B821" s="14">
        <f ca="1">IFERROR(__xludf.DUMMYFUNCTION("""COMPUTED_VALUE"""),1174.5)</f>
        <v>1174.5</v>
      </c>
      <c r="C821" s="15">
        <f t="shared" ca="1" si="6"/>
        <v>1.2531648806937135E-3</v>
      </c>
      <c r="D821" s="14">
        <f t="shared" ca="1" si="7"/>
        <v>1165.1152</v>
      </c>
      <c r="E821" s="3"/>
      <c r="F821" s="3"/>
    </row>
    <row r="822" spans="1:6" ht="14.25" x14ac:dyDescent="0.2">
      <c r="A822" s="13">
        <f ca="1">IFERROR(__xludf.DUMMYFUNCTION("""COMPUTED_VALUE"""),45040.6458333333)</f>
        <v>45040.645833333299</v>
      </c>
      <c r="B822" s="14">
        <f ca="1">IFERROR(__xludf.DUMMYFUNCTION("""COMPUTED_VALUE"""),1179)</f>
        <v>1179</v>
      </c>
      <c r="C822" s="15">
        <f t="shared" ca="1" si="6"/>
        <v>3.8314176245211051E-3</v>
      </c>
      <c r="D822" s="14">
        <f t="shared" ca="1" si="7"/>
        <v>1165.5808</v>
      </c>
      <c r="E822" s="3"/>
      <c r="F822" s="3"/>
    </row>
    <row r="823" spans="1:6" ht="14.25" x14ac:dyDescent="0.2">
      <c r="A823" s="13">
        <f ca="1">IFERROR(__xludf.DUMMYFUNCTION("""COMPUTED_VALUE"""),45041.6458333333)</f>
        <v>45041.645833333299</v>
      </c>
      <c r="B823" s="14">
        <f ca="1">IFERROR(__xludf.DUMMYFUNCTION("""COMPUTED_VALUE"""),1188.03)</f>
        <v>1188.03</v>
      </c>
      <c r="C823" s="15">
        <f t="shared" ca="1" si="6"/>
        <v>7.659033078880384E-3</v>
      </c>
      <c r="D823" s="14">
        <f t="shared" ca="1" si="7"/>
        <v>1166.2824000000001</v>
      </c>
      <c r="E823" s="3"/>
      <c r="F823" s="3"/>
    </row>
    <row r="824" spans="1:6" ht="14.25" x14ac:dyDescent="0.2">
      <c r="A824" s="13">
        <f ca="1">IFERROR(__xludf.DUMMYFUNCTION("""COMPUTED_VALUE"""),45042.6458333333)</f>
        <v>45042.645833333299</v>
      </c>
      <c r="B824" s="14">
        <f ca="1">IFERROR(__xludf.DUMMYFUNCTION("""COMPUTED_VALUE"""),1181.05)</f>
        <v>1181.05</v>
      </c>
      <c r="C824" s="15">
        <f t="shared" ca="1" si="6"/>
        <v>-5.8752725099534553E-3</v>
      </c>
      <c r="D824" s="14">
        <f t="shared" ca="1" si="7"/>
        <v>1166.3840000000002</v>
      </c>
      <c r="E824" s="3"/>
      <c r="F824" s="3"/>
    </row>
    <row r="825" spans="1:6" ht="14.25" x14ac:dyDescent="0.2">
      <c r="A825" s="13">
        <f ca="1">IFERROR(__xludf.DUMMYFUNCTION("""COMPUTED_VALUE"""),45043.6458333333)</f>
        <v>45043.645833333299</v>
      </c>
      <c r="B825" s="14">
        <f ca="1">IFERROR(__xludf.DUMMYFUNCTION("""COMPUTED_VALUE"""),1188.53)</f>
        <v>1188.53</v>
      </c>
      <c r="C825" s="15">
        <f t="shared" ca="1" si="6"/>
        <v>6.33334744506997E-3</v>
      </c>
      <c r="D825" s="14">
        <f t="shared" ca="1" si="7"/>
        <v>1166.5940000000001</v>
      </c>
      <c r="E825" s="3"/>
      <c r="F825" s="3"/>
    </row>
    <row r="826" spans="1:6" ht="14.25" x14ac:dyDescent="0.2">
      <c r="A826" s="13">
        <f ca="1">IFERROR(__xludf.DUMMYFUNCTION("""COMPUTED_VALUE"""),45044.6458333333)</f>
        <v>45044.645833333299</v>
      </c>
      <c r="B826" s="14">
        <f ca="1">IFERROR(__xludf.DUMMYFUNCTION("""COMPUTED_VALUE"""),1210.25)</f>
        <v>1210.25</v>
      </c>
      <c r="C826" s="15">
        <f t="shared" ca="1" si="6"/>
        <v>1.8274675439408306E-2</v>
      </c>
      <c r="D826" s="14">
        <f t="shared" ca="1" si="7"/>
        <v>1167.4324000000001</v>
      </c>
      <c r="E826" s="3"/>
      <c r="F826" s="3"/>
    </row>
    <row r="827" spans="1:6" ht="14.25" x14ac:dyDescent="0.2">
      <c r="A827" s="13">
        <f ca="1">IFERROR(__xludf.DUMMYFUNCTION("""COMPUTED_VALUE"""),45048.6458333333)</f>
        <v>45048.645833333299</v>
      </c>
      <c r="B827" s="14">
        <f ca="1">IFERROR(__xludf.DUMMYFUNCTION("""COMPUTED_VALUE"""),1220.53)</f>
        <v>1220.53</v>
      </c>
      <c r="C827" s="15">
        <f t="shared" ca="1" si="6"/>
        <v>8.4941127866142718E-3</v>
      </c>
      <c r="D827" s="14">
        <f t="shared" ca="1" si="7"/>
        <v>1168.6094000000003</v>
      </c>
      <c r="E827" s="3"/>
      <c r="F827" s="3"/>
    </row>
    <row r="828" spans="1:6" ht="14.25" x14ac:dyDescent="0.2">
      <c r="A828" s="13">
        <f ca="1">IFERROR(__xludf.DUMMYFUNCTION("""COMPUTED_VALUE"""),45049.6458333333)</f>
        <v>45049.645833333299</v>
      </c>
      <c r="B828" s="14">
        <f ca="1">IFERROR(__xludf.DUMMYFUNCTION("""COMPUTED_VALUE"""),1210.05)</f>
        <v>1210.05</v>
      </c>
      <c r="C828" s="15">
        <f t="shared" ca="1" si="6"/>
        <v>-8.5864337623818843E-3</v>
      </c>
      <c r="D828" s="14">
        <f t="shared" ca="1" si="7"/>
        <v>1169.0294000000001</v>
      </c>
      <c r="E828" s="3"/>
      <c r="F828" s="3"/>
    </row>
    <row r="829" spans="1:6" ht="14.25" x14ac:dyDescent="0.2">
      <c r="A829" s="13">
        <f ca="1">IFERROR(__xludf.DUMMYFUNCTION("""COMPUTED_VALUE"""),45050.6458333333)</f>
        <v>45050.645833333299</v>
      </c>
      <c r="B829" s="14">
        <f ca="1">IFERROR(__xludf.DUMMYFUNCTION("""COMPUTED_VALUE"""),1224)</f>
        <v>1224</v>
      </c>
      <c r="C829" s="15">
        <f t="shared" ca="1" si="6"/>
        <v>1.1528449237634852E-2</v>
      </c>
      <c r="D829" s="14">
        <f t="shared" ca="1" si="7"/>
        <v>1169.19</v>
      </c>
      <c r="E829" s="3"/>
      <c r="F829" s="3"/>
    </row>
    <row r="830" spans="1:6" ht="14.25" x14ac:dyDescent="0.2">
      <c r="A830" s="13">
        <f ca="1">IFERROR(__xludf.DUMMYFUNCTION("""COMPUTED_VALUE"""),45051.6458333333)</f>
        <v>45051.645833333299</v>
      </c>
      <c r="B830" s="14">
        <f ca="1">IFERROR(__xludf.DUMMYFUNCTION("""COMPUTED_VALUE"""),1220.88)</f>
        <v>1220.8800000000001</v>
      </c>
      <c r="C830" s="15">
        <f t="shared" ca="1" si="6"/>
        <v>-2.5490196078430394E-3</v>
      </c>
      <c r="D830" s="14">
        <f t="shared" ca="1" si="7"/>
        <v>1169.307</v>
      </c>
      <c r="E830" s="3"/>
      <c r="F830" s="3"/>
    </row>
    <row r="831" spans="1:6" ht="14.25" x14ac:dyDescent="0.2">
      <c r="A831" s="13">
        <f ca="1">IFERROR(__xludf.DUMMYFUNCTION("""COMPUTED_VALUE"""),45054.6458333333)</f>
        <v>45054.645833333299</v>
      </c>
      <c r="B831" s="14">
        <f ca="1">IFERROR(__xludf.DUMMYFUNCTION("""COMPUTED_VALUE"""),1235.95)</f>
        <v>1235.95</v>
      </c>
      <c r="C831" s="15">
        <f t="shared" ca="1" si="6"/>
        <v>1.2343555468186773E-2</v>
      </c>
      <c r="D831" s="14">
        <f t="shared" ca="1" si="7"/>
        <v>1169.624</v>
      </c>
      <c r="E831" s="3"/>
      <c r="F831" s="3"/>
    </row>
    <row r="832" spans="1:6" ht="14.25" x14ac:dyDescent="0.2">
      <c r="A832" s="13">
        <f ca="1">IFERROR(__xludf.DUMMYFUNCTION("""COMPUTED_VALUE"""),45055.6458333333)</f>
        <v>45055.645833333299</v>
      </c>
      <c r="B832" s="14">
        <f ca="1">IFERROR(__xludf.DUMMYFUNCTION("""COMPUTED_VALUE"""),1239.78)</f>
        <v>1239.78</v>
      </c>
      <c r="C832" s="15">
        <f t="shared" ca="1" si="6"/>
        <v>3.0988308588535407E-3</v>
      </c>
      <c r="D832" s="14">
        <f t="shared" ca="1" si="7"/>
        <v>1170.2755999999999</v>
      </c>
      <c r="E832" s="3"/>
      <c r="F832" s="3"/>
    </row>
    <row r="833" spans="1:6" ht="14.25" x14ac:dyDescent="0.2">
      <c r="A833" s="13">
        <f ca="1">IFERROR(__xludf.DUMMYFUNCTION("""COMPUTED_VALUE"""),45056.6458333333)</f>
        <v>45056.645833333299</v>
      </c>
      <c r="B833" s="14">
        <f ca="1">IFERROR(__xludf.DUMMYFUNCTION("""COMPUTED_VALUE"""),1248.3)</f>
        <v>1248.3</v>
      </c>
      <c r="C833" s="15">
        <f t="shared" ca="1" si="6"/>
        <v>6.8721870009194053E-3</v>
      </c>
      <c r="D833" s="14">
        <f t="shared" ca="1" si="7"/>
        <v>1170.9005999999999</v>
      </c>
      <c r="E833" s="3"/>
      <c r="F833" s="3"/>
    </row>
    <row r="834" spans="1:6" ht="14.25" x14ac:dyDescent="0.2">
      <c r="A834" s="13">
        <f ca="1">IFERROR(__xludf.DUMMYFUNCTION("""COMPUTED_VALUE"""),45057.6458333333)</f>
        <v>45057.645833333299</v>
      </c>
      <c r="B834" s="14">
        <f ca="1">IFERROR(__xludf.DUMMYFUNCTION("""COMPUTED_VALUE"""),1240.15)</f>
        <v>1240.1500000000001</v>
      </c>
      <c r="C834" s="15">
        <f t="shared" ca="1" si="6"/>
        <v>-6.5288792758150249E-3</v>
      </c>
      <c r="D834" s="14">
        <f t="shared" ca="1" si="7"/>
        <v>1171.9146000000001</v>
      </c>
      <c r="E834" s="3"/>
      <c r="F834" s="3"/>
    </row>
    <row r="835" spans="1:6" ht="14.25" x14ac:dyDescent="0.2">
      <c r="A835" s="13">
        <f ca="1">IFERROR(__xludf.DUMMYFUNCTION("""COMPUTED_VALUE"""),45058.6458333333)</f>
        <v>45058.645833333299</v>
      </c>
      <c r="B835" s="14">
        <f ca="1">IFERROR(__xludf.DUMMYFUNCTION("""COMPUTED_VALUE"""),1242.18)</f>
        <v>1242.18</v>
      </c>
      <c r="C835" s="15">
        <f t="shared" ca="1" si="6"/>
        <v>1.6368987622463749E-3</v>
      </c>
      <c r="D835" s="14">
        <f t="shared" ca="1" si="7"/>
        <v>1173.0832</v>
      </c>
      <c r="E835" s="3"/>
      <c r="F835" s="3"/>
    </row>
    <row r="836" spans="1:6" ht="14.25" x14ac:dyDescent="0.2">
      <c r="A836" s="13">
        <f ca="1">IFERROR(__xludf.DUMMYFUNCTION("""COMPUTED_VALUE"""),45061.6458333333)</f>
        <v>45061.645833333299</v>
      </c>
      <c r="B836" s="14">
        <f ca="1">IFERROR(__xludf.DUMMYFUNCTION("""COMPUTED_VALUE"""),1244.63)</f>
        <v>1244.6300000000001</v>
      </c>
      <c r="C836" s="15">
        <f t="shared" ca="1" si="6"/>
        <v>1.9723389524868296E-3</v>
      </c>
      <c r="D836" s="14">
        <f t="shared" ca="1" si="7"/>
        <v>1174.1387999999999</v>
      </c>
      <c r="E836" s="3"/>
      <c r="F836" s="3"/>
    </row>
    <row r="837" spans="1:6" ht="14.25" x14ac:dyDescent="0.2">
      <c r="A837" s="13">
        <f ca="1">IFERROR(__xludf.DUMMYFUNCTION("""COMPUTED_VALUE"""),45062.6458333333)</f>
        <v>45062.645833333299</v>
      </c>
      <c r="B837" s="14">
        <f ca="1">IFERROR(__xludf.DUMMYFUNCTION("""COMPUTED_VALUE"""),1226.9)</f>
        <v>1226.9000000000001</v>
      </c>
      <c r="C837" s="15">
        <f t="shared" ca="1" si="6"/>
        <v>-1.4245197367892426E-2</v>
      </c>
      <c r="D837" s="14">
        <f t="shared" ca="1" si="7"/>
        <v>1174.9982</v>
      </c>
      <c r="E837" s="3"/>
      <c r="F837" s="3"/>
    </row>
    <row r="838" spans="1:6" ht="14.25" x14ac:dyDescent="0.2">
      <c r="A838" s="13">
        <f ca="1">IFERROR(__xludf.DUMMYFUNCTION("""COMPUTED_VALUE"""),45063.6458333333)</f>
        <v>45063.645833333299</v>
      </c>
      <c r="B838" s="14">
        <f ca="1">IFERROR(__xludf.DUMMYFUNCTION("""COMPUTED_VALUE"""),1219.65)</f>
        <v>1219.6500000000001</v>
      </c>
      <c r="C838" s="15">
        <f t="shared" ca="1" si="6"/>
        <v>-5.9092020539571743E-3</v>
      </c>
      <c r="D838" s="14">
        <f t="shared" ca="1" si="7"/>
        <v>1176.1656</v>
      </c>
      <c r="E838" s="3"/>
      <c r="F838" s="3"/>
    </row>
    <row r="839" spans="1:6" ht="14.25" x14ac:dyDescent="0.2">
      <c r="A839" s="13">
        <f ca="1">IFERROR(__xludf.DUMMYFUNCTION("""COMPUTED_VALUE"""),45064.6458333333)</f>
        <v>45064.645833333299</v>
      </c>
      <c r="B839" s="14">
        <f ca="1">IFERROR(__xludf.DUMMYFUNCTION("""COMPUTED_VALUE"""),1217.03)</f>
        <v>1217.03</v>
      </c>
      <c r="C839" s="15">
        <f t="shared" ca="1" si="6"/>
        <v>-2.1481572582299213E-3</v>
      </c>
      <c r="D839" s="14">
        <f t="shared" ca="1" si="7"/>
        <v>1177.0672</v>
      </c>
      <c r="E839" s="3"/>
      <c r="F839" s="3"/>
    </row>
    <row r="840" spans="1:6" ht="14.25" x14ac:dyDescent="0.2">
      <c r="A840" s="13">
        <f ca="1">IFERROR(__xludf.DUMMYFUNCTION("""COMPUTED_VALUE"""),45065.6458333333)</f>
        <v>45065.645833333299</v>
      </c>
      <c r="B840" s="14">
        <f ca="1">IFERROR(__xludf.DUMMYFUNCTION("""COMPUTED_VALUE"""),1220.97)</f>
        <v>1220.97</v>
      </c>
      <c r="C840" s="15">
        <f t="shared" ca="1" si="6"/>
        <v>3.2373893823489652E-3</v>
      </c>
      <c r="D840" s="14">
        <f t="shared" ca="1" si="7"/>
        <v>1178.2260000000001</v>
      </c>
      <c r="E840" s="3"/>
      <c r="F840" s="3"/>
    </row>
    <row r="841" spans="1:6" ht="14.25" x14ac:dyDescent="0.2">
      <c r="A841" s="13">
        <f ca="1">IFERROR(__xludf.DUMMYFUNCTION("""COMPUTED_VALUE"""),45068.6458333333)</f>
        <v>45068.645833333299</v>
      </c>
      <c r="B841" s="14">
        <f ca="1">IFERROR(__xludf.DUMMYFUNCTION("""COMPUTED_VALUE"""),1227.5)</f>
        <v>1227.5</v>
      </c>
      <c r="C841" s="15">
        <f t="shared" ca="1" si="6"/>
        <v>5.3482067536467781E-3</v>
      </c>
      <c r="D841" s="14">
        <f t="shared" ca="1" si="7"/>
        <v>1178.922</v>
      </c>
      <c r="E841" s="3"/>
      <c r="F841" s="3"/>
    </row>
    <row r="842" spans="1:6" ht="14.25" x14ac:dyDescent="0.2">
      <c r="A842" s="13">
        <f ca="1">IFERROR(__xludf.DUMMYFUNCTION("""COMPUTED_VALUE"""),45069.6458333333)</f>
        <v>45069.645833333299</v>
      </c>
      <c r="B842" s="14">
        <f ca="1">IFERROR(__xludf.DUMMYFUNCTION("""COMPUTED_VALUE"""),1227.28)</f>
        <v>1227.28</v>
      </c>
      <c r="C842" s="15">
        <f t="shared" ca="1" si="6"/>
        <v>-1.7922606924647422E-4</v>
      </c>
      <c r="D842" s="14">
        <f t="shared" ca="1" si="7"/>
        <v>1179.3806</v>
      </c>
      <c r="E842" s="3"/>
      <c r="F842" s="3"/>
    </row>
    <row r="843" spans="1:6" ht="14.25" x14ac:dyDescent="0.2">
      <c r="A843" s="13">
        <f ca="1">IFERROR(__xludf.DUMMYFUNCTION("""COMPUTED_VALUE"""),45070.6458333333)</f>
        <v>45070.645833333299</v>
      </c>
      <c r="B843" s="14">
        <f ca="1">IFERROR(__xludf.DUMMYFUNCTION("""COMPUTED_VALUE"""),1220.13)</f>
        <v>1220.1300000000001</v>
      </c>
      <c r="C843" s="15">
        <f t="shared" ca="1" si="6"/>
        <v>-5.8258914021248609E-3</v>
      </c>
      <c r="D843" s="14">
        <f t="shared" ca="1" si="7"/>
        <v>1179.6096</v>
      </c>
      <c r="E843" s="3"/>
      <c r="F843" s="3"/>
    </row>
    <row r="844" spans="1:6" ht="14.25" x14ac:dyDescent="0.2">
      <c r="A844" s="13">
        <f ca="1">IFERROR(__xludf.DUMMYFUNCTION("""COMPUTED_VALUE"""),45071.6458333333)</f>
        <v>45071.645833333299</v>
      </c>
      <c r="B844" s="14">
        <f ca="1">IFERROR(__xludf.DUMMYFUNCTION("""COMPUTED_VALUE"""),1219.97)</f>
        <v>1219.97</v>
      </c>
      <c r="C844" s="15">
        <f t="shared" ca="1" si="6"/>
        <v>-1.3113356773464258E-4</v>
      </c>
      <c r="D844" s="14">
        <f t="shared" ca="1" si="7"/>
        <v>1180.4164000000001</v>
      </c>
      <c r="E844" s="3"/>
      <c r="F844" s="3"/>
    </row>
    <row r="845" spans="1:6" ht="14.25" x14ac:dyDescent="0.2">
      <c r="A845" s="13">
        <f ca="1">IFERROR(__xludf.DUMMYFUNCTION("""COMPUTED_VALUE"""),45072.6458333333)</f>
        <v>45072.645833333299</v>
      </c>
      <c r="B845" s="14">
        <f ca="1">IFERROR(__xludf.DUMMYFUNCTION("""COMPUTED_VALUE"""),1253.25)</f>
        <v>1253.25</v>
      </c>
      <c r="C845" s="15">
        <f t="shared" ca="1" si="6"/>
        <v>2.7279359328508113E-2</v>
      </c>
      <c r="D845" s="14">
        <f t="shared" ca="1" si="7"/>
        <v>1182.2544</v>
      </c>
      <c r="E845" s="3"/>
      <c r="F845" s="3"/>
    </row>
    <row r="846" spans="1:6" ht="14.25" x14ac:dyDescent="0.2">
      <c r="A846" s="13">
        <f ca="1">IFERROR(__xludf.DUMMYFUNCTION("""COMPUTED_VALUE"""),45075.6458333333)</f>
        <v>45075.645833333299</v>
      </c>
      <c r="B846" s="14">
        <f ca="1">IFERROR(__xludf.DUMMYFUNCTION("""COMPUTED_VALUE"""),1260.3)</f>
        <v>1260.3</v>
      </c>
      <c r="C846" s="15">
        <f t="shared" ca="1" si="6"/>
        <v>5.6253740275284958E-3</v>
      </c>
      <c r="D846" s="14">
        <f t="shared" ca="1" si="7"/>
        <v>1184.6154000000001</v>
      </c>
      <c r="E846" s="3"/>
      <c r="F846" s="3"/>
    </row>
    <row r="847" spans="1:6" ht="14.25" x14ac:dyDescent="0.2">
      <c r="A847" s="13">
        <f ca="1">IFERROR(__xludf.DUMMYFUNCTION("""COMPUTED_VALUE"""),45076.6458333333)</f>
        <v>45076.645833333299</v>
      </c>
      <c r="B847" s="14">
        <f ca="1">IFERROR(__xludf.DUMMYFUNCTION("""COMPUTED_VALUE"""),1259.97)</f>
        <v>1259.97</v>
      </c>
      <c r="C847" s="15">
        <f t="shared" ca="1" si="6"/>
        <v>-2.6184241847171386E-4</v>
      </c>
      <c r="D847" s="14">
        <f t="shared" ca="1" si="7"/>
        <v>1187.0554</v>
      </c>
      <c r="E847" s="3"/>
      <c r="F847" s="3"/>
    </row>
    <row r="848" spans="1:6" ht="14.25" x14ac:dyDescent="0.2">
      <c r="A848" s="13">
        <f ca="1">IFERROR(__xludf.DUMMYFUNCTION("""COMPUTED_VALUE"""),45077.6458333333)</f>
        <v>45077.645833333299</v>
      </c>
      <c r="B848" s="14">
        <f ca="1">IFERROR(__xludf.DUMMYFUNCTION("""COMPUTED_VALUE"""),1234.95)</f>
        <v>1234.95</v>
      </c>
      <c r="C848" s="15">
        <f t="shared" ca="1" si="6"/>
        <v>-1.9857615657515648E-2</v>
      </c>
      <c r="D848" s="14">
        <f t="shared" ca="1" si="7"/>
        <v>1189.3838000000001</v>
      </c>
      <c r="E848" s="3"/>
      <c r="F848" s="3"/>
    </row>
    <row r="849" spans="1:6" ht="14.25" x14ac:dyDescent="0.2">
      <c r="A849" s="13">
        <f ca="1">IFERROR(__xludf.DUMMYFUNCTION("""COMPUTED_VALUE"""),45078.6458333333)</f>
        <v>45078.645833333299</v>
      </c>
      <c r="B849" s="14">
        <f ca="1">IFERROR(__xludf.DUMMYFUNCTION("""COMPUTED_VALUE"""),1231.63)</f>
        <v>1231.6300000000001</v>
      </c>
      <c r="C849" s="15">
        <f t="shared" ca="1" si="6"/>
        <v>-2.6883679501193969E-3</v>
      </c>
      <c r="D849" s="14">
        <f t="shared" ca="1" si="7"/>
        <v>1191.7573999999997</v>
      </c>
      <c r="E849" s="3"/>
      <c r="F849" s="3"/>
    </row>
    <row r="850" spans="1:6" ht="14.25" x14ac:dyDescent="0.2">
      <c r="A850" s="13">
        <f ca="1">IFERROR(__xludf.DUMMYFUNCTION("""COMPUTED_VALUE"""),45079.6458333333)</f>
        <v>45079.645833333299</v>
      </c>
      <c r="B850" s="14">
        <f ca="1">IFERROR(__xludf.DUMMYFUNCTION("""COMPUTED_VALUE"""),1227.6)</f>
        <v>1227.5999999999999</v>
      </c>
      <c r="C850" s="15">
        <f t="shared" ca="1" si="6"/>
        <v>-3.2720865844451108E-3</v>
      </c>
      <c r="D850" s="14">
        <f t="shared" ca="1" si="7"/>
        <v>1194.0783999999999</v>
      </c>
      <c r="E850" s="3"/>
      <c r="F850" s="3"/>
    </row>
    <row r="851" spans="1:6" ht="14.25" x14ac:dyDescent="0.2">
      <c r="A851" s="13">
        <f ca="1">IFERROR(__xludf.DUMMYFUNCTION("""COMPUTED_VALUE"""),45082.6458333333)</f>
        <v>45082.645833333299</v>
      </c>
      <c r="B851" s="14">
        <f ca="1">IFERROR(__xludf.DUMMYFUNCTION("""COMPUTED_VALUE"""),1238.63)</f>
        <v>1238.6300000000001</v>
      </c>
      <c r="C851" s="15">
        <f t="shared" ca="1" si="6"/>
        <v>8.9850114043663609E-3</v>
      </c>
      <c r="D851" s="14">
        <f t="shared" ca="1" si="7"/>
        <v>1196.8383999999996</v>
      </c>
      <c r="E851" s="3"/>
      <c r="F851" s="3"/>
    </row>
    <row r="852" spans="1:6" ht="14.25" x14ac:dyDescent="0.2">
      <c r="A852" s="13">
        <f ca="1">IFERROR(__xludf.DUMMYFUNCTION("""COMPUTED_VALUE"""),45083.6458333333)</f>
        <v>45083.645833333299</v>
      </c>
      <c r="B852" s="14">
        <f ca="1">IFERROR(__xludf.DUMMYFUNCTION("""COMPUTED_VALUE"""),1239.68)</f>
        <v>1239.68</v>
      </c>
      <c r="C852" s="15">
        <f t="shared" ca="1" si="6"/>
        <v>8.4771077722956001E-4</v>
      </c>
      <c r="D852" s="14">
        <f t="shared" ca="1" si="7"/>
        <v>1198.9349999999997</v>
      </c>
      <c r="E852" s="3"/>
      <c r="F852" s="3"/>
    </row>
    <row r="853" spans="1:6" ht="14.25" x14ac:dyDescent="0.2">
      <c r="A853" s="13">
        <f ca="1">IFERROR(__xludf.DUMMYFUNCTION("""COMPUTED_VALUE"""),45084.6458333333)</f>
        <v>45084.645833333299</v>
      </c>
      <c r="B853" s="14">
        <f ca="1">IFERROR(__xludf.DUMMYFUNCTION("""COMPUTED_VALUE"""),1249.08)</f>
        <v>1249.08</v>
      </c>
      <c r="C853" s="15">
        <f t="shared" ca="1" si="6"/>
        <v>7.5826019617963869E-3</v>
      </c>
      <c r="D853" s="14">
        <f t="shared" ca="1" si="7"/>
        <v>1201.1505999999999</v>
      </c>
      <c r="E853" s="3"/>
      <c r="F853" s="3"/>
    </row>
    <row r="854" spans="1:6" ht="14.25" x14ac:dyDescent="0.2">
      <c r="A854" s="13">
        <f ca="1">IFERROR(__xludf.DUMMYFUNCTION("""COMPUTED_VALUE"""),45085.6458333333)</f>
        <v>45085.645833333299</v>
      </c>
      <c r="B854" s="14">
        <f ca="1">IFERROR(__xludf.DUMMYFUNCTION("""COMPUTED_VALUE"""),1249.83)</f>
        <v>1249.83</v>
      </c>
      <c r="C854" s="15">
        <f t="shared" ca="1" si="6"/>
        <v>6.0044192525698925E-4</v>
      </c>
      <c r="D854" s="14">
        <f t="shared" ca="1" si="7"/>
        <v>1203.6692</v>
      </c>
      <c r="E854" s="3"/>
      <c r="F854" s="3"/>
    </row>
    <row r="855" spans="1:6" ht="14.25" x14ac:dyDescent="0.2">
      <c r="A855" s="13">
        <f ca="1">IFERROR(__xludf.DUMMYFUNCTION("""COMPUTED_VALUE"""),45086.6458333333)</f>
        <v>45086.645833333299</v>
      </c>
      <c r="B855" s="14">
        <f ca="1">IFERROR(__xludf.DUMMYFUNCTION("""COMPUTED_VALUE"""),1240.97)</f>
        <v>1240.97</v>
      </c>
      <c r="C855" s="15">
        <f t="shared" ca="1" si="6"/>
        <v>-7.0889640991174119E-3</v>
      </c>
      <c r="D855" s="14">
        <f t="shared" ca="1" si="7"/>
        <v>1206.4556</v>
      </c>
      <c r="E855" s="3"/>
      <c r="F855" s="3"/>
    </row>
    <row r="856" spans="1:6" ht="14.25" x14ac:dyDescent="0.2">
      <c r="A856" s="13">
        <f ca="1">IFERROR(__xludf.DUMMYFUNCTION("""COMPUTED_VALUE"""),45089.6458333333)</f>
        <v>45089.645833333299</v>
      </c>
      <c r="B856" s="14">
        <f ca="1">IFERROR(__xludf.DUMMYFUNCTION("""COMPUTED_VALUE"""),1242.08)</f>
        <v>1242.08</v>
      </c>
      <c r="C856" s="15">
        <f t="shared" ca="1" si="6"/>
        <v>8.9446159052997132E-4</v>
      </c>
      <c r="D856" s="14">
        <f t="shared" ca="1" si="7"/>
        <v>1208.9215999999999</v>
      </c>
      <c r="E856" s="3"/>
      <c r="F856" s="3"/>
    </row>
    <row r="857" spans="1:6" ht="14.25" x14ac:dyDescent="0.2">
      <c r="A857" s="13">
        <f ca="1">IFERROR(__xludf.DUMMYFUNCTION("""COMPUTED_VALUE"""),45090.6458333333)</f>
        <v>45090.645833333299</v>
      </c>
      <c r="B857" s="14">
        <f ca="1">IFERROR(__xludf.DUMMYFUNCTION("""COMPUTED_VALUE"""),1260.43)</f>
        <v>1260.43</v>
      </c>
      <c r="C857" s="15">
        <f t="shared" ca="1" si="6"/>
        <v>1.4773605564859071E-2</v>
      </c>
      <c r="D857" s="14">
        <f t="shared" ca="1" si="7"/>
        <v>1211.6501999999998</v>
      </c>
      <c r="E857" s="3"/>
      <c r="F857" s="3"/>
    </row>
    <row r="858" spans="1:6" ht="14.25" x14ac:dyDescent="0.2">
      <c r="A858" s="13">
        <f ca="1">IFERROR(__xludf.DUMMYFUNCTION("""COMPUTED_VALUE"""),45091.6458333333)</f>
        <v>45091.645833333299</v>
      </c>
      <c r="B858" s="14">
        <f ca="1">IFERROR(__xludf.DUMMYFUNCTION("""COMPUTED_VALUE"""),1275.93)</f>
        <v>1275.93</v>
      </c>
      <c r="C858" s="15">
        <f t="shared" ca="1" si="6"/>
        <v>1.2297390573058342E-2</v>
      </c>
      <c r="D858" s="14">
        <f t="shared" ca="1" si="7"/>
        <v>1214.8217999999999</v>
      </c>
      <c r="E858" s="3"/>
      <c r="F858" s="3"/>
    </row>
    <row r="859" spans="1:6" ht="14.25" x14ac:dyDescent="0.2">
      <c r="A859" s="13">
        <f ca="1">IFERROR(__xludf.DUMMYFUNCTION("""COMPUTED_VALUE"""),45092.6458333333)</f>
        <v>45092.645833333299</v>
      </c>
      <c r="B859" s="14">
        <f ca="1">IFERROR(__xludf.DUMMYFUNCTION("""COMPUTED_VALUE"""),1276.28)</f>
        <v>1276.28</v>
      </c>
      <c r="C859" s="15">
        <f t="shared" ca="1" si="6"/>
        <v>2.7430971918507296E-4</v>
      </c>
      <c r="D859" s="14">
        <f t="shared" ca="1" si="7"/>
        <v>1217.0367999999999</v>
      </c>
      <c r="E859" s="3"/>
      <c r="F859" s="3"/>
    </row>
    <row r="860" spans="1:6" ht="14.25" x14ac:dyDescent="0.2">
      <c r="A860" s="13">
        <f ca="1">IFERROR(__xludf.DUMMYFUNCTION("""COMPUTED_VALUE"""),45093.6458333333)</f>
        <v>45093.645833333299</v>
      </c>
      <c r="B860" s="14">
        <f ca="1">IFERROR(__xludf.DUMMYFUNCTION("""COMPUTED_VALUE"""),1288.7)</f>
        <v>1288.7</v>
      </c>
      <c r="C860" s="15">
        <f t="shared" ca="1" si="6"/>
        <v>9.731406901307027E-3</v>
      </c>
      <c r="D860" s="14">
        <f t="shared" ca="1" si="7"/>
        <v>1219.4964</v>
      </c>
      <c r="E860" s="3"/>
      <c r="F860" s="3"/>
    </row>
    <row r="861" spans="1:6" ht="14.25" x14ac:dyDescent="0.2">
      <c r="A861" s="13">
        <f ca="1">IFERROR(__xludf.DUMMYFUNCTION("""COMPUTED_VALUE"""),45096.6458333333)</f>
        <v>45096.645833333299</v>
      </c>
      <c r="B861" s="14">
        <f ca="1">IFERROR(__xludf.DUMMYFUNCTION("""COMPUTED_VALUE"""),1275.9)</f>
        <v>1275.9000000000001</v>
      </c>
      <c r="C861" s="15">
        <f t="shared" ca="1" si="6"/>
        <v>-9.9324901063087001E-3</v>
      </c>
      <c r="D861" s="14">
        <f t="shared" ca="1" si="7"/>
        <v>1221.7557999999999</v>
      </c>
      <c r="E861" s="3"/>
      <c r="F861" s="3"/>
    </row>
    <row r="862" spans="1:6" ht="14.25" x14ac:dyDescent="0.2">
      <c r="A862" s="13">
        <f ca="1">IFERROR(__xludf.DUMMYFUNCTION("""COMPUTED_VALUE"""),45097.6458333333)</f>
        <v>45097.645833333299</v>
      </c>
      <c r="B862" s="14">
        <f ca="1">IFERROR(__xludf.DUMMYFUNCTION("""COMPUTED_VALUE"""),1278.55)</f>
        <v>1278.55</v>
      </c>
      <c r="C862" s="15">
        <f t="shared" ca="1" si="6"/>
        <v>2.0769652794105919E-3</v>
      </c>
      <c r="D862" s="14">
        <f t="shared" ca="1" si="7"/>
        <v>1223.9124000000002</v>
      </c>
      <c r="E862" s="3"/>
      <c r="F862" s="3"/>
    </row>
    <row r="863" spans="1:6" ht="14.25" x14ac:dyDescent="0.2">
      <c r="A863" s="13">
        <f ca="1">IFERROR(__xludf.DUMMYFUNCTION("""COMPUTED_VALUE"""),45098.6458333333)</f>
        <v>45098.645833333299</v>
      </c>
      <c r="B863" s="14">
        <f ca="1">IFERROR(__xludf.DUMMYFUNCTION("""COMPUTED_VALUE"""),1282.15)</f>
        <v>1282.1500000000001</v>
      </c>
      <c r="C863" s="15">
        <f t="shared" ca="1" si="6"/>
        <v>2.815689648429931E-3</v>
      </c>
      <c r="D863" s="14">
        <f t="shared" ca="1" si="7"/>
        <v>1226.3068000000001</v>
      </c>
      <c r="E863" s="3"/>
      <c r="F863" s="3"/>
    </row>
    <row r="864" spans="1:6" ht="14.25" x14ac:dyDescent="0.2">
      <c r="A864" s="13">
        <f ca="1">IFERROR(__xludf.DUMMYFUNCTION("""COMPUTED_VALUE"""),45099.6458333333)</f>
        <v>45099.645833333299</v>
      </c>
      <c r="B864" s="14">
        <f ca="1">IFERROR(__xludf.DUMMYFUNCTION("""COMPUTED_VALUE"""),1267.75)</f>
        <v>1267.75</v>
      </c>
      <c r="C864" s="15">
        <f t="shared" ca="1" si="6"/>
        <v>-1.1231135202589448E-2</v>
      </c>
      <c r="D864" s="14">
        <f t="shared" ca="1" si="7"/>
        <v>1228.2982000000002</v>
      </c>
      <c r="E864" s="3"/>
      <c r="F864" s="3"/>
    </row>
    <row r="865" spans="1:6" ht="14.25" x14ac:dyDescent="0.2">
      <c r="A865" s="13">
        <f ca="1">IFERROR(__xludf.DUMMYFUNCTION("""COMPUTED_VALUE"""),45100.6458333333)</f>
        <v>45100.645833333299</v>
      </c>
      <c r="B865" s="14">
        <f ca="1">IFERROR(__xludf.DUMMYFUNCTION("""COMPUTED_VALUE"""),1257.38)</f>
        <v>1257.3800000000001</v>
      </c>
      <c r="C865" s="15">
        <f t="shared" ca="1" si="6"/>
        <v>-8.1798461841845471E-3</v>
      </c>
      <c r="D865" s="14">
        <f t="shared" ca="1" si="7"/>
        <v>1229.9792000000002</v>
      </c>
      <c r="E865" s="3"/>
      <c r="F865" s="3"/>
    </row>
    <row r="866" spans="1:6" ht="14.25" x14ac:dyDescent="0.2">
      <c r="A866" s="13">
        <f ca="1">IFERROR(__xludf.DUMMYFUNCTION("""COMPUTED_VALUE"""),45103.6458333333)</f>
        <v>45103.645833333299</v>
      </c>
      <c r="B866" s="14">
        <f ca="1">IFERROR(__xludf.DUMMYFUNCTION("""COMPUTED_VALUE"""),1247.78)</f>
        <v>1247.78</v>
      </c>
      <c r="C866" s="15">
        <f t="shared" ca="1" si="6"/>
        <v>-7.6349234121746434E-3</v>
      </c>
      <c r="D866" s="14">
        <f t="shared" ca="1" si="7"/>
        <v>1231.3798000000002</v>
      </c>
      <c r="E866" s="3"/>
      <c r="F866" s="3"/>
    </row>
    <row r="867" spans="1:6" ht="14.25" x14ac:dyDescent="0.2">
      <c r="A867" s="13">
        <f ca="1">IFERROR(__xludf.DUMMYFUNCTION("""COMPUTED_VALUE"""),45104.6458333333)</f>
        <v>45104.645833333299</v>
      </c>
      <c r="B867" s="14">
        <f ca="1">IFERROR(__xludf.DUMMYFUNCTION("""COMPUTED_VALUE"""),1248.22)</f>
        <v>1248.22</v>
      </c>
      <c r="C867" s="15">
        <f t="shared" ca="1" si="6"/>
        <v>3.5262626424525934E-4</v>
      </c>
      <c r="D867" s="14">
        <f t="shared" ca="1" si="7"/>
        <v>1232.6698000000001</v>
      </c>
      <c r="E867" s="3"/>
      <c r="F867" s="3"/>
    </row>
    <row r="868" spans="1:6" ht="14.25" x14ac:dyDescent="0.2">
      <c r="A868" s="13">
        <f ca="1">IFERROR(__xludf.DUMMYFUNCTION("""COMPUTED_VALUE"""),45105.6458333333)</f>
        <v>45105.645833333299</v>
      </c>
      <c r="B868" s="14">
        <f ca="1">IFERROR(__xludf.DUMMYFUNCTION("""COMPUTED_VALUE"""),1264.75)</f>
        <v>1264.75</v>
      </c>
      <c r="C868" s="15">
        <f t="shared" ca="1" si="6"/>
        <v>1.3242857829549148E-2</v>
      </c>
      <c r="D868" s="14">
        <f t="shared" ca="1" si="7"/>
        <v>1234.5612000000001</v>
      </c>
      <c r="E868" s="3"/>
      <c r="F868" s="3"/>
    </row>
    <row r="869" spans="1:6" ht="14.25" x14ac:dyDescent="0.2">
      <c r="A869" s="13">
        <f ca="1">IFERROR(__xludf.DUMMYFUNCTION("""COMPUTED_VALUE"""),45107.6458333333)</f>
        <v>45107.645833333299</v>
      </c>
      <c r="B869" s="14">
        <f ca="1">IFERROR(__xludf.DUMMYFUNCTION("""COMPUTED_VALUE"""),1275.13)</f>
        <v>1275.1300000000001</v>
      </c>
      <c r="C869" s="15">
        <f t="shared" ca="1" si="6"/>
        <v>8.2071555643408178E-3</v>
      </c>
      <c r="D869" s="14">
        <f t="shared" ca="1" si="7"/>
        <v>1236.5438000000001</v>
      </c>
      <c r="E869" s="3"/>
      <c r="F869" s="3"/>
    </row>
    <row r="870" spans="1:6" ht="14.25" x14ac:dyDescent="0.2">
      <c r="A870" s="13">
        <f ca="1">IFERROR(__xludf.DUMMYFUNCTION("""COMPUTED_VALUE"""),45110.6458333333)</f>
        <v>45110.645833333299</v>
      </c>
      <c r="B870" s="14">
        <f ca="1">IFERROR(__xludf.DUMMYFUNCTION("""COMPUTED_VALUE"""),1307.85)</f>
        <v>1307.8499999999999</v>
      </c>
      <c r="C870" s="15">
        <f t="shared" ca="1" si="6"/>
        <v>2.5660128771183954E-2</v>
      </c>
      <c r="D870" s="14">
        <f t="shared" ca="1" si="7"/>
        <v>1239.2402</v>
      </c>
      <c r="E870" s="3"/>
      <c r="F870" s="3"/>
    </row>
    <row r="871" spans="1:6" ht="14.25" x14ac:dyDescent="0.2">
      <c r="A871" s="13">
        <f ca="1">IFERROR(__xludf.DUMMYFUNCTION("""COMPUTED_VALUE"""),45111.6458333333)</f>
        <v>45111.645833333299</v>
      </c>
      <c r="B871" s="14">
        <f ca="1">IFERROR(__xludf.DUMMYFUNCTION("""COMPUTED_VALUE"""),1294.38)</f>
        <v>1294.3800000000001</v>
      </c>
      <c r="C871" s="15">
        <f t="shared" ca="1" si="6"/>
        <v>-1.0299346255304376E-2</v>
      </c>
      <c r="D871" s="14">
        <f t="shared" ca="1" si="7"/>
        <v>1241.6378</v>
      </c>
      <c r="E871" s="3"/>
      <c r="F871" s="3"/>
    </row>
    <row r="872" spans="1:6" ht="14.25" x14ac:dyDescent="0.2">
      <c r="A872" s="13">
        <f ca="1">IFERROR(__xludf.DUMMYFUNCTION("""COMPUTED_VALUE"""),45112.6458333333)</f>
        <v>45112.645833333299</v>
      </c>
      <c r="B872" s="14">
        <f ca="1">IFERROR(__xludf.DUMMYFUNCTION("""COMPUTED_VALUE"""),1292.25)</f>
        <v>1292.25</v>
      </c>
      <c r="C872" s="15">
        <f t="shared" ca="1" si="6"/>
        <v>-1.6455754878784701E-3</v>
      </c>
      <c r="D872" s="14">
        <f t="shared" ca="1" si="7"/>
        <v>1243.9028000000001</v>
      </c>
      <c r="E872" s="3"/>
      <c r="F872" s="3"/>
    </row>
    <row r="873" spans="1:6" ht="14.25" x14ac:dyDescent="0.2">
      <c r="A873" s="13">
        <f ca="1">IFERROR(__xludf.DUMMYFUNCTION("""COMPUTED_VALUE"""),45113.6458333333)</f>
        <v>45113.645833333299</v>
      </c>
      <c r="B873" s="14">
        <f ca="1">IFERROR(__xludf.DUMMYFUNCTION("""COMPUTED_VALUE"""),1319.38)</f>
        <v>1319.38</v>
      </c>
      <c r="C873" s="15">
        <f t="shared" ca="1" si="6"/>
        <v>2.0994389630489607E-2</v>
      </c>
      <c r="D873" s="14">
        <f t="shared" ca="1" si="7"/>
        <v>1246.5298</v>
      </c>
      <c r="E873" s="3"/>
      <c r="F873" s="3"/>
    </row>
    <row r="874" spans="1:6" ht="14.25" x14ac:dyDescent="0.2">
      <c r="A874" s="13">
        <f ca="1">IFERROR(__xludf.DUMMYFUNCTION("""COMPUTED_VALUE"""),45114.6458333333)</f>
        <v>45114.645833333299</v>
      </c>
      <c r="B874" s="14">
        <f ca="1">IFERROR(__xludf.DUMMYFUNCTION("""COMPUTED_VALUE"""),1316.8)</f>
        <v>1316.8</v>
      </c>
      <c r="C874" s="15">
        <f t="shared" ca="1" si="6"/>
        <v>-1.9554639300278787E-3</v>
      </c>
      <c r="D874" s="14">
        <f t="shared" ca="1" si="7"/>
        <v>1249.2447999999999</v>
      </c>
      <c r="E874" s="3"/>
      <c r="F874" s="3"/>
    </row>
    <row r="875" spans="1:6" ht="14.25" x14ac:dyDescent="0.2">
      <c r="A875" s="13">
        <f ca="1">IFERROR(__xludf.DUMMYFUNCTION("""COMPUTED_VALUE"""),45117.6458333333)</f>
        <v>45117.645833333299</v>
      </c>
      <c r="B875" s="14">
        <f ca="1">IFERROR(__xludf.DUMMYFUNCTION("""COMPUTED_VALUE"""),1367.53)</f>
        <v>1367.53</v>
      </c>
      <c r="C875" s="15">
        <f t="shared" ca="1" si="6"/>
        <v>3.8525212636695061E-2</v>
      </c>
      <c r="D875" s="14">
        <f t="shared" ca="1" si="7"/>
        <v>1252.8247999999999</v>
      </c>
      <c r="E875" s="3"/>
      <c r="F875" s="3"/>
    </row>
    <row r="876" spans="1:6" ht="14.25" x14ac:dyDescent="0.2">
      <c r="A876" s="13">
        <f ca="1">IFERROR(__xludf.DUMMYFUNCTION("""COMPUTED_VALUE"""),45118.6458333333)</f>
        <v>45118.645833333299</v>
      </c>
      <c r="B876" s="14">
        <f ca="1">IFERROR(__xludf.DUMMYFUNCTION("""COMPUTED_VALUE"""),1382.35)</f>
        <v>1382.35</v>
      </c>
      <c r="C876" s="15">
        <f t="shared" ca="1" si="6"/>
        <v>1.0837056591080252E-2</v>
      </c>
      <c r="D876" s="14">
        <f t="shared" ca="1" si="7"/>
        <v>1256.2667999999999</v>
      </c>
      <c r="E876" s="3"/>
      <c r="F876" s="3"/>
    </row>
    <row r="877" spans="1:6" ht="14.25" x14ac:dyDescent="0.2">
      <c r="A877" s="13">
        <f ca="1">IFERROR(__xludf.DUMMYFUNCTION("""COMPUTED_VALUE"""),45119.6458333333)</f>
        <v>45119.645833333299</v>
      </c>
      <c r="B877" s="14">
        <f ca="1">IFERROR(__xludf.DUMMYFUNCTION("""COMPUTED_VALUE"""),1383.88)</f>
        <v>1383.88</v>
      </c>
      <c r="C877" s="15">
        <f t="shared" ca="1" si="6"/>
        <v>1.1068108655551967E-3</v>
      </c>
      <c r="D877" s="14">
        <f t="shared" ca="1" si="7"/>
        <v>1259.5337999999999</v>
      </c>
      <c r="E877" s="3"/>
      <c r="F877" s="3"/>
    </row>
    <row r="878" spans="1:6" ht="14.25" x14ac:dyDescent="0.2">
      <c r="A878" s="13">
        <f ca="1">IFERROR(__xludf.DUMMYFUNCTION("""COMPUTED_VALUE"""),45120.6458333333)</f>
        <v>45120.645833333299</v>
      </c>
      <c r="B878" s="14">
        <f ca="1">IFERROR(__xludf.DUMMYFUNCTION("""COMPUTED_VALUE"""),1371.5)</f>
        <v>1371.5</v>
      </c>
      <c r="C878" s="15">
        <f t="shared" ca="1" si="6"/>
        <v>-8.9458623580079832E-3</v>
      </c>
      <c r="D878" s="14">
        <f t="shared" ca="1" si="7"/>
        <v>1262.7627999999997</v>
      </c>
      <c r="E878" s="3"/>
      <c r="F878" s="3"/>
    </row>
    <row r="879" spans="1:6" ht="14.25" x14ac:dyDescent="0.2">
      <c r="A879" s="13">
        <f ca="1">IFERROR(__xludf.DUMMYFUNCTION("""COMPUTED_VALUE"""),45121.6458333333)</f>
        <v>45121.645833333299</v>
      </c>
      <c r="B879" s="14">
        <f ca="1">IFERROR(__xludf.DUMMYFUNCTION("""COMPUTED_VALUE"""),1370.35)</f>
        <v>1370.35</v>
      </c>
      <c r="C879" s="15">
        <f t="shared" ca="1" si="6"/>
        <v>-8.3849799489621457E-4</v>
      </c>
      <c r="D879" s="14">
        <f t="shared" ca="1" si="7"/>
        <v>1265.6897999999999</v>
      </c>
      <c r="E879" s="3"/>
      <c r="F879" s="3"/>
    </row>
    <row r="880" spans="1:6" ht="14.25" x14ac:dyDescent="0.2">
      <c r="A880" s="13">
        <f ca="1">IFERROR(__xludf.DUMMYFUNCTION("""COMPUTED_VALUE"""),45124.6458333333)</f>
        <v>45124.645833333299</v>
      </c>
      <c r="B880" s="14">
        <f ca="1">IFERROR(__xludf.DUMMYFUNCTION("""COMPUTED_VALUE"""),1398.35)</f>
        <v>1398.35</v>
      </c>
      <c r="C880" s="15">
        <f t="shared" ca="1" si="6"/>
        <v>2.0432736162294241E-2</v>
      </c>
      <c r="D880" s="14">
        <f t="shared" ca="1" si="7"/>
        <v>1269.2391999999998</v>
      </c>
      <c r="E880" s="3"/>
      <c r="F880" s="3"/>
    </row>
    <row r="881" spans="1:6" ht="14.25" x14ac:dyDescent="0.2">
      <c r="A881" s="13">
        <f ca="1">IFERROR(__xludf.DUMMYFUNCTION("""COMPUTED_VALUE"""),45125.6458333333)</f>
        <v>45125.645833333299</v>
      </c>
      <c r="B881" s="14">
        <f ca="1">IFERROR(__xludf.DUMMYFUNCTION("""COMPUTED_VALUE"""),1410.23)</f>
        <v>1410.23</v>
      </c>
      <c r="C881" s="15">
        <f t="shared" ca="1" si="6"/>
        <v>8.4957271069474594E-3</v>
      </c>
      <c r="D881" s="14">
        <f t="shared" ca="1" si="7"/>
        <v>1272.7248</v>
      </c>
      <c r="E881" s="3"/>
      <c r="F881" s="3"/>
    </row>
    <row r="882" spans="1:6" ht="14.25" x14ac:dyDescent="0.2">
      <c r="A882" s="13">
        <f ca="1">IFERROR(__xludf.DUMMYFUNCTION("""COMPUTED_VALUE"""),45126.6458333333)</f>
        <v>45126.645833333299</v>
      </c>
      <c r="B882" s="14">
        <f ca="1">IFERROR(__xludf.DUMMYFUNCTION("""COMPUTED_VALUE"""),1420.93)</f>
        <v>1420.93</v>
      </c>
      <c r="C882" s="15">
        <f t="shared" ca="1" si="6"/>
        <v>7.5874148188592727E-3</v>
      </c>
      <c r="D882" s="14">
        <f t="shared" ca="1" si="7"/>
        <v>1276.3478</v>
      </c>
      <c r="E882" s="3"/>
      <c r="F882" s="3"/>
    </row>
    <row r="883" spans="1:6" ht="14.25" x14ac:dyDescent="0.2">
      <c r="A883" s="13">
        <f ca="1">IFERROR(__xludf.DUMMYFUNCTION("""COMPUTED_VALUE"""),45127.6458333333)</f>
        <v>45127.645833333299</v>
      </c>
      <c r="B883" s="14">
        <f ca="1">IFERROR(__xludf.DUMMYFUNCTION("""COMPUTED_VALUE"""),1309.93)</f>
        <v>1309.93</v>
      </c>
      <c r="C883" s="15">
        <f t="shared" ca="1" si="6"/>
        <v>-7.8117852392447173E-2</v>
      </c>
      <c r="D883" s="14">
        <f t="shared" ca="1" si="7"/>
        <v>1277.5803999999998</v>
      </c>
      <c r="E883" s="3"/>
      <c r="F883" s="3"/>
    </row>
    <row r="884" spans="1:6" ht="14.25" x14ac:dyDescent="0.2">
      <c r="A884" s="13">
        <f ca="1">IFERROR(__xludf.DUMMYFUNCTION("""COMPUTED_VALUE"""),45128.6458333333)</f>
        <v>45128.645833333299</v>
      </c>
      <c r="B884" s="14">
        <f ca="1">IFERROR(__xludf.DUMMYFUNCTION("""COMPUTED_VALUE"""),1269.38)</f>
        <v>1269.3800000000001</v>
      </c>
      <c r="C884" s="15">
        <f t="shared" ca="1" si="6"/>
        <v>-3.0955852602810752E-2</v>
      </c>
      <c r="D884" s="14">
        <f t="shared" ca="1" si="7"/>
        <v>1278.165</v>
      </c>
      <c r="E884" s="3"/>
      <c r="F884" s="3"/>
    </row>
    <row r="885" spans="1:6" ht="14.25" x14ac:dyDescent="0.2">
      <c r="A885" s="13">
        <f ca="1">IFERROR(__xludf.DUMMYFUNCTION("""COMPUTED_VALUE"""),45131.6458333333)</f>
        <v>45131.645833333299</v>
      </c>
      <c r="B885" s="14">
        <f ca="1">IFERROR(__xludf.DUMMYFUNCTION("""COMPUTED_VALUE"""),1243.7)</f>
        <v>1243.7</v>
      </c>
      <c r="C885" s="15">
        <f t="shared" ca="1" si="6"/>
        <v>-2.0230348674155962E-2</v>
      </c>
      <c r="D885" s="14">
        <f t="shared" ca="1" si="7"/>
        <v>1278.1953999999998</v>
      </c>
      <c r="E885" s="3"/>
      <c r="F885" s="3"/>
    </row>
    <row r="886" spans="1:6" ht="14.25" x14ac:dyDescent="0.2">
      <c r="A886" s="13">
        <f ca="1">IFERROR(__xludf.DUMMYFUNCTION("""COMPUTED_VALUE"""),45132.6458333333)</f>
        <v>45132.645833333299</v>
      </c>
      <c r="B886" s="14">
        <f ca="1">IFERROR(__xludf.DUMMYFUNCTION("""COMPUTED_VALUE"""),1242.9)</f>
        <v>1242.9000000000001</v>
      </c>
      <c r="C886" s="15">
        <f t="shared" ca="1" si="6"/>
        <v>-6.4324193937437268E-4</v>
      </c>
      <c r="D886" s="14">
        <f t="shared" ca="1" si="7"/>
        <v>1278.1607999999997</v>
      </c>
      <c r="E886" s="3"/>
      <c r="F886" s="3"/>
    </row>
    <row r="887" spans="1:6" ht="14.25" x14ac:dyDescent="0.2">
      <c r="A887" s="13">
        <f ca="1">IFERROR(__xludf.DUMMYFUNCTION("""COMPUTED_VALUE"""),45133.6458333333)</f>
        <v>45133.645833333299</v>
      </c>
      <c r="B887" s="14">
        <f ca="1">IFERROR(__xludf.DUMMYFUNCTION("""COMPUTED_VALUE"""),1263.1)</f>
        <v>1263.0999999999999</v>
      </c>
      <c r="C887" s="15">
        <f t="shared" ca="1" si="6"/>
        <v>1.6252313138627184E-2</v>
      </c>
      <c r="D887" s="14">
        <f t="shared" ca="1" si="7"/>
        <v>1278.8847999999998</v>
      </c>
      <c r="E887" s="3"/>
      <c r="F887" s="3"/>
    </row>
    <row r="888" spans="1:6" ht="14.25" x14ac:dyDescent="0.2">
      <c r="A888" s="13">
        <f ca="1">IFERROR(__xludf.DUMMYFUNCTION("""COMPUTED_VALUE"""),45134.6458333333)</f>
        <v>45134.645833333299</v>
      </c>
      <c r="B888" s="14">
        <f ca="1">IFERROR(__xludf.DUMMYFUNCTION("""COMPUTED_VALUE"""),1251.35)</f>
        <v>1251.3499999999999</v>
      </c>
      <c r="C888" s="15">
        <f t="shared" ca="1" si="6"/>
        <v>-9.3025096983612166E-3</v>
      </c>
      <c r="D888" s="14">
        <f t="shared" ca="1" si="7"/>
        <v>1279.5187999999998</v>
      </c>
      <c r="E888" s="3"/>
      <c r="F888" s="3"/>
    </row>
    <row r="889" spans="1:6" ht="14.25" x14ac:dyDescent="0.2">
      <c r="A889" s="13">
        <f ca="1">IFERROR(__xludf.DUMMYFUNCTION("""COMPUTED_VALUE"""),45135.6458333333)</f>
        <v>45135.645833333299</v>
      </c>
      <c r="B889" s="14">
        <f ca="1">IFERROR(__xludf.DUMMYFUNCTION("""COMPUTED_VALUE"""),1263.93)</f>
        <v>1263.93</v>
      </c>
      <c r="C889" s="15">
        <f t="shared" ca="1" si="6"/>
        <v>1.0053142605985554E-2</v>
      </c>
      <c r="D889" s="14">
        <f t="shared" ca="1" si="7"/>
        <v>1280.4567999999999</v>
      </c>
      <c r="E889" s="3"/>
      <c r="F889" s="3"/>
    </row>
    <row r="890" spans="1:6" ht="14.25" x14ac:dyDescent="0.2">
      <c r="A890" s="13">
        <f ca="1">IFERROR(__xludf.DUMMYFUNCTION("""COMPUTED_VALUE"""),45138.6458333333)</f>
        <v>45138.645833333299</v>
      </c>
      <c r="B890" s="14">
        <f ca="1">IFERROR(__xludf.DUMMYFUNCTION("""COMPUTED_VALUE"""),1274.63)</f>
        <v>1274.6300000000001</v>
      </c>
      <c r="C890" s="15">
        <f t="shared" ca="1" si="6"/>
        <v>8.4656586994533711E-3</v>
      </c>
      <c r="D890" s="14">
        <f t="shared" ca="1" si="7"/>
        <v>1281.5299999999995</v>
      </c>
      <c r="E890" s="3"/>
      <c r="F890" s="3"/>
    </row>
    <row r="891" spans="1:6" ht="14.25" x14ac:dyDescent="0.2">
      <c r="A891" s="13">
        <f ca="1">IFERROR(__xludf.DUMMYFUNCTION("""COMPUTED_VALUE"""),45139.6458333333)</f>
        <v>45139.645833333299</v>
      </c>
      <c r="B891" s="14">
        <f ca="1">IFERROR(__xludf.DUMMYFUNCTION("""COMPUTED_VALUE"""),1256.6)</f>
        <v>1256.5999999999999</v>
      </c>
      <c r="C891" s="15">
        <f t="shared" ca="1" si="6"/>
        <v>-1.4145281375771979E-2</v>
      </c>
      <c r="D891" s="14">
        <f t="shared" ca="1" si="7"/>
        <v>1282.1119999999996</v>
      </c>
      <c r="E891" s="3"/>
      <c r="F891" s="3"/>
    </row>
    <row r="892" spans="1:6" ht="14.25" x14ac:dyDescent="0.2">
      <c r="A892" s="13">
        <f ca="1">IFERROR(__xludf.DUMMYFUNCTION("""COMPUTED_VALUE"""),45140.6458333333)</f>
        <v>45140.645833333299</v>
      </c>
      <c r="B892" s="14">
        <f ca="1">IFERROR(__xludf.DUMMYFUNCTION("""COMPUTED_VALUE"""),1243.18)</f>
        <v>1243.18</v>
      </c>
      <c r="C892" s="15">
        <f t="shared" ca="1" si="6"/>
        <v>-1.0679611650485366E-2</v>
      </c>
      <c r="D892" s="14">
        <f t="shared" ca="1" si="7"/>
        <v>1282.4299999999996</v>
      </c>
      <c r="E892" s="3"/>
      <c r="F892" s="3"/>
    </row>
    <row r="893" spans="1:6" ht="14.25" x14ac:dyDescent="0.2">
      <c r="A893" s="13">
        <f ca="1">IFERROR(__xludf.DUMMYFUNCTION("""COMPUTED_VALUE"""),45141.6458333333)</f>
        <v>45141.645833333299</v>
      </c>
      <c r="B893" s="14">
        <f ca="1">IFERROR(__xludf.DUMMYFUNCTION("""COMPUTED_VALUE"""),1237.95)</f>
        <v>1237.95</v>
      </c>
      <c r="C893" s="15">
        <f t="shared" ca="1" si="6"/>
        <v>-4.2069531363116974E-3</v>
      </c>
      <c r="D893" s="14">
        <f t="shared" ca="1" si="7"/>
        <v>1282.7863999999997</v>
      </c>
      <c r="E893" s="3"/>
      <c r="F893" s="3"/>
    </row>
    <row r="894" spans="1:6" ht="14.25" x14ac:dyDescent="0.2">
      <c r="A894" s="13">
        <f ca="1">IFERROR(__xludf.DUMMYFUNCTION("""COMPUTED_VALUE"""),45142.6458333333)</f>
        <v>45142.645833333299</v>
      </c>
      <c r="B894" s="14">
        <f ca="1">IFERROR(__xludf.DUMMYFUNCTION("""COMPUTED_VALUE"""),1254.78)</f>
        <v>1254.78</v>
      </c>
      <c r="C894" s="15">
        <f t="shared" ca="1" si="6"/>
        <v>1.3595056343147949E-2</v>
      </c>
      <c r="D894" s="14">
        <f t="shared" ca="1" si="7"/>
        <v>1283.4825999999996</v>
      </c>
      <c r="E894" s="3"/>
      <c r="F894" s="3"/>
    </row>
    <row r="895" spans="1:6" ht="14.25" x14ac:dyDescent="0.2">
      <c r="A895" s="13">
        <f ca="1">IFERROR(__xludf.DUMMYFUNCTION("""COMPUTED_VALUE"""),45145.6458333333)</f>
        <v>45145.645833333299</v>
      </c>
      <c r="B895" s="14">
        <f ca="1">IFERROR(__xludf.DUMMYFUNCTION("""COMPUTED_VALUE"""),1261.93)</f>
        <v>1261.93</v>
      </c>
      <c r="C895" s="15">
        <f t="shared" ca="1" si="6"/>
        <v>5.6982100447888762E-3</v>
      </c>
      <c r="D895" s="14">
        <f t="shared" ca="1" si="7"/>
        <v>1283.6561999999997</v>
      </c>
      <c r="E895" s="3"/>
      <c r="F895" s="3"/>
    </row>
    <row r="896" spans="1:6" ht="14.25" x14ac:dyDescent="0.2">
      <c r="A896" s="13">
        <f ca="1">IFERROR(__xludf.DUMMYFUNCTION("""COMPUTED_VALUE"""),45146.6458333333)</f>
        <v>45146.645833333299</v>
      </c>
      <c r="B896" s="14">
        <f ca="1">IFERROR(__xludf.DUMMYFUNCTION("""COMPUTED_VALUE"""),1254.33)</f>
        <v>1254.33</v>
      </c>
      <c r="C896" s="15">
        <f t="shared" ca="1" si="6"/>
        <v>-6.0225210590129086E-3</v>
      </c>
      <c r="D896" s="14">
        <f t="shared" ca="1" si="7"/>
        <v>1283.5367999999999</v>
      </c>
      <c r="E896" s="3"/>
      <c r="F896" s="3"/>
    </row>
    <row r="897" spans="1:6" ht="14.25" x14ac:dyDescent="0.2">
      <c r="A897" s="13">
        <f ca="1">IFERROR(__xludf.DUMMYFUNCTION("""COMPUTED_VALUE"""),45147.6458333333)</f>
        <v>45147.645833333299</v>
      </c>
      <c r="B897" s="14">
        <f ca="1">IFERROR(__xludf.DUMMYFUNCTION("""COMPUTED_VALUE"""),1262.6)</f>
        <v>1262.5999999999999</v>
      </c>
      <c r="C897" s="15">
        <f t="shared" ca="1" si="6"/>
        <v>6.5931612892937697E-3</v>
      </c>
      <c r="D897" s="14">
        <f t="shared" ca="1" si="7"/>
        <v>1283.5893999999998</v>
      </c>
      <c r="E897" s="3"/>
      <c r="F897" s="3"/>
    </row>
    <row r="898" spans="1:6" ht="14.25" x14ac:dyDescent="0.2">
      <c r="A898" s="13">
        <f ca="1">IFERROR(__xludf.DUMMYFUNCTION("""COMPUTED_VALUE"""),45148.6458333333)</f>
        <v>45148.645833333299</v>
      </c>
      <c r="B898" s="14">
        <f ca="1">IFERROR(__xludf.DUMMYFUNCTION("""COMPUTED_VALUE"""),1268.22)</f>
        <v>1268.22</v>
      </c>
      <c r="C898" s="15">
        <f t="shared" ca="1" si="6"/>
        <v>4.451132583557893E-3</v>
      </c>
      <c r="D898" s="14">
        <f t="shared" ca="1" si="7"/>
        <v>1284.2547999999997</v>
      </c>
      <c r="E898" s="3"/>
      <c r="F898" s="3"/>
    </row>
    <row r="899" spans="1:6" ht="14.25" x14ac:dyDescent="0.2">
      <c r="A899" s="13">
        <f ca="1">IFERROR(__xludf.DUMMYFUNCTION("""COMPUTED_VALUE"""),45149.6458333333)</f>
        <v>45149.645833333299</v>
      </c>
      <c r="B899" s="14">
        <f ca="1">IFERROR(__xludf.DUMMYFUNCTION("""COMPUTED_VALUE"""),1273.58)</f>
        <v>1273.58</v>
      </c>
      <c r="C899" s="15">
        <f t="shared" ca="1" si="6"/>
        <v>4.2263960511581544E-3</v>
      </c>
      <c r="D899" s="14">
        <f t="shared" ca="1" si="7"/>
        <v>1285.0937999999996</v>
      </c>
      <c r="E899" s="3"/>
      <c r="F899" s="3"/>
    </row>
    <row r="900" spans="1:6" ht="14.25" x14ac:dyDescent="0.2">
      <c r="A900" s="13">
        <f ca="1">IFERROR(__xludf.DUMMYFUNCTION("""COMPUTED_VALUE"""),45152.6458333333)</f>
        <v>45152.645833333299</v>
      </c>
      <c r="B900" s="14">
        <f ca="1">IFERROR(__xludf.DUMMYFUNCTION("""COMPUTED_VALUE"""),1288.63)</f>
        <v>1288.6300000000001</v>
      </c>
      <c r="C900" s="15">
        <f t="shared" ca="1" si="6"/>
        <v>1.1817082554688607E-2</v>
      </c>
      <c r="D900" s="14">
        <f t="shared" ca="1" si="7"/>
        <v>1286.3143999999998</v>
      </c>
      <c r="E900" s="3"/>
      <c r="F900" s="3"/>
    </row>
    <row r="901" spans="1:6" ht="14.25" x14ac:dyDescent="0.2">
      <c r="A901" s="13">
        <f ca="1">IFERROR(__xludf.DUMMYFUNCTION("""COMPUTED_VALUE"""),45154.6458333333)</f>
        <v>45154.645833333299</v>
      </c>
      <c r="B901" s="14">
        <f ca="1">IFERROR(__xludf.DUMMYFUNCTION("""COMPUTED_VALUE"""),1287.58)</f>
        <v>1287.58</v>
      </c>
      <c r="C901" s="15">
        <f t="shared" ca="1" si="6"/>
        <v>-8.1481883861167503E-4</v>
      </c>
      <c r="D901" s="14">
        <f t="shared" ca="1" si="7"/>
        <v>1287.2933999999998</v>
      </c>
      <c r="E901" s="3"/>
      <c r="F901" s="3"/>
    </row>
    <row r="902" spans="1:6" ht="14.25" x14ac:dyDescent="0.2">
      <c r="A902" s="13">
        <f ca="1">IFERROR(__xludf.DUMMYFUNCTION("""COMPUTED_VALUE"""),45155.6458333333)</f>
        <v>45155.645833333299</v>
      </c>
      <c r="B902" s="14">
        <f ca="1">IFERROR(__xludf.DUMMYFUNCTION("""COMPUTED_VALUE"""),1269)</f>
        <v>1269</v>
      </c>
      <c r="C902" s="15">
        <f t="shared" ca="1" si="6"/>
        <v>-1.4430171329160024E-2</v>
      </c>
      <c r="D902" s="14">
        <f t="shared" ca="1" si="7"/>
        <v>1287.8797999999997</v>
      </c>
      <c r="E902" s="3"/>
      <c r="F902" s="3"/>
    </row>
    <row r="903" spans="1:6" ht="14.25" x14ac:dyDescent="0.2">
      <c r="A903" s="13">
        <f ca="1">IFERROR(__xludf.DUMMYFUNCTION("""COMPUTED_VALUE"""),45156.6458333333)</f>
        <v>45156.645833333299</v>
      </c>
      <c r="B903" s="14">
        <f ca="1">IFERROR(__xludf.DUMMYFUNCTION("""COMPUTED_VALUE"""),1278.4)</f>
        <v>1278.4000000000001</v>
      </c>
      <c r="C903" s="15">
        <f t="shared" ca="1" si="6"/>
        <v>7.4074074074075291E-3</v>
      </c>
      <c r="D903" s="14">
        <f t="shared" ca="1" si="7"/>
        <v>1288.4661999999998</v>
      </c>
      <c r="E903" s="3"/>
      <c r="F903" s="3"/>
    </row>
    <row r="904" spans="1:6" ht="14.25" x14ac:dyDescent="0.2">
      <c r="A904" s="13">
        <f ca="1">IFERROR(__xludf.DUMMYFUNCTION("""COMPUTED_VALUE"""),45159.6458333333)</f>
        <v>45159.645833333299</v>
      </c>
      <c r="B904" s="14">
        <f ca="1">IFERROR(__xludf.DUMMYFUNCTION("""COMPUTED_VALUE"""),1260)</f>
        <v>1260</v>
      </c>
      <c r="C904" s="15">
        <f t="shared" ca="1" si="6"/>
        <v>-1.4392991239048913E-2</v>
      </c>
      <c r="D904" s="14">
        <f t="shared" ca="1" si="7"/>
        <v>1288.6695999999997</v>
      </c>
      <c r="E904" s="3"/>
      <c r="F904" s="3"/>
    </row>
    <row r="905" spans="1:6" ht="14.25" x14ac:dyDescent="0.2">
      <c r="A905" s="13">
        <f ca="1">IFERROR(__xludf.DUMMYFUNCTION("""COMPUTED_VALUE"""),45160.6458333333)</f>
        <v>45160.645833333299</v>
      </c>
      <c r="B905" s="14">
        <f ca="1">IFERROR(__xludf.DUMMYFUNCTION("""COMPUTED_VALUE"""),1259.7)</f>
        <v>1259.7</v>
      </c>
      <c r="C905" s="15">
        <f t="shared" ca="1" si="6"/>
        <v>-2.3809523809514843E-4</v>
      </c>
      <c r="D905" s="14">
        <f t="shared" ca="1" si="7"/>
        <v>1289.0441999999996</v>
      </c>
      <c r="E905" s="3"/>
      <c r="F905" s="3"/>
    </row>
    <row r="906" spans="1:6" ht="14.25" x14ac:dyDescent="0.2">
      <c r="A906" s="13">
        <f ca="1">IFERROR(__xludf.DUMMYFUNCTION("""COMPUTED_VALUE"""),45161.6458333333)</f>
        <v>45161.645833333299</v>
      </c>
      <c r="B906" s="14">
        <f ca="1">IFERROR(__xludf.DUMMYFUNCTION("""COMPUTED_VALUE"""),1261.1)</f>
        <v>1261.0999999999999</v>
      </c>
      <c r="C906" s="15">
        <f t="shared" ca="1" si="6"/>
        <v>1.1113757243788047E-3</v>
      </c>
      <c r="D906" s="14">
        <f t="shared" ca="1" si="7"/>
        <v>1289.4245999999996</v>
      </c>
      <c r="E906" s="3"/>
      <c r="F906" s="3"/>
    </row>
    <row r="907" spans="1:6" ht="14.25" x14ac:dyDescent="0.2">
      <c r="A907" s="13">
        <f ca="1">IFERROR(__xludf.DUMMYFUNCTION("""COMPUTED_VALUE"""),45162.6458333333)</f>
        <v>45162.645833333299</v>
      </c>
      <c r="B907" s="14">
        <f ca="1">IFERROR(__xludf.DUMMYFUNCTION("""COMPUTED_VALUE"""),1239.9)</f>
        <v>1239.9000000000001</v>
      </c>
      <c r="C907" s="15">
        <f t="shared" ca="1" si="6"/>
        <v>-1.6810720799302015E-2</v>
      </c>
      <c r="D907" s="14">
        <f t="shared" ca="1" si="7"/>
        <v>1289.0139999999997</v>
      </c>
      <c r="E907" s="3"/>
      <c r="F907" s="3"/>
    </row>
    <row r="908" spans="1:6" ht="14.25" x14ac:dyDescent="0.2">
      <c r="A908" s="13">
        <f ca="1">IFERROR(__xludf.DUMMYFUNCTION("""COMPUTED_VALUE"""),45163.6458333333)</f>
        <v>45163.645833333299</v>
      </c>
      <c r="B908" s="14">
        <f ca="1">IFERROR(__xludf.DUMMYFUNCTION("""COMPUTED_VALUE"""),1234.18)</f>
        <v>1234.18</v>
      </c>
      <c r="C908" s="15">
        <f t="shared" ca="1" si="6"/>
        <v>-4.6132752641342423E-3</v>
      </c>
      <c r="D908" s="14">
        <f t="shared" ca="1" si="7"/>
        <v>1288.1789999999996</v>
      </c>
      <c r="E908" s="3"/>
      <c r="F908" s="3"/>
    </row>
    <row r="909" spans="1:6" ht="14.25" x14ac:dyDescent="0.2">
      <c r="A909" s="13">
        <f ca="1">IFERROR(__xludf.DUMMYFUNCTION("""COMPUTED_VALUE"""),45166.6458333333)</f>
        <v>45166.645833333299</v>
      </c>
      <c r="B909" s="14">
        <f ca="1">IFERROR(__xludf.DUMMYFUNCTION("""COMPUTED_VALUE"""),1221.88)</f>
        <v>1221.8800000000001</v>
      </c>
      <c r="C909" s="15">
        <f t="shared" ca="1" si="6"/>
        <v>-9.9661313584727962E-3</v>
      </c>
      <c r="D909" s="14">
        <f t="shared" ca="1" si="7"/>
        <v>1287.0909999999997</v>
      </c>
      <c r="E909" s="3"/>
      <c r="F909" s="3"/>
    </row>
    <row r="910" spans="1:6" ht="14.25" x14ac:dyDescent="0.2">
      <c r="A910" s="13">
        <f ca="1">IFERROR(__xludf.DUMMYFUNCTION("""COMPUTED_VALUE"""),45167.6458333333)</f>
        <v>45167.645833333299</v>
      </c>
      <c r="B910" s="14">
        <f ca="1">IFERROR(__xludf.DUMMYFUNCTION("""COMPUTED_VALUE"""),1210.18)</f>
        <v>1210.18</v>
      </c>
      <c r="C910" s="15">
        <f t="shared" ca="1" si="6"/>
        <v>-9.5754083870757123E-3</v>
      </c>
      <c r="D910" s="14">
        <f t="shared" ca="1" si="7"/>
        <v>1285.5205999999996</v>
      </c>
      <c r="E910" s="3"/>
      <c r="F910" s="3"/>
    </row>
    <row r="911" spans="1:6" ht="14.25" x14ac:dyDescent="0.2">
      <c r="A911" s="13">
        <f ca="1">IFERROR(__xludf.DUMMYFUNCTION("""COMPUTED_VALUE"""),45168.6458333333)</f>
        <v>45168.645833333299</v>
      </c>
      <c r="B911" s="14">
        <f ca="1">IFERROR(__xludf.DUMMYFUNCTION("""COMPUTED_VALUE"""),1209.03)</f>
        <v>1209.03</v>
      </c>
      <c r="C911" s="15">
        <f t="shared" ca="1" si="6"/>
        <v>-9.502718603844329E-4</v>
      </c>
      <c r="D911" s="14">
        <f t="shared" ca="1" si="7"/>
        <v>1284.1831999999997</v>
      </c>
      <c r="E911" s="3"/>
      <c r="F911" s="3"/>
    </row>
    <row r="912" spans="1:6" ht="14.25" x14ac:dyDescent="0.2">
      <c r="A912" s="13">
        <f ca="1">IFERROR(__xludf.DUMMYFUNCTION("""COMPUTED_VALUE"""),45169.6458333333)</f>
        <v>45169.645833333299</v>
      </c>
      <c r="B912" s="14">
        <f ca="1">IFERROR(__xludf.DUMMYFUNCTION("""COMPUTED_VALUE"""),1203.5)</f>
        <v>1203.5</v>
      </c>
      <c r="C912" s="15">
        <f t="shared" ca="1" si="6"/>
        <v>-4.573914625774389E-3</v>
      </c>
      <c r="D912" s="14">
        <f t="shared" ca="1" si="7"/>
        <v>1282.6821999999997</v>
      </c>
      <c r="E912" s="3"/>
      <c r="F912" s="3"/>
    </row>
    <row r="913" spans="1:6" ht="14.25" x14ac:dyDescent="0.2">
      <c r="A913" s="13">
        <f ca="1">IFERROR(__xludf.DUMMYFUNCTION("""COMPUTED_VALUE"""),45170.6458333333)</f>
        <v>45170.645833333299</v>
      </c>
      <c r="B913" s="14">
        <f ca="1">IFERROR(__xludf.DUMMYFUNCTION("""COMPUTED_VALUE"""),1206.33)</f>
        <v>1206.33</v>
      </c>
      <c r="C913" s="15">
        <f t="shared" ca="1" si="6"/>
        <v>2.35147486497711E-3</v>
      </c>
      <c r="D913" s="14">
        <f t="shared" ca="1" si="7"/>
        <v>1281.1657999999998</v>
      </c>
      <c r="E913" s="3"/>
      <c r="F913" s="3"/>
    </row>
    <row r="914" spans="1:6" ht="14.25" x14ac:dyDescent="0.2">
      <c r="A914" s="13">
        <f ca="1">IFERROR(__xludf.DUMMYFUNCTION("""COMPUTED_VALUE"""),45173.6458333333)</f>
        <v>45173.645833333299</v>
      </c>
      <c r="B914" s="14">
        <f ca="1">IFERROR(__xludf.DUMMYFUNCTION("""COMPUTED_VALUE"""),1205.35)</f>
        <v>1205.3499999999999</v>
      </c>
      <c r="C914" s="15">
        <f t="shared" ca="1" si="6"/>
        <v>-8.1238135501893183E-4</v>
      </c>
      <c r="D914" s="14">
        <f t="shared" ca="1" si="7"/>
        <v>1279.9177999999999</v>
      </c>
      <c r="E914" s="3"/>
      <c r="F914" s="3"/>
    </row>
    <row r="915" spans="1:6" ht="14.25" x14ac:dyDescent="0.2">
      <c r="A915" s="13">
        <f ca="1">IFERROR(__xludf.DUMMYFUNCTION("""COMPUTED_VALUE"""),45174.6458333333)</f>
        <v>45174.645833333299</v>
      </c>
      <c r="B915" s="14">
        <f ca="1">IFERROR(__xludf.DUMMYFUNCTION("""COMPUTED_VALUE"""),1211.8)</f>
        <v>1211.8</v>
      </c>
      <c r="C915" s="15">
        <f t="shared" ca="1" si="6"/>
        <v>5.3511428215871071E-3</v>
      </c>
      <c r="D915" s="14">
        <f t="shared" ca="1" si="7"/>
        <v>1279.0062</v>
      </c>
      <c r="E915" s="3"/>
      <c r="F915" s="3"/>
    </row>
    <row r="916" spans="1:6" ht="14.25" x14ac:dyDescent="0.2">
      <c r="A916" s="13">
        <f ca="1">IFERROR(__xludf.DUMMYFUNCTION("""COMPUTED_VALUE"""),45175.6458333333)</f>
        <v>45175.645833333299</v>
      </c>
      <c r="B916" s="14">
        <f ca="1">IFERROR(__xludf.DUMMYFUNCTION("""COMPUTED_VALUE"""),1214.35)</f>
        <v>1214.3499999999999</v>
      </c>
      <c r="C916" s="15">
        <f t="shared" ca="1" si="6"/>
        <v>2.1043076415250273E-3</v>
      </c>
      <c r="D916" s="14">
        <f t="shared" ca="1" si="7"/>
        <v>1278.3375999999998</v>
      </c>
      <c r="E916" s="3"/>
      <c r="F916" s="3"/>
    </row>
    <row r="917" spans="1:6" ht="14.25" x14ac:dyDescent="0.2">
      <c r="A917" s="13">
        <f ca="1">IFERROR(__xludf.DUMMYFUNCTION("""COMPUTED_VALUE"""),45176.6458333333)</f>
        <v>45176.645833333299</v>
      </c>
      <c r="B917" s="14">
        <f ca="1">IFERROR(__xludf.DUMMYFUNCTION("""COMPUTED_VALUE"""),1216)</f>
        <v>1216</v>
      </c>
      <c r="C917" s="15">
        <f t="shared" ca="1" si="6"/>
        <v>1.3587515955038043E-3</v>
      </c>
      <c r="D917" s="14">
        <f t="shared" ca="1" si="7"/>
        <v>1277.6931999999999</v>
      </c>
      <c r="E917" s="3"/>
      <c r="F917" s="3"/>
    </row>
    <row r="918" spans="1:6" ht="14.25" x14ac:dyDescent="0.2">
      <c r="A918" s="13">
        <f ca="1">IFERROR(__xludf.DUMMYFUNCTION("""COMPUTED_VALUE"""),45177.6458333333)</f>
        <v>45177.645833333299</v>
      </c>
      <c r="B918" s="14">
        <f ca="1">IFERROR(__xludf.DUMMYFUNCTION("""COMPUTED_VALUE"""),1224.1)</f>
        <v>1224.0999999999999</v>
      </c>
      <c r="C918" s="15">
        <f t="shared" ca="1" si="6"/>
        <v>6.6611842105261942E-3</v>
      </c>
      <c r="D918" s="14">
        <f t="shared" ca="1" si="7"/>
        <v>1276.8802000000001</v>
      </c>
      <c r="E918" s="3"/>
      <c r="F918" s="3"/>
    </row>
    <row r="919" spans="1:6" ht="14.25" x14ac:dyDescent="0.2">
      <c r="A919" s="13">
        <f ca="1">IFERROR(__xludf.DUMMYFUNCTION("""COMPUTED_VALUE"""),45180.6458333333)</f>
        <v>45180.645833333299</v>
      </c>
      <c r="B919" s="14">
        <f ca="1">IFERROR(__xludf.DUMMYFUNCTION("""COMPUTED_VALUE"""),1237.3)</f>
        <v>1237.3</v>
      </c>
      <c r="C919" s="15">
        <f t="shared" ca="1" si="6"/>
        <v>1.0783432726084508E-2</v>
      </c>
      <c r="D919" s="14">
        <f t="shared" ca="1" si="7"/>
        <v>1276.1235999999999</v>
      </c>
      <c r="E919" s="3"/>
      <c r="F919" s="3"/>
    </row>
    <row r="920" spans="1:6" ht="14.25" x14ac:dyDescent="0.2">
      <c r="A920" s="13">
        <f ca="1">IFERROR(__xludf.DUMMYFUNCTION("""COMPUTED_VALUE"""),45181.6458333333)</f>
        <v>45181.645833333299</v>
      </c>
      <c r="B920" s="14">
        <f ca="1">IFERROR(__xludf.DUMMYFUNCTION("""COMPUTED_VALUE"""),1219.43)</f>
        <v>1219.43</v>
      </c>
      <c r="C920" s="15">
        <f t="shared" ca="1" si="6"/>
        <v>-1.4442738220318385E-2</v>
      </c>
      <c r="D920" s="14">
        <f t="shared" ca="1" si="7"/>
        <v>1274.3552</v>
      </c>
      <c r="E920" s="3"/>
      <c r="F920" s="3"/>
    </row>
    <row r="921" spans="1:6" ht="14.25" x14ac:dyDescent="0.2">
      <c r="A921" s="13">
        <f ca="1">IFERROR(__xludf.DUMMYFUNCTION("""COMPUTED_VALUE"""),45182.6458333333)</f>
        <v>45182.645833333299</v>
      </c>
      <c r="B921" s="14">
        <f ca="1">IFERROR(__xludf.DUMMYFUNCTION("""COMPUTED_VALUE"""),1225.53)</f>
        <v>1225.53</v>
      </c>
      <c r="C921" s="15">
        <f t="shared" ca="1" si="6"/>
        <v>5.0023371575242948E-3</v>
      </c>
      <c r="D921" s="14">
        <f t="shared" ca="1" si="7"/>
        <v>1272.9782</v>
      </c>
      <c r="E921" s="3"/>
      <c r="F921" s="3"/>
    </row>
    <row r="922" spans="1:6" ht="14.25" x14ac:dyDescent="0.2">
      <c r="A922" s="13">
        <f ca="1">IFERROR(__xludf.DUMMYFUNCTION("""COMPUTED_VALUE"""),45183.6458333333)</f>
        <v>45183.645833333299</v>
      </c>
      <c r="B922" s="14">
        <f ca="1">IFERROR(__xludf.DUMMYFUNCTION("""COMPUTED_VALUE"""),1226.65)</f>
        <v>1226.6500000000001</v>
      </c>
      <c r="C922" s="15">
        <f t="shared" ca="1" si="6"/>
        <v>9.13890316842636E-4</v>
      </c>
      <c r="D922" s="14">
        <f t="shared" ca="1" si="7"/>
        <v>1271.6661999999999</v>
      </c>
      <c r="E922" s="3"/>
      <c r="F922" s="3"/>
    </row>
    <row r="923" spans="1:6" ht="14.25" x14ac:dyDescent="0.2">
      <c r="A923" s="13">
        <f ca="1">IFERROR(__xludf.DUMMYFUNCTION("""COMPUTED_VALUE"""),45184.6458333333)</f>
        <v>45184.645833333299</v>
      </c>
      <c r="B923" s="14">
        <f ca="1">IFERROR(__xludf.DUMMYFUNCTION("""COMPUTED_VALUE"""),1228.93)</f>
        <v>1228.93</v>
      </c>
      <c r="C923" s="15">
        <f t="shared" ca="1" si="6"/>
        <v>1.8587209065339394E-3</v>
      </c>
      <c r="D923" s="14">
        <f t="shared" ca="1" si="7"/>
        <v>1269.8571999999999</v>
      </c>
      <c r="E923" s="3"/>
      <c r="F923" s="3"/>
    </row>
    <row r="924" spans="1:6" ht="14.25" x14ac:dyDescent="0.2">
      <c r="A924" s="13">
        <f ca="1">IFERROR(__xludf.DUMMYFUNCTION("""COMPUTED_VALUE"""),45187.6458333333)</f>
        <v>45187.645833333299</v>
      </c>
      <c r="B924" s="14">
        <f ca="1">IFERROR(__xludf.DUMMYFUNCTION("""COMPUTED_VALUE"""),1218.22)</f>
        <v>1218.22</v>
      </c>
      <c r="C924" s="15">
        <f t="shared" ca="1" si="6"/>
        <v>-8.7148983261862156E-3</v>
      </c>
      <c r="D924" s="14">
        <f t="shared" ca="1" si="7"/>
        <v>1267.8856000000001</v>
      </c>
      <c r="E924" s="3"/>
      <c r="F924" s="3"/>
    </row>
    <row r="925" spans="1:6" ht="14.25" x14ac:dyDescent="0.2">
      <c r="A925" s="13">
        <f ca="1">IFERROR(__xludf.DUMMYFUNCTION("""COMPUTED_VALUE"""),45189.6458333333)</f>
        <v>45189.645833333299</v>
      </c>
      <c r="B925" s="14">
        <f ca="1">IFERROR(__xludf.DUMMYFUNCTION("""COMPUTED_VALUE"""),1191.08)</f>
        <v>1191.08</v>
      </c>
      <c r="C925" s="15">
        <f t="shared" ca="1" si="6"/>
        <v>-2.2278406199208733E-2</v>
      </c>
      <c r="D925" s="14">
        <f t="shared" ca="1" si="7"/>
        <v>1264.3566000000001</v>
      </c>
      <c r="E925" s="3"/>
      <c r="F925" s="3"/>
    </row>
    <row r="926" spans="1:6" ht="14.25" x14ac:dyDescent="0.2">
      <c r="A926" s="13">
        <f ca="1">IFERROR(__xludf.DUMMYFUNCTION("""COMPUTED_VALUE"""),45190.6458333333)</f>
        <v>45190.645833333299</v>
      </c>
      <c r="B926" s="14">
        <f ca="1">IFERROR(__xludf.DUMMYFUNCTION("""COMPUTED_VALUE"""),1182.4)</f>
        <v>1182.4000000000001</v>
      </c>
      <c r="C926" s="15">
        <f t="shared" ca="1" si="6"/>
        <v>-7.287503778083626E-3</v>
      </c>
      <c r="D926" s="14">
        <f t="shared" ca="1" si="7"/>
        <v>1260.3576</v>
      </c>
      <c r="E926" s="3"/>
      <c r="F926" s="3"/>
    </row>
    <row r="927" spans="1:6" ht="14.25" x14ac:dyDescent="0.2">
      <c r="A927" s="13">
        <f ca="1">IFERROR(__xludf.DUMMYFUNCTION("""COMPUTED_VALUE"""),45191.6458333333)</f>
        <v>45191.645833333299</v>
      </c>
      <c r="B927" s="14">
        <f ca="1">IFERROR(__xludf.DUMMYFUNCTION("""COMPUTED_VALUE"""),1177.47)</f>
        <v>1177.47</v>
      </c>
      <c r="C927" s="15">
        <f t="shared" ca="1" si="6"/>
        <v>-4.1694857916103611E-3</v>
      </c>
      <c r="D927" s="14">
        <f t="shared" ca="1" si="7"/>
        <v>1256.2294000000002</v>
      </c>
      <c r="E927" s="3"/>
      <c r="F927" s="3"/>
    </row>
    <row r="928" spans="1:6" ht="14.25" x14ac:dyDescent="0.2">
      <c r="A928" s="13">
        <f ca="1">IFERROR(__xludf.DUMMYFUNCTION("""COMPUTED_VALUE"""),45194.6458333333)</f>
        <v>45194.645833333299</v>
      </c>
      <c r="B928" s="14">
        <f ca="1">IFERROR(__xludf.DUMMYFUNCTION("""COMPUTED_VALUE"""),1170.22)</f>
        <v>1170.22</v>
      </c>
      <c r="C928" s="15">
        <f t="shared" ca="1" si="6"/>
        <v>-6.1572693996450045E-3</v>
      </c>
      <c r="D928" s="14">
        <f t="shared" ca="1" si="7"/>
        <v>1252.2038000000002</v>
      </c>
      <c r="E928" s="3"/>
      <c r="F928" s="3"/>
    </row>
    <row r="929" spans="1:6" ht="14.25" x14ac:dyDescent="0.2">
      <c r="A929" s="13">
        <f ca="1">IFERROR(__xludf.DUMMYFUNCTION("""COMPUTED_VALUE"""),45195.6458333333)</f>
        <v>45195.645833333299</v>
      </c>
      <c r="B929" s="14">
        <f ca="1">IFERROR(__xludf.DUMMYFUNCTION("""COMPUTED_VALUE"""),1171.25)</f>
        <v>1171.25</v>
      </c>
      <c r="C929" s="15">
        <f t="shared" ca="1" si="6"/>
        <v>8.8017637709136842E-4</v>
      </c>
      <c r="D929" s="14">
        <f t="shared" ca="1" si="7"/>
        <v>1248.2218</v>
      </c>
      <c r="E929" s="3"/>
      <c r="F929" s="3"/>
    </row>
    <row r="930" spans="1:6" ht="14.25" x14ac:dyDescent="0.2">
      <c r="A930" s="13">
        <f ca="1">IFERROR(__xludf.DUMMYFUNCTION("""COMPUTED_VALUE"""),45196.6458333333)</f>
        <v>45196.645833333299</v>
      </c>
      <c r="B930" s="14">
        <f ca="1">IFERROR(__xludf.DUMMYFUNCTION("""COMPUTED_VALUE"""),1184.45)</f>
        <v>1184.45</v>
      </c>
      <c r="C930" s="15">
        <f t="shared" ca="1" si="6"/>
        <v>1.1270010672358666E-2</v>
      </c>
      <c r="D930" s="14">
        <f t="shared" ca="1" si="7"/>
        <v>1243.9438000000002</v>
      </c>
      <c r="E930" s="3"/>
      <c r="F930" s="3"/>
    </row>
    <row r="931" spans="1:6" ht="14.25" x14ac:dyDescent="0.2">
      <c r="A931" s="13">
        <f ca="1">IFERROR(__xludf.DUMMYFUNCTION("""COMPUTED_VALUE"""),45197.6458333333)</f>
        <v>45197.645833333299</v>
      </c>
      <c r="B931" s="14">
        <f ca="1">IFERROR(__xludf.DUMMYFUNCTION("""COMPUTED_VALUE"""),1167.05)</f>
        <v>1167.05</v>
      </c>
      <c r="C931" s="15">
        <f t="shared" ca="1" si="6"/>
        <v>-1.4690362615560004E-2</v>
      </c>
      <c r="D931" s="14">
        <f t="shared" ca="1" si="7"/>
        <v>1239.0802000000001</v>
      </c>
      <c r="E931" s="3"/>
      <c r="F931" s="3"/>
    </row>
    <row r="932" spans="1:6" ht="14.25" x14ac:dyDescent="0.2">
      <c r="A932" s="13">
        <f ca="1">IFERROR(__xludf.DUMMYFUNCTION("""COMPUTED_VALUE"""),45198.6458333333)</f>
        <v>45198.645833333299</v>
      </c>
      <c r="B932" s="14">
        <f ca="1">IFERROR(__xludf.DUMMYFUNCTION("""COMPUTED_VALUE"""),1172.5)</f>
        <v>1172.5</v>
      </c>
      <c r="C932" s="15">
        <f t="shared" ca="1" si="6"/>
        <v>4.6698941776273095E-3</v>
      </c>
      <c r="D932" s="14">
        <f t="shared" ca="1" si="7"/>
        <v>1234.1116000000002</v>
      </c>
      <c r="E932" s="3"/>
      <c r="F932" s="3"/>
    </row>
    <row r="933" spans="1:6" ht="14.25" x14ac:dyDescent="0.2">
      <c r="A933" s="13">
        <f ca="1">IFERROR(__xludf.DUMMYFUNCTION("""COMPUTED_VALUE"""),45202.6458333333)</f>
        <v>45202.645833333299</v>
      </c>
      <c r="B933" s="14">
        <f ca="1">IFERROR(__xludf.DUMMYFUNCTION("""COMPUTED_VALUE"""),1159.08)</f>
        <v>1159.08</v>
      </c>
      <c r="C933" s="15">
        <f t="shared" ca="1" si="6"/>
        <v>-1.1445628997867829E-2</v>
      </c>
      <c r="D933" s="14">
        <f t="shared" ca="1" si="7"/>
        <v>1231.0946000000004</v>
      </c>
      <c r="E933" s="3"/>
      <c r="F933" s="3"/>
    </row>
    <row r="934" spans="1:6" ht="14.25" x14ac:dyDescent="0.2">
      <c r="A934" s="13">
        <f ca="1">IFERROR(__xludf.DUMMYFUNCTION("""COMPUTED_VALUE"""),45203.6458333333)</f>
        <v>45203.645833333299</v>
      </c>
      <c r="B934" s="14">
        <f ca="1">IFERROR(__xludf.DUMMYFUNCTION("""COMPUTED_VALUE"""),1157.08)</f>
        <v>1157.08</v>
      </c>
      <c r="C934" s="15">
        <f t="shared" ca="1" si="6"/>
        <v>-1.7255064361390016E-3</v>
      </c>
      <c r="D934" s="14">
        <f t="shared" ca="1" si="7"/>
        <v>1228.8486000000005</v>
      </c>
      <c r="E934" s="3"/>
      <c r="F934" s="3"/>
    </row>
    <row r="935" spans="1:6" ht="14.25" x14ac:dyDescent="0.2">
      <c r="A935" s="13">
        <f ca="1">IFERROR(__xludf.DUMMYFUNCTION("""COMPUTED_VALUE"""),45204.6458333333)</f>
        <v>45204.645833333299</v>
      </c>
      <c r="B935" s="14">
        <f ca="1">IFERROR(__xludf.DUMMYFUNCTION("""COMPUTED_VALUE"""),1157.05)</f>
        <v>1157.05</v>
      </c>
      <c r="C935" s="15">
        <f t="shared" ca="1" si="6"/>
        <v>-2.5927334324271634E-5</v>
      </c>
      <c r="D935" s="14">
        <f t="shared" ca="1" si="7"/>
        <v>1227.1156000000003</v>
      </c>
      <c r="E935" s="3"/>
      <c r="F935" s="3"/>
    </row>
    <row r="936" spans="1:6" ht="14.25" x14ac:dyDescent="0.2">
      <c r="A936" s="13">
        <f ca="1">IFERROR(__xludf.DUMMYFUNCTION("""COMPUTED_VALUE"""),45205.6458333333)</f>
        <v>45205.645833333299</v>
      </c>
      <c r="B936" s="14">
        <f ca="1">IFERROR(__xludf.DUMMYFUNCTION("""COMPUTED_VALUE"""),1159)</f>
        <v>1159</v>
      </c>
      <c r="C936" s="15">
        <f t="shared" ca="1" si="6"/>
        <v>1.6853204269478006E-3</v>
      </c>
      <c r="D936" s="14">
        <f t="shared" ca="1" si="7"/>
        <v>1225.4376000000004</v>
      </c>
      <c r="E936" s="3"/>
      <c r="F936" s="3"/>
    </row>
    <row r="937" spans="1:6" ht="14.25" x14ac:dyDescent="0.2">
      <c r="A937" s="13">
        <f ca="1">IFERROR(__xludf.DUMMYFUNCTION("""COMPUTED_VALUE"""),45208.6458333333)</f>
        <v>45208.645833333299</v>
      </c>
      <c r="B937" s="14">
        <f ca="1">IFERROR(__xludf.DUMMYFUNCTION("""COMPUTED_VALUE"""),1149.13)</f>
        <v>1149.1300000000001</v>
      </c>
      <c r="C937" s="15">
        <f t="shared" ca="1" si="6"/>
        <v>-8.5159620362380561E-3</v>
      </c>
      <c r="D937" s="14">
        <f t="shared" ca="1" si="7"/>
        <v>1223.1582000000003</v>
      </c>
      <c r="E937" s="3"/>
      <c r="F937" s="3"/>
    </row>
    <row r="938" spans="1:6" ht="14.25" x14ac:dyDescent="0.2">
      <c r="A938" s="13">
        <f ca="1">IFERROR(__xludf.DUMMYFUNCTION("""COMPUTED_VALUE"""),45209.6458333333)</f>
        <v>45209.645833333299</v>
      </c>
      <c r="B938" s="14">
        <f ca="1">IFERROR(__xludf.DUMMYFUNCTION("""COMPUTED_VALUE"""),1154.2)</f>
        <v>1154.2</v>
      </c>
      <c r="C938" s="15">
        <f t="shared" ca="1" si="6"/>
        <v>4.4120334513935155E-3</v>
      </c>
      <c r="D938" s="14">
        <f t="shared" ca="1" si="7"/>
        <v>1221.2152000000003</v>
      </c>
      <c r="E938" s="3"/>
      <c r="F938" s="3"/>
    </row>
    <row r="939" spans="1:6" ht="14.25" x14ac:dyDescent="0.2">
      <c r="A939" s="13">
        <f ca="1">IFERROR(__xludf.DUMMYFUNCTION("""COMPUTED_VALUE"""),45210.6458333333)</f>
        <v>45210.645833333299</v>
      </c>
      <c r="B939" s="14">
        <f ca="1">IFERROR(__xludf.DUMMYFUNCTION("""COMPUTED_VALUE"""),1172.53)</f>
        <v>1172.53</v>
      </c>
      <c r="C939" s="15">
        <f t="shared" ca="1" si="6"/>
        <v>1.5881129786865289E-2</v>
      </c>
      <c r="D939" s="14">
        <f t="shared" ca="1" si="7"/>
        <v>1219.3872000000003</v>
      </c>
      <c r="E939" s="3"/>
      <c r="F939" s="3"/>
    </row>
    <row r="940" spans="1:6" ht="14.25" x14ac:dyDescent="0.2">
      <c r="A940" s="13">
        <f ca="1">IFERROR(__xludf.DUMMYFUNCTION("""COMPUTED_VALUE"""),45211.6458333333)</f>
        <v>45211.645833333299</v>
      </c>
      <c r="B940" s="14">
        <f ca="1">IFERROR(__xludf.DUMMYFUNCTION("""COMPUTED_VALUE"""),1174.7)</f>
        <v>1174.7</v>
      </c>
      <c r="C940" s="15">
        <f t="shared" ca="1" si="6"/>
        <v>1.8506989160191889E-3</v>
      </c>
      <c r="D940" s="14">
        <f t="shared" ca="1" si="7"/>
        <v>1217.3886000000002</v>
      </c>
      <c r="E940" s="3"/>
      <c r="F940" s="3"/>
    </row>
    <row r="941" spans="1:6" ht="14.25" x14ac:dyDescent="0.2">
      <c r="A941" s="13">
        <f ca="1">IFERROR(__xludf.DUMMYFUNCTION("""COMPUTED_VALUE"""),45212.6458333333)</f>
        <v>45212.645833333299</v>
      </c>
      <c r="B941" s="14">
        <f ca="1">IFERROR(__xludf.DUMMYFUNCTION("""COMPUTED_VALUE"""),1174.65)</f>
        <v>1174.6500000000001</v>
      </c>
      <c r="C941" s="15">
        <f t="shared" ca="1" si="6"/>
        <v>-4.2564058908567404E-5</v>
      </c>
      <c r="D941" s="14">
        <f t="shared" ca="1" si="7"/>
        <v>1215.7496000000001</v>
      </c>
      <c r="E941" s="3"/>
      <c r="F941" s="3"/>
    </row>
    <row r="942" spans="1:6" ht="14.25" x14ac:dyDescent="0.2">
      <c r="A942" s="13">
        <f ca="1">IFERROR(__xludf.DUMMYFUNCTION("""COMPUTED_VALUE"""),45215.6458333333)</f>
        <v>45215.645833333299</v>
      </c>
      <c r="B942" s="14">
        <f ca="1">IFERROR(__xludf.DUMMYFUNCTION("""COMPUTED_VALUE"""),1172.03)</f>
        <v>1172.03</v>
      </c>
      <c r="C942" s="15">
        <f t="shared" ca="1" si="6"/>
        <v>-2.230451623888019E-3</v>
      </c>
      <c r="D942" s="14">
        <f t="shared" ca="1" si="7"/>
        <v>1214.3266000000001</v>
      </c>
      <c r="E942" s="3"/>
      <c r="F942" s="3"/>
    </row>
    <row r="943" spans="1:6" ht="14.25" x14ac:dyDescent="0.2">
      <c r="A943" s="13">
        <f ca="1">IFERROR(__xludf.DUMMYFUNCTION("""COMPUTED_VALUE"""),45216.6458333333)</f>
        <v>45216.645833333299</v>
      </c>
      <c r="B943" s="14">
        <f ca="1">IFERROR(__xludf.DUMMYFUNCTION("""COMPUTED_VALUE"""),1177.63)</f>
        <v>1177.6300000000001</v>
      </c>
      <c r="C943" s="15">
        <f t="shared" ca="1" si="6"/>
        <v>4.7780346919448213E-3</v>
      </c>
      <c r="D943" s="14">
        <f t="shared" ca="1" si="7"/>
        <v>1213.1201999999998</v>
      </c>
      <c r="E943" s="3"/>
      <c r="F943" s="3"/>
    </row>
    <row r="944" spans="1:6" ht="14.25" x14ac:dyDescent="0.2">
      <c r="A944" s="13">
        <f ca="1">IFERROR(__xludf.DUMMYFUNCTION("""COMPUTED_VALUE"""),45217.6458333333)</f>
        <v>45217.645833333299</v>
      </c>
      <c r="B944" s="14">
        <f ca="1">IFERROR(__xludf.DUMMYFUNCTION("""COMPUTED_VALUE"""),1162)</f>
        <v>1162</v>
      </c>
      <c r="C944" s="15">
        <f t="shared" ca="1" si="6"/>
        <v>-1.3272420030060461E-2</v>
      </c>
      <c r="D944" s="14">
        <f t="shared" ca="1" si="7"/>
        <v>1211.2646</v>
      </c>
      <c r="E944" s="3"/>
      <c r="F944" s="3"/>
    </row>
    <row r="945" spans="1:6" ht="14.25" x14ac:dyDescent="0.2">
      <c r="A945" s="13">
        <f ca="1">IFERROR(__xludf.DUMMYFUNCTION("""COMPUTED_VALUE"""),45218.6458333333)</f>
        <v>45218.645833333299</v>
      </c>
      <c r="B945" s="14">
        <f ca="1">IFERROR(__xludf.DUMMYFUNCTION("""COMPUTED_VALUE"""),1153.08)</f>
        <v>1153.08</v>
      </c>
      <c r="C945" s="15">
        <f t="shared" ca="1" si="6"/>
        <v>-7.6764199655766641E-3</v>
      </c>
      <c r="D945" s="14">
        <f t="shared" ca="1" si="7"/>
        <v>1209.0875999999998</v>
      </c>
      <c r="E945" s="3"/>
      <c r="F945" s="3"/>
    </row>
    <row r="946" spans="1:6" ht="14.25" x14ac:dyDescent="0.2">
      <c r="A946" s="13">
        <f ca="1">IFERROR(__xludf.DUMMYFUNCTION("""COMPUTED_VALUE"""),45219.6458333333)</f>
        <v>45219.645833333299</v>
      </c>
      <c r="B946" s="14">
        <f ca="1">IFERROR(__xludf.DUMMYFUNCTION("""COMPUTED_VALUE"""),1149.55)</f>
        <v>1149.55</v>
      </c>
      <c r="C946" s="15">
        <f t="shared" ca="1" si="6"/>
        <v>-3.0613660804107434E-3</v>
      </c>
      <c r="D946" s="14">
        <f t="shared" ca="1" si="7"/>
        <v>1206.992</v>
      </c>
      <c r="E946" s="3"/>
      <c r="F946" s="3"/>
    </row>
    <row r="947" spans="1:6" ht="14.25" x14ac:dyDescent="0.2">
      <c r="A947" s="13">
        <f ca="1">IFERROR(__xludf.DUMMYFUNCTION("""COMPUTED_VALUE"""),45222.6458333333)</f>
        <v>45222.645833333299</v>
      </c>
      <c r="B947" s="14">
        <f ca="1">IFERROR(__xludf.DUMMYFUNCTION("""COMPUTED_VALUE"""),1131.6)</f>
        <v>1131.5999999999999</v>
      </c>
      <c r="C947" s="15">
        <f t="shared" ca="1" si="6"/>
        <v>-1.561480579357144E-2</v>
      </c>
      <c r="D947" s="14">
        <f t="shared" ca="1" si="7"/>
        <v>1204.3720000000001</v>
      </c>
      <c r="E947" s="3"/>
      <c r="F947" s="3"/>
    </row>
    <row r="948" spans="1:6" ht="14.25" x14ac:dyDescent="0.2">
      <c r="A948" s="13">
        <f ca="1">IFERROR(__xludf.DUMMYFUNCTION("""COMPUTED_VALUE"""),45224.6458333333)</f>
        <v>45224.645833333299</v>
      </c>
      <c r="B948" s="14">
        <f ca="1">IFERROR(__xludf.DUMMYFUNCTION("""COMPUTED_VALUE"""),1128.97)</f>
        <v>1128.97</v>
      </c>
      <c r="C948" s="15">
        <f t="shared" ca="1" si="6"/>
        <v>-2.3241428066453906E-3</v>
      </c>
      <c r="D948" s="14">
        <f t="shared" ca="1" si="7"/>
        <v>1201.5870000000002</v>
      </c>
      <c r="E948" s="3"/>
      <c r="F948" s="3"/>
    </row>
    <row r="949" spans="1:6" ht="14.25" x14ac:dyDescent="0.2">
      <c r="A949" s="13">
        <f ca="1">IFERROR(__xludf.DUMMYFUNCTION("""COMPUTED_VALUE"""),45225.6458333333)</f>
        <v>45225.645833333299</v>
      </c>
      <c r="B949" s="14">
        <f ca="1">IFERROR(__xludf.DUMMYFUNCTION("""COMPUTED_VALUE"""),1113.25)</f>
        <v>1113.25</v>
      </c>
      <c r="C949" s="15">
        <f t="shared" ca="1" si="6"/>
        <v>-1.3924196391401078E-2</v>
      </c>
      <c r="D949" s="14">
        <f t="shared" ca="1" si="7"/>
        <v>1198.3804</v>
      </c>
      <c r="E949" s="3"/>
      <c r="F949" s="3"/>
    </row>
    <row r="950" spans="1:6" ht="14.25" x14ac:dyDescent="0.2">
      <c r="A950" s="13">
        <f ca="1">IFERROR(__xludf.DUMMYFUNCTION("""COMPUTED_VALUE"""),45226.6458333333)</f>
        <v>45226.645833333299</v>
      </c>
      <c r="B950" s="14">
        <f ca="1">IFERROR(__xludf.DUMMYFUNCTION("""COMPUTED_VALUE"""),1132.9)</f>
        <v>1132.9000000000001</v>
      </c>
      <c r="C950" s="15">
        <f t="shared" ca="1" si="6"/>
        <v>1.7651021783067655E-2</v>
      </c>
      <c r="D950" s="14">
        <f t="shared" ca="1" si="7"/>
        <v>1195.2658000000001</v>
      </c>
      <c r="E950" s="3"/>
      <c r="F950" s="3"/>
    </row>
    <row r="951" spans="1:6" ht="14.25" x14ac:dyDescent="0.2">
      <c r="A951" s="13">
        <f ca="1">IFERROR(__xludf.DUMMYFUNCTION("""COMPUTED_VALUE"""),45229.6458333333)</f>
        <v>45229.645833333299</v>
      </c>
      <c r="B951" s="14">
        <f ca="1">IFERROR(__xludf.DUMMYFUNCTION("""COMPUTED_VALUE"""),1156.25)</f>
        <v>1156.25</v>
      </c>
      <c r="C951" s="15">
        <f t="shared" ca="1" si="6"/>
        <v>2.0610821784800004E-2</v>
      </c>
      <c r="D951" s="14">
        <f t="shared" ca="1" si="7"/>
        <v>1192.6392000000001</v>
      </c>
      <c r="E951" s="3"/>
      <c r="F951" s="3"/>
    </row>
    <row r="952" spans="1:6" ht="14.25" x14ac:dyDescent="0.2">
      <c r="A952" s="13">
        <f ca="1">IFERROR(__xludf.DUMMYFUNCTION("""COMPUTED_VALUE"""),45230.6458333333)</f>
        <v>45230.645833333299</v>
      </c>
      <c r="B952" s="14">
        <f ca="1">IFERROR(__xludf.DUMMYFUNCTION("""COMPUTED_VALUE"""),1143.95)</f>
        <v>1143.95</v>
      </c>
      <c r="C952" s="15">
        <f t="shared" ca="1" si="6"/>
        <v>-1.0637837837837782E-2</v>
      </c>
      <c r="D952" s="14">
        <f t="shared" ca="1" si="7"/>
        <v>1190.1382000000001</v>
      </c>
      <c r="E952" s="3"/>
      <c r="F952" s="3"/>
    </row>
    <row r="953" spans="1:6" ht="14.25" x14ac:dyDescent="0.2">
      <c r="A953" s="13">
        <f ca="1">IFERROR(__xludf.DUMMYFUNCTION("""COMPUTED_VALUE"""),45231.6458333333)</f>
        <v>45231.645833333299</v>
      </c>
      <c r="B953" s="14">
        <f ca="1">IFERROR(__xludf.DUMMYFUNCTION("""COMPUTED_VALUE"""),1148.7)</f>
        <v>1148.7</v>
      </c>
      <c r="C953" s="15">
        <f t="shared" ca="1" si="6"/>
        <v>4.1522793828401294E-3</v>
      </c>
      <c r="D953" s="14">
        <f t="shared" ca="1" si="7"/>
        <v>1187.5442</v>
      </c>
      <c r="E953" s="3"/>
      <c r="F953" s="3"/>
    </row>
    <row r="954" spans="1:6" ht="14.25" x14ac:dyDescent="0.2">
      <c r="A954" s="13">
        <f ca="1">IFERROR(__xludf.DUMMYFUNCTION("""COMPUTED_VALUE"""),45232.6458333333)</f>
        <v>45232.645833333299</v>
      </c>
      <c r="B954" s="14">
        <f ca="1">IFERROR(__xludf.DUMMYFUNCTION("""COMPUTED_VALUE"""),1160.1)</f>
        <v>1160.0999999999999</v>
      </c>
      <c r="C954" s="15">
        <f t="shared" ca="1" si="6"/>
        <v>9.9242622094539712E-3</v>
      </c>
      <c r="D954" s="14">
        <f t="shared" ca="1" si="7"/>
        <v>1185.5462</v>
      </c>
      <c r="E954" s="3"/>
      <c r="F954" s="3"/>
    </row>
    <row r="955" spans="1:6" ht="14.25" x14ac:dyDescent="0.2">
      <c r="A955" s="13">
        <f ca="1">IFERROR(__xludf.DUMMYFUNCTION("""COMPUTED_VALUE"""),45233.6458333333)</f>
        <v>45233.645833333299</v>
      </c>
      <c r="B955" s="14">
        <f ca="1">IFERROR(__xludf.DUMMYFUNCTION("""COMPUTED_VALUE"""),1159.85)</f>
        <v>1159.8499999999999</v>
      </c>
      <c r="C955" s="15">
        <f t="shared" ca="1" si="6"/>
        <v>-2.1549866390824235E-4</v>
      </c>
      <c r="D955" s="14">
        <f t="shared" ca="1" si="7"/>
        <v>1183.5491999999999</v>
      </c>
      <c r="E955" s="3"/>
      <c r="F955" s="3"/>
    </row>
    <row r="956" spans="1:6" ht="14.25" x14ac:dyDescent="0.2">
      <c r="A956" s="13">
        <f ca="1">IFERROR(__xludf.DUMMYFUNCTION("""COMPUTED_VALUE"""),45236.6458333333)</f>
        <v>45236.645833333299</v>
      </c>
      <c r="B956" s="14">
        <f ca="1">IFERROR(__xludf.DUMMYFUNCTION("""COMPUTED_VALUE"""),1169.5)</f>
        <v>1169.5</v>
      </c>
      <c r="C956" s="15">
        <f t="shared" ca="1" si="6"/>
        <v>8.3200413846618027E-3</v>
      </c>
      <c r="D956" s="14">
        <f t="shared" ca="1" si="7"/>
        <v>1181.7171999999998</v>
      </c>
      <c r="E956" s="3"/>
      <c r="F956" s="3"/>
    </row>
    <row r="957" spans="1:6" ht="14.25" x14ac:dyDescent="0.2">
      <c r="A957" s="13">
        <f ca="1">IFERROR(__xludf.DUMMYFUNCTION("""COMPUTED_VALUE"""),45237.6458333333)</f>
        <v>45237.645833333299</v>
      </c>
      <c r="B957" s="14">
        <f ca="1">IFERROR(__xludf.DUMMYFUNCTION("""COMPUTED_VALUE"""),1161.9)</f>
        <v>1161.9000000000001</v>
      </c>
      <c r="C957" s="15">
        <f t="shared" ca="1" si="6"/>
        <v>-6.4985036340315938E-3</v>
      </c>
      <c r="D957" s="14">
        <f t="shared" ca="1" si="7"/>
        <v>1180.1572000000001</v>
      </c>
      <c r="E957" s="3"/>
      <c r="F957" s="3"/>
    </row>
    <row r="958" spans="1:6" ht="14.25" x14ac:dyDescent="0.2">
      <c r="A958" s="13">
        <f ca="1">IFERROR(__xludf.DUMMYFUNCTION("""COMPUTED_VALUE"""),45238.6458333333)</f>
        <v>45238.645833333299</v>
      </c>
      <c r="B958" s="14">
        <f ca="1">IFERROR(__xludf.DUMMYFUNCTION("""COMPUTED_VALUE"""),1167.95)</f>
        <v>1167.95</v>
      </c>
      <c r="C958" s="15">
        <f t="shared" ca="1" si="6"/>
        <v>5.2069885532317617E-3</v>
      </c>
      <c r="D958" s="14">
        <f t="shared" ca="1" si="7"/>
        <v>1178.8325999999997</v>
      </c>
      <c r="E958" s="3"/>
      <c r="F958" s="3"/>
    </row>
    <row r="959" spans="1:6" ht="14.25" x14ac:dyDescent="0.2">
      <c r="A959" s="13">
        <f ca="1">IFERROR(__xludf.DUMMYFUNCTION("""COMPUTED_VALUE"""),45239.6458333333)</f>
        <v>45239.645833333299</v>
      </c>
      <c r="B959" s="14">
        <f ca="1">IFERROR(__xludf.DUMMYFUNCTION("""COMPUTED_VALUE"""),1155.28)</f>
        <v>1155.28</v>
      </c>
      <c r="C959" s="15">
        <f t="shared" ca="1" si="6"/>
        <v>-1.0848067126161265E-2</v>
      </c>
      <c r="D959" s="14">
        <f t="shared" ca="1" si="7"/>
        <v>1177.5005999999998</v>
      </c>
      <c r="E959" s="3"/>
      <c r="F959" s="3"/>
    </row>
    <row r="960" spans="1:6" ht="14.25" x14ac:dyDescent="0.2">
      <c r="A960" s="13">
        <f ca="1">IFERROR(__xludf.DUMMYFUNCTION("""COMPUTED_VALUE"""),45240.6458333333)</f>
        <v>45240.645833333299</v>
      </c>
      <c r="B960" s="14">
        <f ca="1">IFERROR(__xludf.DUMMYFUNCTION("""COMPUTED_VALUE"""),1157.45)</f>
        <v>1157.45</v>
      </c>
      <c r="C960" s="15">
        <f t="shared" ca="1" si="6"/>
        <v>1.8783325254483341E-3</v>
      </c>
      <c r="D960" s="14">
        <f t="shared" ca="1" si="7"/>
        <v>1176.4459999999997</v>
      </c>
      <c r="E960" s="3"/>
      <c r="F960" s="3"/>
    </row>
    <row r="961" spans="1:6" ht="14.25" x14ac:dyDescent="0.2">
      <c r="A961" s="13">
        <f ca="1">IFERROR(__xludf.DUMMYFUNCTION("""COMPUTED_VALUE"""),45243.6458333333)</f>
        <v>45243.645833333299</v>
      </c>
      <c r="B961" s="14">
        <f ca="1">IFERROR(__xludf.DUMMYFUNCTION("""COMPUTED_VALUE"""),1157.3)</f>
        <v>1157.3</v>
      </c>
      <c r="C961" s="15">
        <f t="shared" ca="1" si="6"/>
        <v>-1.2959523089561831E-4</v>
      </c>
      <c r="D961" s="14">
        <f t="shared" ca="1" si="7"/>
        <v>1175.4114</v>
      </c>
      <c r="E961" s="3"/>
      <c r="F961" s="3"/>
    </row>
    <row r="962" spans="1:6" ht="14.25" x14ac:dyDescent="0.2">
      <c r="A962" s="13">
        <f ca="1">IFERROR(__xludf.DUMMYFUNCTION("""COMPUTED_VALUE"""),45245.6458333333)</f>
        <v>45245.645833333299</v>
      </c>
      <c r="B962" s="14">
        <f ca="1">IFERROR(__xludf.DUMMYFUNCTION("""COMPUTED_VALUE"""),1178.22)</f>
        <v>1178.22</v>
      </c>
      <c r="C962" s="15">
        <f t="shared" ca="1" si="6"/>
        <v>1.8076557504536517E-2</v>
      </c>
      <c r="D962" s="14">
        <f t="shared" ca="1" si="7"/>
        <v>1174.9058</v>
      </c>
      <c r="E962" s="3"/>
      <c r="F962" s="3"/>
    </row>
    <row r="963" spans="1:6" ht="14.25" x14ac:dyDescent="0.2">
      <c r="A963" s="13">
        <f ca="1">IFERROR(__xludf.DUMMYFUNCTION("""COMPUTED_VALUE"""),45246.6458333333)</f>
        <v>45246.645833333299</v>
      </c>
      <c r="B963" s="14">
        <f ca="1">IFERROR(__xludf.DUMMYFUNCTION("""COMPUTED_VALUE"""),1180.35)</f>
        <v>1180.3499999999999</v>
      </c>
      <c r="C963" s="15">
        <f t="shared" ca="1" si="6"/>
        <v>1.8078117838773444E-3</v>
      </c>
      <c r="D963" s="14">
        <f t="shared" ca="1" si="7"/>
        <v>1174.3861999999999</v>
      </c>
      <c r="E963" s="3"/>
      <c r="F963" s="3"/>
    </row>
    <row r="964" spans="1:6" ht="14.25" x14ac:dyDescent="0.2">
      <c r="A964" s="13">
        <f ca="1">IFERROR(__xludf.DUMMYFUNCTION("""COMPUTED_VALUE"""),45247.6458333333)</f>
        <v>45247.645833333299</v>
      </c>
      <c r="B964" s="14">
        <f ca="1">IFERROR(__xludf.DUMMYFUNCTION("""COMPUTED_VALUE"""),1177.78)</f>
        <v>1177.78</v>
      </c>
      <c r="C964" s="15">
        <f t="shared" ca="1" si="6"/>
        <v>-2.177320286355644E-3</v>
      </c>
      <c r="D964" s="14">
        <f t="shared" ca="1" si="7"/>
        <v>1173.8347999999999</v>
      </c>
      <c r="E964" s="3"/>
      <c r="F964" s="3"/>
    </row>
    <row r="965" spans="1:6" ht="14.25" x14ac:dyDescent="0.2">
      <c r="A965" s="13">
        <f ca="1">IFERROR(__xludf.DUMMYFUNCTION("""COMPUTED_VALUE"""),45250.6458333333)</f>
        <v>45250.645833333299</v>
      </c>
      <c r="B965" s="14">
        <f ca="1">IFERROR(__xludf.DUMMYFUNCTION("""COMPUTED_VALUE"""),1174.68)</f>
        <v>1174.68</v>
      </c>
      <c r="C965" s="15">
        <f t="shared" ca="1" si="6"/>
        <v>-2.6320705055272731E-3</v>
      </c>
      <c r="D965" s="14">
        <f t="shared" ca="1" si="7"/>
        <v>1173.0924</v>
      </c>
      <c r="E965" s="3"/>
      <c r="F965" s="3"/>
    </row>
    <row r="966" spans="1:6" ht="14.25" x14ac:dyDescent="0.2">
      <c r="A966" s="13">
        <f ca="1">IFERROR(__xludf.DUMMYFUNCTION("""COMPUTED_VALUE"""),45251.6458333333)</f>
        <v>45251.645833333299</v>
      </c>
      <c r="B966" s="14">
        <f ca="1">IFERROR(__xludf.DUMMYFUNCTION("""COMPUTED_VALUE"""),1189.45)</f>
        <v>1189.45</v>
      </c>
      <c r="C966" s="15">
        <f t="shared" ca="1" si="6"/>
        <v>1.2573637075629085E-2</v>
      </c>
      <c r="D966" s="14">
        <f t="shared" ca="1" si="7"/>
        <v>1172.5944</v>
      </c>
      <c r="E966" s="3"/>
      <c r="F966" s="3"/>
    </row>
    <row r="967" spans="1:6" ht="14.25" x14ac:dyDescent="0.2">
      <c r="A967" s="13">
        <f ca="1">IFERROR(__xludf.DUMMYFUNCTION("""COMPUTED_VALUE"""),45252.6458333333)</f>
        <v>45252.645833333299</v>
      </c>
      <c r="B967" s="14">
        <f ca="1">IFERROR(__xludf.DUMMYFUNCTION("""COMPUTED_VALUE"""),1194.1)</f>
        <v>1194.0999999999999</v>
      </c>
      <c r="C967" s="15">
        <f t="shared" ca="1" si="6"/>
        <v>3.9093698768337681E-3</v>
      </c>
      <c r="D967" s="14">
        <f t="shared" ca="1" si="7"/>
        <v>1172.1563999999996</v>
      </c>
      <c r="E967" s="3"/>
      <c r="F967" s="3"/>
    </row>
    <row r="968" spans="1:6" ht="14.25" x14ac:dyDescent="0.2">
      <c r="A968" s="13">
        <f ca="1">IFERROR(__xludf.DUMMYFUNCTION("""COMPUTED_VALUE"""),45253.6458333333)</f>
        <v>45253.645833333299</v>
      </c>
      <c r="B968" s="14">
        <f ca="1">IFERROR(__xludf.DUMMYFUNCTION("""COMPUTED_VALUE"""),1197.75)</f>
        <v>1197.75</v>
      </c>
      <c r="C968" s="15">
        <f t="shared" ca="1" si="6"/>
        <v>3.0566954191442175E-3</v>
      </c>
      <c r="D968" s="14">
        <f t="shared" ca="1" si="7"/>
        <v>1171.6293999999998</v>
      </c>
      <c r="E968" s="3"/>
      <c r="F968" s="3"/>
    </row>
    <row r="969" spans="1:6" ht="14.25" x14ac:dyDescent="0.2">
      <c r="A969" s="13">
        <f ca="1">IFERROR(__xludf.DUMMYFUNCTION("""COMPUTED_VALUE"""),45254.6458333333)</f>
        <v>45254.645833333299</v>
      </c>
      <c r="B969" s="14">
        <f ca="1">IFERROR(__xludf.DUMMYFUNCTION("""COMPUTED_VALUE"""),1196.95)</f>
        <v>1196.95</v>
      </c>
      <c r="C969" s="15">
        <f t="shared" ca="1" si="6"/>
        <v>-6.6791901481944027E-4</v>
      </c>
      <c r="D969" s="14">
        <f t="shared" ca="1" si="7"/>
        <v>1170.8223999999996</v>
      </c>
      <c r="E969" s="3"/>
      <c r="F969" s="3"/>
    </row>
    <row r="970" spans="1:6" ht="14.25" x14ac:dyDescent="0.2">
      <c r="A970" s="13">
        <f ca="1">IFERROR(__xludf.DUMMYFUNCTION("""COMPUTED_VALUE"""),45258.6458333333)</f>
        <v>45258.645833333299</v>
      </c>
      <c r="B970" s="14">
        <f ca="1">IFERROR(__xludf.DUMMYFUNCTION("""COMPUTED_VALUE"""),1197.2)</f>
        <v>1197.2</v>
      </c>
      <c r="C970" s="15">
        <f t="shared" ca="1" si="6"/>
        <v>2.0886419649945864E-4</v>
      </c>
      <c r="D970" s="14">
        <f t="shared" ca="1" si="7"/>
        <v>1170.3777999999995</v>
      </c>
      <c r="E970" s="3"/>
      <c r="F970" s="3"/>
    </row>
    <row r="971" spans="1:6" ht="14.25" x14ac:dyDescent="0.2">
      <c r="A971" s="13">
        <f ca="1">IFERROR(__xludf.DUMMYFUNCTION("""COMPUTED_VALUE"""),45259.6458333333)</f>
        <v>45259.645833333299</v>
      </c>
      <c r="B971" s="14">
        <f ca="1">IFERROR(__xludf.DUMMYFUNCTION("""COMPUTED_VALUE"""),1200.35)</f>
        <v>1200.3499999999999</v>
      </c>
      <c r="C971" s="15">
        <f t="shared" ca="1" si="6"/>
        <v>2.6311393250917359E-3</v>
      </c>
      <c r="D971" s="14">
        <f t="shared" ca="1" si="7"/>
        <v>1169.8741999999995</v>
      </c>
      <c r="E971" s="3"/>
      <c r="F971" s="3"/>
    </row>
    <row r="972" spans="1:6" ht="14.25" x14ac:dyDescent="0.2">
      <c r="A972" s="13">
        <f ca="1">IFERROR(__xludf.DUMMYFUNCTION("""COMPUTED_VALUE"""),45260.6458333333)</f>
        <v>45260.645833333299</v>
      </c>
      <c r="B972" s="14">
        <f ca="1">IFERROR(__xludf.DUMMYFUNCTION("""COMPUTED_VALUE"""),1188.72)</f>
        <v>1188.72</v>
      </c>
      <c r="C972" s="15">
        <f t="shared" ca="1" si="6"/>
        <v>-9.6888407547797151E-3</v>
      </c>
      <c r="D972" s="14">
        <f t="shared" ca="1" si="7"/>
        <v>1169.1155999999996</v>
      </c>
      <c r="E972" s="3"/>
      <c r="F972" s="3"/>
    </row>
    <row r="973" spans="1:6" ht="14.25" x14ac:dyDescent="0.2">
      <c r="A973" s="13">
        <f ca="1">IFERROR(__xludf.DUMMYFUNCTION("""COMPUTED_VALUE"""),45261.6458333333)</f>
        <v>45261.645833333299</v>
      </c>
      <c r="B973" s="14">
        <f ca="1">IFERROR(__xludf.DUMMYFUNCTION("""COMPUTED_VALUE"""),1197.15)</f>
        <v>1197.1500000000001</v>
      </c>
      <c r="C973" s="15">
        <f t="shared" ca="1" si="6"/>
        <v>7.0916616192207016E-3</v>
      </c>
      <c r="D973" s="14">
        <f t="shared" ca="1" si="7"/>
        <v>1168.4799999999998</v>
      </c>
      <c r="E973" s="3"/>
      <c r="F973" s="3"/>
    </row>
    <row r="974" spans="1:6" ht="14.25" x14ac:dyDescent="0.2">
      <c r="A974" s="13">
        <f ca="1">IFERROR(__xludf.DUMMYFUNCTION("""COMPUTED_VALUE"""),45264.6458333333)</f>
        <v>45264.645833333299</v>
      </c>
      <c r="B974" s="14">
        <f ca="1">IFERROR(__xludf.DUMMYFUNCTION("""COMPUTED_VALUE"""),1210.1)</f>
        <v>1210.0999999999999</v>
      </c>
      <c r="C974" s="15">
        <f t="shared" ca="1" si="6"/>
        <v>1.0817357891659274E-2</v>
      </c>
      <c r="D974" s="14">
        <f t="shared" ca="1" si="7"/>
        <v>1168.3175999999996</v>
      </c>
      <c r="E974" s="3"/>
      <c r="F974" s="3"/>
    </row>
    <row r="975" spans="1:6" ht="14.25" x14ac:dyDescent="0.2">
      <c r="A975" s="13">
        <f ca="1">IFERROR(__xludf.DUMMYFUNCTION("""COMPUTED_VALUE"""),45265.6458333333)</f>
        <v>45265.645833333299</v>
      </c>
      <c r="B975" s="14">
        <f ca="1">IFERROR(__xludf.DUMMYFUNCTION("""COMPUTED_VALUE"""),1218.88)</f>
        <v>1218.8800000000001</v>
      </c>
      <c r="C975" s="15">
        <f t="shared" ca="1" si="6"/>
        <v>7.2555987108504638E-3</v>
      </c>
      <c r="D975" s="14">
        <f t="shared" ca="1" si="7"/>
        <v>1168.8735999999997</v>
      </c>
      <c r="E975" s="3"/>
      <c r="F975" s="3"/>
    </row>
    <row r="976" spans="1:6" ht="14.25" x14ac:dyDescent="0.2">
      <c r="A976" s="13">
        <f ca="1">IFERROR(__xludf.DUMMYFUNCTION("""COMPUTED_VALUE"""),45266.6458333333)</f>
        <v>45266.645833333299</v>
      </c>
      <c r="B976" s="14">
        <f ca="1">IFERROR(__xludf.DUMMYFUNCTION("""COMPUTED_VALUE"""),1230.55)</f>
        <v>1230.55</v>
      </c>
      <c r="C976" s="15">
        <f t="shared" ca="1" si="6"/>
        <v>9.5743633499605352E-3</v>
      </c>
      <c r="D976" s="14">
        <f t="shared" ca="1" si="7"/>
        <v>1169.8365999999996</v>
      </c>
      <c r="E976" s="3"/>
      <c r="F976" s="3"/>
    </row>
    <row r="977" spans="1:6" ht="14.25" x14ac:dyDescent="0.2">
      <c r="A977" s="13">
        <f ca="1">IFERROR(__xludf.DUMMYFUNCTION("""COMPUTED_VALUE"""),45267.6458333333)</f>
        <v>45267.645833333299</v>
      </c>
      <c r="B977" s="14">
        <f ca="1">IFERROR(__xludf.DUMMYFUNCTION("""COMPUTED_VALUE"""),1228.53)</f>
        <v>1228.53</v>
      </c>
      <c r="C977" s="15">
        <f t="shared" ca="1" si="6"/>
        <v>-1.6415423997399037E-3</v>
      </c>
      <c r="D977" s="14">
        <f t="shared" ca="1" si="7"/>
        <v>1170.8577999999998</v>
      </c>
      <c r="E977" s="3"/>
      <c r="F977" s="3"/>
    </row>
    <row r="978" spans="1:6" ht="14.25" x14ac:dyDescent="0.2">
      <c r="A978" s="13">
        <f ca="1">IFERROR(__xludf.DUMMYFUNCTION("""COMPUTED_VALUE"""),45268.6458333333)</f>
        <v>45268.645833333299</v>
      </c>
      <c r="B978" s="14">
        <f ca="1">IFERROR(__xludf.DUMMYFUNCTION("""COMPUTED_VALUE"""),1227.88)</f>
        <v>1227.8800000000001</v>
      </c>
      <c r="C978" s="15">
        <f t="shared" ca="1" si="6"/>
        <v>-5.2908760876813066E-4</v>
      </c>
      <c r="D978" s="14">
        <f t="shared" ca="1" si="7"/>
        <v>1172.0109999999995</v>
      </c>
      <c r="E978" s="3"/>
      <c r="F978" s="3"/>
    </row>
    <row r="979" spans="1:6" ht="14.25" x14ac:dyDescent="0.2">
      <c r="A979" s="13">
        <f ca="1">IFERROR(__xludf.DUMMYFUNCTION("""COMPUTED_VALUE"""),45271.6458333333)</f>
        <v>45271.645833333299</v>
      </c>
      <c r="B979" s="14">
        <f ca="1">IFERROR(__xludf.DUMMYFUNCTION("""COMPUTED_VALUE"""),1229.68)</f>
        <v>1229.68</v>
      </c>
      <c r="C979" s="15">
        <f t="shared" ca="1" si="6"/>
        <v>1.465941297195128E-3</v>
      </c>
      <c r="D979" s="14">
        <f t="shared" ca="1" si="7"/>
        <v>1173.1795999999997</v>
      </c>
      <c r="E979" s="3"/>
      <c r="F979" s="3"/>
    </row>
    <row r="980" spans="1:6" ht="14.25" x14ac:dyDescent="0.2">
      <c r="A980" s="13">
        <f ca="1">IFERROR(__xludf.DUMMYFUNCTION("""COMPUTED_VALUE"""),45272.6458333333)</f>
        <v>45272.645833333299</v>
      </c>
      <c r="B980" s="14">
        <f ca="1">IFERROR(__xludf.DUMMYFUNCTION("""COMPUTED_VALUE"""),1212.03)</f>
        <v>1212.03</v>
      </c>
      <c r="C980" s="15">
        <f t="shared" ca="1" si="6"/>
        <v>-1.4353327695010187E-2</v>
      </c>
      <c r="D980" s="14">
        <f t="shared" ca="1" si="7"/>
        <v>1173.7311999999997</v>
      </c>
      <c r="E980" s="3"/>
      <c r="F980" s="3"/>
    </row>
    <row r="981" spans="1:6" ht="14.25" x14ac:dyDescent="0.2">
      <c r="A981" s="13">
        <f ca="1">IFERROR(__xludf.DUMMYFUNCTION("""COMPUTED_VALUE"""),45273.6458333333)</f>
        <v>45273.645833333299</v>
      </c>
      <c r="B981" s="14">
        <f ca="1">IFERROR(__xludf.DUMMYFUNCTION("""COMPUTED_VALUE"""),1216.97)</f>
        <v>1216.97</v>
      </c>
      <c r="C981" s="15">
        <f t="shared" ca="1" si="6"/>
        <v>4.0758067044546209E-3</v>
      </c>
      <c r="D981" s="14">
        <f t="shared" ca="1" si="7"/>
        <v>1174.7295999999997</v>
      </c>
      <c r="E981" s="3"/>
      <c r="F981" s="3"/>
    </row>
    <row r="982" spans="1:6" ht="14.25" x14ac:dyDescent="0.2">
      <c r="A982" s="13">
        <f ca="1">IFERROR(__xludf.DUMMYFUNCTION("""COMPUTED_VALUE"""),45274.6458333333)</f>
        <v>45274.645833333299</v>
      </c>
      <c r="B982" s="14">
        <f ca="1">IFERROR(__xludf.DUMMYFUNCTION("""COMPUTED_VALUE"""),1232.08)</f>
        <v>1232.08</v>
      </c>
      <c r="C982" s="15">
        <f t="shared" ca="1" si="6"/>
        <v>1.2416082565716469E-2</v>
      </c>
      <c r="D982" s="14">
        <f t="shared" ca="1" si="7"/>
        <v>1175.9211999999998</v>
      </c>
      <c r="E982" s="3"/>
      <c r="F982" s="3"/>
    </row>
    <row r="983" spans="1:6" ht="14.25" x14ac:dyDescent="0.2">
      <c r="A983" s="13">
        <f ca="1">IFERROR(__xludf.DUMMYFUNCTION("""COMPUTED_VALUE"""),45275.6458333333)</f>
        <v>45275.645833333299</v>
      </c>
      <c r="B983" s="14">
        <f ca="1">IFERROR(__xludf.DUMMYFUNCTION("""COMPUTED_VALUE"""),1247.8)</f>
        <v>1247.8</v>
      </c>
      <c r="C983" s="15">
        <f t="shared" ca="1" si="6"/>
        <v>1.275891175897681E-2</v>
      </c>
      <c r="D983" s="14">
        <f t="shared" ca="1" si="7"/>
        <v>1177.6955999999998</v>
      </c>
      <c r="E983" s="3"/>
      <c r="F983" s="3"/>
    </row>
    <row r="984" spans="1:6" ht="14.25" x14ac:dyDescent="0.2">
      <c r="A984" s="13">
        <f ca="1">IFERROR(__xludf.DUMMYFUNCTION("""COMPUTED_VALUE"""),45278.6458333333)</f>
        <v>45278.645833333299</v>
      </c>
      <c r="B984" s="14">
        <f ca="1">IFERROR(__xludf.DUMMYFUNCTION("""COMPUTED_VALUE"""),1260.5)</f>
        <v>1260.5</v>
      </c>
      <c r="C984" s="15">
        <f t="shared" ca="1" si="6"/>
        <v>1.017791312710381E-2</v>
      </c>
      <c r="D984" s="14">
        <f t="shared" ca="1" si="7"/>
        <v>1179.7639999999999</v>
      </c>
      <c r="E984" s="3"/>
      <c r="F984" s="3"/>
    </row>
    <row r="985" spans="1:6" ht="14.25" x14ac:dyDescent="0.2">
      <c r="A985" s="13">
        <f ca="1">IFERROR(__xludf.DUMMYFUNCTION("""COMPUTED_VALUE"""),45279.6458333333)</f>
        <v>45279.645833333299</v>
      </c>
      <c r="B985" s="14">
        <f ca="1">IFERROR(__xludf.DUMMYFUNCTION("""COMPUTED_VALUE"""),1279.05)</f>
        <v>1279.05</v>
      </c>
      <c r="C985" s="15">
        <f t="shared" ca="1" si="6"/>
        <v>1.4716382387941263E-2</v>
      </c>
      <c r="D985" s="14">
        <f t="shared" ca="1" si="7"/>
        <v>1182.2039999999997</v>
      </c>
      <c r="E985" s="3"/>
      <c r="F985" s="3"/>
    </row>
    <row r="986" spans="1:6" ht="14.25" x14ac:dyDescent="0.2">
      <c r="A986" s="13">
        <f ca="1">IFERROR(__xludf.DUMMYFUNCTION("""COMPUTED_VALUE"""),45280.6458333333)</f>
        <v>45280.645833333299</v>
      </c>
      <c r="B986" s="14">
        <f ca="1">IFERROR(__xludf.DUMMYFUNCTION("""COMPUTED_VALUE"""),1263.58)</f>
        <v>1263.58</v>
      </c>
      <c r="C986" s="15">
        <f t="shared" ca="1" si="6"/>
        <v>-1.2094914194128448E-2</v>
      </c>
      <c r="D986" s="14">
        <f t="shared" ca="1" si="7"/>
        <v>1184.2955999999999</v>
      </c>
      <c r="E986" s="3"/>
      <c r="F986" s="3"/>
    </row>
    <row r="987" spans="1:6" ht="14.25" x14ac:dyDescent="0.2">
      <c r="A987" s="13">
        <f ca="1">IFERROR(__xludf.DUMMYFUNCTION("""COMPUTED_VALUE"""),45281.6458333333)</f>
        <v>45281.645833333299</v>
      </c>
      <c r="B987" s="14">
        <f ca="1">IFERROR(__xludf.DUMMYFUNCTION("""COMPUTED_VALUE"""),1281.28)</f>
        <v>1281.28</v>
      </c>
      <c r="C987" s="15">
        <f t="shared" ca="1" si="6"/>
        <v>1.4007819053799553E-2</v>
      </c>
      <c r="D987" s="14">
        <f t="shared" ca="1" si="7"/>
        <v>1186.9386</v>
      </c>
      <c r="E987" s="3"/>
      <c r="F987" s="3"/>
    </row>
    <row r="988" spans="1:6" ht="14.25" x14ac:dyDescent="0.2">
      <c r="A988" s="13">
        <f ca="1">IFERROR(__xludf.DUMMYFUNCTION("""COMPUTED_VALUE"""),45282.6458333333)</f>
        <v>45282.645833333299</v>
      </c>
      <c r="B988" s="14">
        <f ca="1">IFERROR(__xludf.DUMMYFUNCTION("""COMPUTED_VALUE"""),1282.53)</f>
        <v>1282.53</v>
      </c>
      <c r="C988" s="15">
        <f t="shared" ca="1" si="6"/>
        <v>9.7558691308696766E-4</v>
      </c>
      <c r="D988" s="14">
        <f t="shared" ca="1" si="7"/>
        <v>1189.5051999999998</v>
      </c>
      <c r="E988" s="3"/>
      <c r="F988" s="3"/>
    </row>
    <row r="989" spans="1:6" ht="14.25" x14ac:dyDescent="0.2">
      <c r="A989" s="13">
        <f ca="1">IFERROR(__xludf.DUMMYFUNCTION("""COMPUTED_VALUE"""),45286.6458333333)</f>
        <v>45286.645833333299</v>
      </c>
      <c r="B989" s="14">
        <f ca="1">IFERROR(__xludf.DUMMYFUNCTION("""COMPUTED_VALUE"""),1289.03)</f>
        <v>1289.03</v>
      </c>
      <c r="C989" s="15">
        <f t="shared" ca="1" si="6"/>
        <v>5.0681075686338506E-3</v>
      </c>
      <c r="D989" s="14">
        <f t="shared" ca="1" si="7"/>
        <v>1191.8352</v>
      </c>
      <c r="E989" s="3"/>
      <c r="F989" s="3"/>
    </row>
    <row r="990" spans="1:6" ht="14.25" x14ac:dyDescent="0.2">
      <c r="A990" s="13">
        <f ca="1">IFERROR(__xludf.DUMMYFUNCTION("""COMPUTED_VALUE"""),45287.6458333333)</f>
        <v>45287.645833333299</v>
      </c>
      <c r="B990" s="14">
        <f ca="1">IFERROR(__xludf.DUMMYFUNCTION("""COMPUTED_VALUE"""),1293.43)</f>
        <v>1293.43</v>
      </c>
      <c r="C990" s="15">
        <f t="shared" ca="1" si="6"/>
        <v>3.4134193928769818E-3</v>
      </c>
      <c r="D990" s="14">
        <f t="shared" ca="1" si="7"/>
        <v>1194.2097999999999</v>
      </c>
      <c r="E990" s="3"/>
      <c r="F990" s="3"/>
    </row>
    <row r="991" spans="1:6" ht="14.25" x14ac:dyDescent="0.2">
      <c r="A991" s="13">
        <f ca="1">IFERROR(__xludf.DUMMYFUNCTION("""COMPUTED_VALUE"""),45288.6458333333)</f>
        <v>45288.645833333299</v>
      </c>
      <c r="B991" s="14">
        <f ca="1">IFERROR(__xludf.DUMMYFUNCTION("""COMPUTED_VALUE"""),1302.78)</f>
        <v>1302.78</v>
      </c>
      <c r="C991" s="15">
        <f t="shared" ca="1" si="6"/>
        <v>7.2288411433165667E-3</v>
      </c>
      <c r="D991" s="14">
        <f t="shared" ca="1" si="7"/>
        <v>1196.7724000000001</v>
      </c>
      <c r="E991" s="3"/>
      <c r="F991" s="3"/>
    </row>
    <row r="992" spans="1:6" ht="14.25" x14ac:dyDescent="0.2">
      <c r="A992" s="13">
        <f ca="1">IFERROR(__xludf.DUMMYFUNCTION("""COMPUTED_VALUE"""),45289.6458333333)</f>
        <v>45289.645833333299</v>
      </c>
      <c r="B992" s="14">
        <f ca="1">IFERROR(__xludf.DUMMYFUNCTION("""COMPUTED_VALUE"""),1292.47)</f>
        <v>1292.47</v>
      </c>
      <c r="C992" s="15">
        <f t="shared" ca="1" si="6"/>
        <v>-7.9138457759559966E-3</v>
      </c>
      <c r="D992" s="14">
        <f t="shared" ca="1" si="7"/>
        <v>1199.1812</v>
      </c>
      <c r="E992" s="3"/>
      <c r="F992" s="3"/>
    </row>
    <row r="993" spans="1:6" ht="14.25" x14ac:dyDescent="0.2">
      <c r="A993" s="13">
        <f ca="1">IFERROR(__xludf.DUMMYFUNCTION("""COMPUTED_VALUE"""),45292.6458333333)</f>
        <v>45292.645833333299</v>
      </c>
      <c r="B993" s="14">
        <f ca="1">IFERROR(__xludf.DUMMYFUNCTION("""COMPUTED_VALUE"""),1295.13)</f>
        <v>1295.1300000000001</v>
      </c>
      <c r="C993" s="15">
        <f t="shared" ca="1" si="6"/>
        <v>2.0580748489327227E-3</v>
      </c>
      <c r="D993" s="14">
        <f t="shared" ca="1" si="7"/>
        <v>1201.5311999999999</v>
      </c>
      <c r="E993" s="3"/>
      <c r="F993" s="3"/>
    </row>
    <row r="994" spans="1:6" ht="14.25" x14ac:dyDescent="0.2">
      <c r="A994" s="13">
        <f ca="1">IFERROR(__xludf.DUMMYFUNCTION("""COMPUTED_VALUE"""),45293.6458333333)</f>
        <v>45293.645833333299</v>
      </c>
      <c r="B994" s="14">
        <f ca="1">IFERROR(__xludf.DUMMYFUNCTION("""COMPUTED_VALUE"""),1305.85)</f>
        <v>1305.8499999999999</v>
      </c>
      <c r="C994" s="15">
        <f t="shared" ca="1" si="6"/>
        <v>8.2771613660403975E-3</v>
      </c>
      <c r="D994" s="14">
        <f t="shared" ca="1" si="7"/>
        <v>1204.4081999999999</v>
      </c>
      <c r="E994" s="3"/>
      <c r="F994" s="3"/>
    </row>
    <row r="995" spans="1:6" ht="14.25" x14ac:dyDescent="0.2">
      <c r="A995" s="13">
        <f ca="1">IFERROR(__xludf.DUMMYFUNCTION("""COMPUTED_VALUE"""),45294.6458333333)</f>
        <v>45294.645833333299</v>
      </c>
      <c r="B995" s="14">
        <f ca="1">IFERROR(__xludf.DUMMYFUNCTION("""COMPUTED_VALUE"""),1291.65)</f>
        <v>1291.6500000000001</v>
      </c>
      <c r="C995" s="15">
        <f t="shared" ca="1" si="6"/>
        <v>-1.0874143278324366E-2</v>
      </c>
      <c r="D995" s="14">
        <f t="shared" ca="1" si="7"/>
        <v>1207.1796000000002</v>
      </c>
      <c r="E995" s="3"/>
      <c r="F995" s="3"/>
    </row>
    <row r="996" spans="1:6" ht="14.25" x14ac:dyDescent="0.2">
      <c r="A996" s="13">
        <f ca="1">IFERROR(__xludf.DUMMYFUNCTION("""COMPUTED_VALUE"""),45295.6458333333)</f>
        <v>45295.645833333299</v>
      </c>
      <c r="B996" s="14">
        <f ca="1">IFERROR(__xludf.DUMMYFUNCTION("""COMPUTED_VALUE"""),1298.33)</f>
        <v>1298.33</v>
      </c>
      <c r="C996" s="15">
        <f t="shared" ca="1" si="6"/>
        <v>5.1716796345757654E-3</v>
      </c>
      <c r="D996" s="14">
        <f t="shared" ca="1" si="7"/>
        <v>1210.1552000000001</v>
      </c>
      <c r="E996" s="3"/>
      <c r="F996" s="3"/>
    </row>
    <row r="997" spans="1:6" ht="14.25" x14ac:dyDescent="0.2">
      <c r="A997" s="13">
        <f ca="1">IFERROR(__xludf.DUMMYFUNCTION("""COMPUTED_VALUE"""),45296.6458333333)</f>
        <v>45296.645833333299</v>
      </c>
      <c r="B997" s="14">
        <f ca="1">IFERROR(__xludf.DUMMYFUNCTION("""COMPUTED_VALUE"""),1303.85)</f>
        <v>1303.8499999999999</v>
      </c>
      <c r="C997" s="15">
        <f t="shared" ca="1" si="6"/>
        <v>4.2516155368819142E-3</v>
      </c>
      <c r="D997" s="14">
        <f t="shared" ca="1" si="7"/>
        <v>1213.6002000000001</v>
      </c>
      <c r="E997" s="3"/>
      <c r="F997" s="3"/>
    </row>
    <row r="998" spans="1:6" ht="14.25" x14ac:dyDescent="0.2">
      <c r="A998" s="13">
        <f ca="1">IFERROR(__xludf.DUMMYFUNCTION("""COMPUTED_VALUE"""),45299.6458333333)</f>
        <v>45299.645833333299</v>
      </c>
      <c r="B998" s="14">
        <f ca="1">IFERROR(__xludf.DUMMYFUNCTION("""COMPUTED_VALUE"""),1293.68)</f>
        <v>1293.68</v>
      </c>
      <c r="C998" s="15">
        <f t="shared" ca="1" si="6"/>
        <v>-7.7999769912181494E-3</v>
      </c>
      <c r="D998" s="14">
        <f t="shared" ca="1" si="7"/>
        <v>1216.8944000000001</v>
      </c>
      <c r="E998" s="3"/>
      <c r="F998" s="3"/>
    </row>
    <row r="999" spans="1:6" ht="14.25" x14ac:dyDescent="0.2">
      <c r="A999" s="13">
        <f ca="1">IFERROR(__xludf.DUMMYFUNCTION("""COMPUTED_VALUE"""),45300.6458333333)</f>
        <v>45300.645833333299</v>
      </c>
      <c r="B999" s="14">
        <f ca="1">IFERROR(__xludf.DUMMYFUNCTION("""COMPUTED_VALUE"""),1290.25)</f>
        <v>1290.25</v>
      </c>
      <c r="C999" s="15">
        <f t="shared" ca="1" si="6"/>
        <v>-2.6513511842186643E-3</v>
      </c>
      <c r="D999" s="14">
        <f t="shared" ca="1" si="7"/>
        <v>1220.4344000000001</v>
      </c>
      <c r="E999" s="3"/>
      <c r="F999" s="3"/>
    </row>
    <row r="1000" spans="1:6" ht="14.25" x14ac:dyDescent="0.2">
      <c r="A1000" s="13">
        <f ca="1">IFERROR(__xludf.DUMMYFUNCTION("""COMPUTED_VALUE"""),45301.6458333333)</f>
        <v>45301.645833333299</v>
      </c>
      <c r="B1000" s="14">
        <f ca="1">IFERROR(__xludf.DUMMYFUNCTION("""COMPUTED_VALUE"""),1325.05)</f>
        <v>1325.05</v>
      </c>
      <c r="C1000" s="15">
        <f t="shared" ca="1" si="6"/>
        <v>2.6971517147839519E-2</v>
      </c>
      <c r="D1000" s="14">
        <f t="shared" ca="1" si="7"/>
        <v>1224.2774000000002</v>
      </c>
      <c r="E1000" s="3"/>
      <c r="F1000" s="3"/>
    </row>
    <row r="1001" spans="1:6" ht="14.25" x14ac:dyDescent="0.2">
      <c r="A1001" s="13">
        <f ca="1">IFERROR(__xludf.DUMMYFUNCTION("""COMPUTED_VALUE"""),45302.6458333333)</f>
        <v>45302.645833333299</v>
      </c>
      <c r="B1001" s="14">
        <f ca="1">IFERROR(__xludf.DUMMYFUNCTION("""COMPUTED_VALUE"""),1359.9)</f>
        <v>1359.9</v>
      </c>
      <c r="C1001" s="15">
        <f t="shared" ca="1" si="6"/>
        <v>2.6300894305875344E-2</v>
      </c>
      <c r="D1001" s="14">
        <f t="shared" ca="1" si="7"/>
        <v>1228.3504</v>
      </c>
      <c r="E1001" s="3"/>
      <c r="F1001" s="3"/>
    </row>
    <row r="1002" spans="1:6" ht="14.25" x14ac:dyDescent="0.2">
      <c r="A1002" s="13">
        <f ca="1">IFERROR(__xludf.DUMMYFUNCTION("""COMPUTED_VALUE"""),45303.6458333333)</f>
        <v>45303.645833333299</v>
      </c>
      <c r="B1002" s="14">
        <f ca="1">IFERROR(__xludf.DUMMYFUNCTION("""COMPUTED_VALUE"""),1370.73)</f>
        <v>1370.73</v>
      </c>
      <c r="C1002" s="15">
        <f t="shared" ca="1" si="6"/>
        <v>7.9638208691814594E-3</v>
      </c>
      <c r="D1002" s="14">
        <f t="shared" ca="1" si="7"/>
        <v>1232.8860000000004</v>
      </c>
      <c r="E1002" s="3"/>
      <c r="F1002" s="3"/>
    </row>
    <row r="1003" spans="1:6" ht="14.25" x14ac:dyDescent="0.2">
      <c r="A1003" s="13">
        <f ca="1">IFERROR(__xludf.DUMMYFUNCTION("""COMPUTED_VALUE"""),45306.6458333333)</f>
        <v>45306.645833333299</v>
      </c>
      <c r="B1003" s="14">
        <f ca="1">IFERROR(__xludf.DUMMYFUNCTION("""COMPUTED_VALUE"""),1394.13)</f>
        <v>1394.13</v>
      </c>
      <c r="C1003" s="15">
        <f t="shared" ca="1" si="6"/>
        <v>1.7071195640279369E-2</v>
      </c>
      <c r="D1003" s="14">
        <f t="shared" ca="1" si="7"/>
        <v>1237.7946000000002</v>
      </c>
      <c r="E1003" s="3"/>
      <c r="F1003" s="3"/>
    </row>
    <row r="1004" spans="1:6" ht="14.25" x14ac:dyDescent="0.2">
      <c r="A1004" s="13">
        <f ca="1">IFERROR(__xludf.DUMMYFUNCTION("""COMPUTED_VALUE"""),45307.6458333333)</f>
        <v>45307.645833333299</v>
      </c>
      <c r="B1004" s="14">
        <f ca="1">IFERROR(__xludf.DUMMYFUNCTION("""COMPUTED_VALUE"""),1374.63)</f>
        <v>1374.63</v>
      </c>
      <c r="C1004" s="15">
        <f t="shared" ca="1" si="6"/>
        <v>-1.3987217834778631E-2</v>
      </c>
      <c r="D1004" s="14">
        <f t="shared" ca="1" si="7"/>
        <v>1242.0852000000002</v>
      </c>
      <c r="E1004" s="3"/>
      <c r="F1004" s="3"/>
    </row>
    <row r="1005" spans="1:6" ht="14.25" x14ac:dyDescent="0.2">
      <c r="A1005" s="13">
        <f ca="1">IFERROR(__xludf.DUMMYFUNCTION("""COMPUTED_VALUE"""),45308.6458333333)</f>
        <v>45308.645833333299</v>
      </c>
      <c r="B1005" s="14">
        <f ca="1">IFERROR(__xludf.DUMMYFUNCTION("""COMPUTED_VALUE"""),1361.58)</f>
        <v>1361.58</v>
      </c>
      <c r="C1005" s="15">
        <f t="shared" ca="1" si="6"/>
        <v>-9.493463695685489E-3</v>
      </c>
      <c r="D1005" s="14">
        <f t="shared" ca="1" si="7"/>
        <v>1246.1198000000002</v>
      </c>
      <c r="E1005" s="3"/>
      <c r="F1005" s="3"/>
    </row>
    <row r="1006" spans="1:6" ht="14.25" x14ac:dyDescent="0.2">
      <c r="A1006" s="13">
        <f ca="1">IFERROR(__xludf.DUMMYFUNCTION("""COMPUTED_VALUE"""),45309.6458333333)</f>
        <v>45309.645833333299</v>
      </c>
      <c r="B1006" s="14">
        <f ca="1">IFERROR(__xludf.DUMMYFUNCTION("""COMPUTED_VALUE"""),1367.95)</f>
        <v>1367.95</v>
      </c>
      <c r="C1006" s="15">
        <f t="shared" ca="1" si="6"/>
        <v>4.6783883429546425E-3</v>
      </c>
      <c r="D1006" s="14">
        <f t="shared" ca="1" si="7"/>
        <v>1250.0888</v>
      </c>
      <c r="E1006" s="3"/>
      <c r="F1006" s="3"/>
    </row>
    <row r="1007" spans="1:6" ht="14.25" x14ac:dyDescent="0.2">
      <c r="A1007" s="13">
        <f ca="1">IFERROR(__xludf.DUMMYFUNCTION("""COMPUTED_VALUE"""),45310.6458333333)</f>
        <v>45310.645833333299</v>
      </c>
      <c r="B1007" s="14">
        <f ca="1">IFERROR(__xludf.DUMMYFUNCTION("""COMPUTED_VALUE"""),1367.45)</f>
        <v>1367.45</v>
      </c>
      <c r="C1007" s="15">
        <f t="shared" ca="1" si="6"/>
        <v>-3.6551043532295768E-4</v>
      </c>
      <c r="D1007" s="14">
        <f t="shared" ca="1" si="7"/>
        <v>1254.1997999999999</v>
      </c>
      <c r="E1007" s="3"/>
      <c r="F1007" s="3"/>
    </row>
    <row r="1008" spans="1:6" ht="14.25" x14ac:dyDescent="0.2">
      <c r="A1008" s="13">
        <f ca="1">IFERROR(__xludf.DUMMYFUNCTION("""COMPUTED_VALUE"""),45314.6458333333)</f>
        <v>45314.645833333299</v>
      </c>
      <c r="B1008" s="14">
        <f ca="1">IFERROR(__xludf.DUMMYFUNCTION("""COMPUTED_VALUE"""),1328.58)</f>
        <v>1328.58</v>
      </c>
      <c r="C1008" s="15">
        <f t="shared" ca="1" si="6"/>
        <v>-2.8425170938608413E-2</v>
      </c>
      <c r="D1008" s="14">
        <f t="shared" ca="1" si="7"/>
        <v>1257.4123999999999</v>
      </c>
      <c r="E1008" s="3"/>
      <c r="F1008" s="3"/>
    </row>
    <row r="1009" spans="1:6" ht="14.25" x14ac:dyDescent="0.2">
      <c r="A1009" s="13">
        <f ca="1">IFERROR(__xludf.DUMMYFUNCTION("""COMPUTED_VALUE"""),45315.6458333333)</f>
        <v>45315.645833333299</v>
      </c>
      <c r="B1009" s="14">
        <f ca="1">IFERROR(__xludf.DUMMYFUNCTION("""COMPUTED_VALUE"""),1343.88)</f>
        <v>1343.88</v>
      </c>
      <c r="C1009" s="15">
        <f t="shared" ca="1" si="6"/>
        <v>1.1516054735130954E-2</v>
      </c>
      <c r="D1009" s="14">
        <f t="shared" ca="1" si="7"/>
        <v>1261.1843999999999</v>
      </c>
      <c r="E1009" s="3"/>
      <c r="F1009" s="3"/>
    </row>
    <row r="1010" spans="1:6" ht="14.25" x14ac:dyDescent="0.2">
      <c r="A1010" s="13">
        <f ca="1">IFERROR(__xludf.DUMMYFUNCTION("""COMPUTED_VALUE"""),45316.6458333333)</f>
        <v>45316.645833333299</v>
      </c>
      <c r="B1010" s="14">
        <f ca="1">IFERROR(__xludf.DUMMYFUNCTION("""COMPUTED_VALUE"""),1353.08)</f>
        <v>1353.08</v>
      </c>
      <c r="C1010" s="15">
        <f t="shared" ca="1" si="6"/>
        <v>6.8458493317853364E-3</v>
      </c>
      <c r="D1010" s="14">
        <f t="shared" ca="1" si="7"/>
        <v>1265.0969999999998</v>
      </c>
      <c r="E1010" s="3"/>
      <c r="F1010" s="3"/>
    </row>
    <row r="1011" spans="1:6" ht="14.25" x14ac:dyDescent="0.2">
      <c r="A1011" s="13">
        <f ca="1">IFERROR(__xludf.DUMMYFUNCTION("""COMPUTED_VALUE"""),45320.6458333333)</f>
        <v>45320.645833333299</v>
      </c>
      <c r="B1011" s="14">
        <f ca="1">IFERROR(__xludf.DUMMYFUNCTION("""COMPUTED_VALUE"""),1448.05)</f>
        <v>1448.05</v>
      </c>
      <c r="C1011" s="15">
        <f t="shared" ca="1" si="6"/>
        <v>7.018801549058451E-2</v>
      </c>
      <c r="D1011" s="14">
        <f t="shared" ca="1" si="7"/>
        <v>1270.912</v>
      </c>
      <c r="E1011" s="3"/>
      <c r="F1011" s="3"/>
    </row>
    <row r="1012" spans="1:6" ht="14.25" x14ac:dyDescent="0.2">
      <c r="A1012" s="13">
        <f ca="1">IFERROR(__xludf.DUMMYFUNCTION("""COMPUTED_VALUE"""),45321.6458333333)</f>
        <v>45321.645833333299</v>
      </c>
      <c r="B1012" s="14">
        <f ca="1">IFERROR(__xludf.DUMMYFUNCTION("""COMPUTED_VALUE"""),1407.63)</f>
        <v>1407.63</v>
      </c>
      <c r="C1012" s="15">
        <f t="shared" ca="1" si="6"/>
        <v>-2.7913400780359643E-2</v>
      </c>
      <c r="D1012" s="14">
        <f t="shared" ca="1" si="7"/>
        <v>1275.5001999999999</v>
      </c>
      <c r="E1012" s="3"/>
      <c r="F1012" s="3"/>
    </row>
    <row r="1013" spans="1:6" ht="14.25" x14ac:dyDescent="0.2">
      <c r="A1013" s="13">
        <f ca="1">IFERROR(__xludf.DUMMYFUNCTION("""COMPUTED_VALUE"""),45322.6458333333)</f>
        <v>45322.645833333299</v>
      </c>
      <c r="B1013" s="14">
        <f ca="1">IFERROR(__xludf.DUMMYFUNCTION("""COMPUTED_VALUE"""),1426.63)</f>
        <v>1426.63</v>
      </c>
      <c r="C1013" s="15">
        <f t="shared" ca="1" si="6"/>
        <v>1.3497865206055559E-2</v>
      </c>
      <c r="D1013" s="14">
        <f t="shared" ca="1" si="7"/>
        <v>1280.4258</v>
      </c>
      <c r="E1013" s="3"/>
      <c r="F1013" s="3"/>
    </row>
    <row r="1014" spans="1:6" ht="14.25" x14ac:dyDescent="0.2">
      <c r="A1014" s="13">
        <f ca="1">IFERROR(__xludf.DUMMYFUNCTION("""COMPUTED_VALUE"""),45323.6458333333)</f>
        <v>45323.645833333299</v>
      </c>
      <c r="B1014" s="14">
        <f ca="1">IFERROR(__xludf.DUMMYFUNCTION("""COMPUTED_VALUE"""),1426.65)</f>
        <v>1426.65</v>
      </c>
      <c r="C1014" s="15">
        <f t="shared" ca="1" si="6"/>
        <v>1.4019051891578371E-5</v>
      </c>
      <c r="D1014" s="14">
        <f t="shared" ca="1" si="7"/>
        <v>1285.4031999999997</v>
      </c>
      <c r="E1014" s="3"/>
      <c r="F1014" s="3"/>
    </row>
    <row r="1015" spans="1:6" ht="14.25" x14ac:dyDescent="0.2">
      <c r="A1015" s="13">
        <f ca="1">IFERROR(__xludf.DUMMYFUNCTION("""COMPUTED_VALUE"""),45324.6458333333)</f>
        <v>45324.645833333299</v>
      </c>
      <c r="B1015" s="14">
        <f ca="1">IFERROR(__xludf.DUMMYFUNCTION("""COMPUTED_VALUE"""),1457.7)</f>
        <v>1457.7</v>
      </c>
      <c r="C1015" s="15">
        <f t="shared" ca="1" si="6"/>
        <v>2.1764272947113916E-2</v>
      </c>
      <c r="D1015" s="14">
        <f t="shared" ca="1" si="7"/>
        <v>1291.0635999999997</v>
      </c>
      <c r="E1015" s="3"/>
      <c r="F1015" s="3"/>
    </row>
    <row r="1016" spans="1:6" ht="14.25" x14ac:dyDescent="0.2">
      <c r="A1016" s="13">
        <f ca="1">IFERROR(__xludf.DUMMYFUNCTION("""COMPUTED_VALUE"""),45327.6458333333)</f>
        <v>45327.645833333299</v>
      </c>
      <c r="B1016" s="14">
        <f ca="1">IFERROR(__xludf.DUMMYFUNCTION("""COMPUTED_VALUE"""),1439.03)</f>
        <v>1439.03</v>
      </c>
      <c r="C1016" s="15">
        <f t="shared" ca="1" si="6"/>
        <v>-1.2807847979694142E-2</v>
      </c>
      <c r="D1016" s="14">
        <f t="shared" ca="1" si="7"/>
        <v>1296.0551999999998</v>
      </c>
      <c r="E1016" s="3"/>
      <c r="F1016" s="3"/>
    </row>
    <row r="1017" spans="1:6" ht="14.25" x14ac:dyDescent="0.2">
      <c r="A1017" s="13">
        <f ca="1">IFERROR(__xludf.DUMMYFUNCTION("""COMPUTED_VALUE"""),45328.6458333333)</f>
        <v>45328.645833333299</v>
      </c>
      <c r="B1017" s="14">
        <f ca="1">IFERROR(__xludf.DUMMYFUNCTION("""COMPUTED_VALUE"""),1427.8)</f>
        <v>1427.8</v>
      </c>
      <c r="C1017" s="15">
        <f t="shared" ca="1" si="6"/>
        <v>-7.8038678832269559E-3</v>
      </c>
      <c r="D1017" s="14">
        <f t="shared" ca="1" si="7"/>
        <v>1300.7292</v>
      </c>
      <c r="E1017" s="3"/>
      <c r="F1017" s="3"/>
    </row>
    <row r="1018" spans="1:6" ht="14.25" x14ac:dyDescent="0.2">
      <c r="A1018" s="13">
        <f ca="1">IFERROR(__xludf.DUMMYFUNCTION("""COMPUTED_VALUE"""),45329.6458333333)</f>
        <v>45329.645833333299</v>
      </c>
      <c r="B1018" s="14">
        <f ca="1">IFERROR(__xludf.DUMMYFUNCTION("""COMPUTED_VALUE"""),1442.15)</f>
        <v>1442.15</v>
      </c>
      <c r="C1018" s="15">
        <f t="shared" ca="1" si="6"/>
        <v>1.0050427230704706E-2</v>
      </c>
      <c r="D1018" s="14">
        <f t="shared" ca="1" si="7"/>
        <v>1305.6171999999999</v>
      </c>
      <c r="E1018" s="3"/>
      <c r="F1018" s="3"/>
    </row>
    <row r="1019" spans="1:6" ht="14.25" x14ac:dyDescent="0.2">
      <c r="A1019" s="13">
        <f ca="1">IFERROR(__xludf.DUMMYFUNCTION("""COMPUTED_VALUE"""),45330.6458333333)</f>
        <v>45330.645833333299</v>
      </c>
      <c r="B1019" s="14">
        <f ca="1">IFERROR(__xludf.DUMMYFUNCTION("""COMPUTED_VALUE"""),1450.13)</f>
        <v>1450.13</v>
      </c>
      <c r="C1019" s="15">
        <f t="shared" ca="1" si="6"/>
        <v>5.5334049856117229E-3</v>
      </c>
      <c r="D1019" s="14">
        <f t="shared" ca="1" si="7"/>
        <v>1310.6807999999999</v>
      </c>
      <c r="E1019" s="3"/>
      <c r="F1019" s="3"/>
    </row>
    <row r="1020" spans="1:6" ht="14.25" x14ac:dyDescent="0.2">
      <c r="A1020" s="13">
        <f ca="1">IFERROR(__xludf.DUMMYFUNCTION("""COMPUTED_VALUE"""),45331.6458333333)</f>
        <v>45331.645833333299</v>
      </c>
      <c r="B1020" s="14">
        <f ca="1">IFERROR(__xludf.DUMMYFUNCTION("""COMPUTED_VALUE"""),1460.75)</f>
        <v>1460.75</v>
      </c>
      <c r="C1020" s="15">
        <f t="shared" ca="1" si="6"/>
        <v>7.3234813430518297E-3</v>
      </c>
      <c r="D1020" s="14">
        <f t="shared" ca="1" si="7"/>
        <v>1315.9517999999998</v>
      </c>
      <c r="E1020" s="3"/>
      <c r="F1020" s="3"/>
    </row>
    <row r="1021" spans="1:6" ht="14.25" x14ac:dyDescent="0.2">
      <c r="A1021" s="13">
        <f ca="1">IFERROR(__xludf.DUMMYFUNCTION("""COMPUTED_VALUE"""),45334.6458333333)</f>
        <v>45334.645833333299</v>
      </c>
      <c r="B1021" s="14">
        <f ca="1">IFERROR(__xludf.DUMMYFUNCTION("""COMPUTED_VALUE"""),1452.35)</f>
        <v>1452.35</v>
      </c>
      <c r="C1021" s="15">
        <f t="shared" ca="1" si="6"/>
        <v>-5.7504706486394275E-3</v>
      </c>
      <c r="D1021" s="14">
        <f t="shared" ca="1" si="7"/>
        <v>1320.9918</v>
      </c>
      <c r="E1021" s="3"/>
      <c r="F1021" s="3"/>
    </row>
    <row r="1022" spans="1:6" ht="14.25" x14ac:dyDescent="0.2">
      <c r="A1022" s="13">
        <f ca="1">IFERROR(__xludf.DUMMYFUNCTION("""COMPUTED_VALUE"""),45335.6458333333)</f>
        <v>45335.645833333299</v>
      </c>
      <c r="B1022" s="14">
        <f ca="1">IFERROR(__xludf.DUMMYFUNCTION("""COMPUTED_VALUE"""),1465.1)</f>
        <v>1465.1</v>
      </c>
      <c r="C1022" s="15">
        <f t="shared" ca="1" si="6"/>
        <v>8.7788756153819314E-3</v>
      </c>
      <c r="D1022" s="14">
        <f t="shared" ca="1" si="7"/>
        <v>1326.5193999999997</v>
      </c>
      <c r="E1022" s="3"/>
      <c r="F1022" s="3"/>
    </row>
    <row r="1023" spans="1:6" ht="14.25" x14ac:dyDescent="0.2">
      <c r="A1023" s="13">
        <f ca="1">IFERROR(__xludf.DUMMYFUNCTION("""COMPUTED_VALUE"""),45336.6458333333)</f>
        <v>45336.645833333299</v>
      </c>
      <c r="B1023" s="14">
        <f ca="1">IFERROR(__xludf.DUMMYFUNCTION("""COMPUTED_VALUE"""),1481.38)</f>
        <v>1481.38</v>
      </c>
      <c r="C1023" s="15">
        <f t="shared" ref="C1023:C1277" ca="1" si="8">(B1023/B1022)-1</f>
        <v>1.1111869496962745E-2</v>
      </c>
      <c r="D1023" s="14">
        <f t="shared" ca="1" si="7"/>
        <v>1332.2039999999997</v>
      </c>
      <c r="E1023" s="3"/>
      <c r="F1023" s="3"/>
    </row>
    <row r="1024" spans="1:6" ht="14.25" x14ac:dyDescent="0.2">
      <c r="A1024" s="13">
        <f ca="1">IFERROR(__xludf.DUMMYFUNCTION("""COMPUTED_VALUE"""),45337.6458333333)</f>
        <v>45337.645833333299</v>
      </c>
      <c r="B1024" s="14">
        <f ca="1">IFERROR(__xludf.DUMMYFUNCTION("""COMPUTED_VALUE"""),1470.6)</f>
        <v>1470.6</v>
      </c>
      <c r="C1024" s="15">
        <f t="shared" ca="1" si="8"/>
        <v>-7.2769984743956684E-3</v>
      </c>
      <c r="D1024" s="14">
        <f t="shared" ca="1" si="7"/>
        <v>1337.414</v>
      </c>
      <c r="E1024" s="3"/>
      <c r="F1024" s="3"/>
    </row>
    <row r="1025" spans="1:6" ht="14.25" x14ac:dyDescent="0.2">
      <c r="A1025" s="13">
        <f ca="1">IFERROR(__xludf.DUMMYFUNCTION("""COMPUTED_VALUE"""),45338.6458333333)</f>
        <v>45338.645833333299</v>
      </c>
      <c r="B1025" s="14">
        <f ca="1">IFERROR(__xludf.DUMMYFUNCTION("""COMPUTED_VALUE"""),1460.58)</f>
        <v>1460.58</v>
      </c>
      <c r="C1025" s="15">
        <f t="shared" ca="1" si="8"/>
        <v>-6.8135454916360416E-3</v>
      </c>
      <c r="D1025" s="14">
        <f t="shared" ca="1" si="7"/>
        <v>1342.2479999999998</v>
      </c>
      <c r="E1025" s="3"/>
      <c r="F1025" s="3"/>
    </row>
    <row r="1026" spans="1:6" ht="14.25" x14ac:dyDescent="0.2">
      <c r="A1026" s="13">
        <f ca="1">IFERROR(__xludf.DUMMYFUNCTION("""COMPUTED_VALUE"""),45341.6458333333)</f>
        <v>45341.645833333299</v>
      </c>
      <c r="B1026" s="14">
        <f ca="1">IFERROR(__xludf.DUMMYFUNCTION("""COMPUTED_VALUE"""),1474)</f>
        <v>1474</v>
      </c>
      <c r="C1026" s="15">
        <f t="shared" ca="1" si="8"/>
        <v>9.1881307425818459E-3</v>
      </c>
      <c r="D1026" s="14">
        <f t="shared" ca="1" si="7"/>
        <v>1347.1169999999995</v>
      </c>
      <c r="E1026" s="3"/>
      <c r="F1026" s="3"/>
    </row>
    <row r="1027" spans="1:6" ht="14.25" x14ac:dyDescent="0.2">
      <c r="A1027" s="13">
        <f ca="1">IFERROR(__xludf.DUMMYFUNCTION("""COMPUTED_VALUE"""),45342.6458333333)</f>
        <v>45342.645833333299</v>
      </c>
      <c r="B1027" s="14">
        <f ca="1">IFERROR(__xludf.DUMMYFUNCTION("""COMPUTED_VALUE"""),1471.03)</f>
        <v>1471.03</v>
      </c>
      <c r="C1027" s="15">
        <f t="shared" ca="1" si="8"/>
        <v>-2.014925373134302E-3</v>
      </c>
      <c r="D1027" s="14">
        <f t="shared" ca="1" si="7"/>
        <v>1351.9669999999996</v>
      </c>
      <c r="E1027" s="3"/>
      <c r="F1027" s="3"/>
    </row>
    <row r="1028" spans="1:6" ht="14.25" x14ac:dyDescent="0.2">
      <c r="A1028" s="13">
        <f ca="1">IFERROR(__xludf.DUMMYFUNCTION("""COMPUTED_VALUE"""),45343.6458333333)</f>
        <v>45343.645833333299</v>
      </c>
      <c r="B1028" s="14">
        <f ca="1">IFERROR(__xludf.DUMMYFUNCTION("""COMPUTED_VALUE"""),1467.7)</f>
        <v>1467.7</v>
      </c>
      <c r="C1028" s="15">
        <f t="shared" ca="1" si="8"/>
        <v>-2.2637199785183748E-3</v>
      </c>
      <c r="D1028" s="14">
        <f t="shared" ca="1" si="7"/>
        <v>1356.7634</v>
      </c>
      <c r="E1028" s="3"/>
      <c r="F1028" s="3"/>
    </row>
    <row r="1029" spans="1:6" ht="14.25" x14ac:dyDescent="0.2">
      <c r="A1029" s="13">
        <f ca="1">IFERROR(__xludf.DUMMYFUNCTION("""COMPUTED_VALUE"""),45344.6458333333)</f>
        <v>45344.645833333299</v>
      </c>
      <c r="B1029" s="14">
        <f ca="1">IFERROR(__xludf.DUMMYFUNCTION("""COMPUTED_VALUE"""),1481.75)</f>
        <v>1481.75</v>
      </c>
      <c r="C1029" s="15">
        <f t="shared" ca="1" si="8"/>
        <v>9.5728009811268944E-3</v>
      </c>
      <c r="D1029" s="14">
        <f t="shared" ca="1" si="7"/>
        <v>1361.8047999999999</v>
      </c>
      <c r="E1029" s="3"/>
      <c r="F1029" s="3"/>
    </row>
    <row r="1030" spans="1:6" ht="14.25" x14ac:dyDescent="0.2">
      <c r="A1030" s="13">
        <f ca="1">IFERROR(__xludf.DUMMYFUNCTION("""COMPUTED_VALUE"""),45345.6458333333)</f>
        <v>45345.645833333299</v>
      </c>
      <c r="B1030" s="14">
        <f ca="1">IFERROR(__xludf.DUMMYFUNCTION("""COMPUTED_VALUE"""),1493.63)</f>
        <v>1493.63</v>
      </c>
      <c r="C1030" s="15">
        <f t="shared" ca="1" si="8"/>
        <v>8.0175468196390653E-3</v>
      </c>
      <c r="D1030" s="14">
        <f t="shared" ca="1" si="7"/>
        <v>1367.4367999999999</v>
      </c>
      <c r="E1030" s="3"/>
      <c r="F1030" s="3"/>
    </row>
    <row r="1031" spans="1:6" ht="14.25" x14ac:dyDescent="0.2">
      <c r="A1031" s="13">
        <f ca="1">IFERROR(__xludf.DUMMYFUNCTION("""COMPUTED_VALUE"""),45348.6458333333)</f>
        <v>45348.645833333299</v>
      </c>
      <c r="B1031" s="14">
        <f ca="1">IFERROR(__xludf.DUMMYFUNCTION("""COMPUTED_VALUE"""),1487.33)</f>
        <v>1487.33</v>
      </c>
      <c r="C1031" s="15">
        <f t="shared" ca="1" si="8"/>
        <v>-4.2179120665761793E-3</v>
      </c>
      <c r="D1031" s="14">
        <f t="shared" ca="1" si="7"/>
        <v>1372.8440000000001</v>
      </c>
      <c r="E1031" s="3"/>
      <c r="F1031" s="3"/>
    </row>
    <row r="1032" spans="1:6" ht="14.25" x14ac:dyDescent="0.2">
      <c r="A1032" s="13">
        <f ca="1">IFERROR(__xludf.DUMMYFUNCTION("""COMPUTED_VALUE"""),45349.6458333333)</f>
        <v>45349.645833333299</v>
      </c>
      <c r="B1032" s="14">
        <f ca="1">IFERROR(__xludf.DUMMYFUNCTION("""COMPUTED_VALUE"""),1485.65)</f>
        <v>1485.65</v>
      </c>
      <c r="C1032" s="15">
        <f t="shared" ca="1" si="8"/>
        <v>-1.1295408550892061E-3</v>
      </c>
      <c r="D1032" s="14">
        <f t="shared" ca="1" si="7"/>
        <v>1377.9153999999999</v>
      </c>
      <c r="E1032" s="3"/>
      <c r="F1032" s="3"/>
    </row>
    <row r="1033" spans="1:6" ht="14.25" x14ac:dyDescent="0.2">
      <c r="A1033" s="13">
        <f ca="1">IFERROR(__xludf.DUMMYFUNCTION("""COMPUTED_VALUE"""),45350.6458333333)</f>
        <v>45350.645833333299</v>
      </c>
      <c r="B1033" s="14">
        <f ca="1">IFERROR(__xludf.DUMMYFUNCTION("""COMPUTED_VALUE"""),1455.63)</f>
        <v>1455.63</v>
      </c>
      <c r="C1033" s="15">
        <f t="shared" ca="1" si="8"/>
        <v>-2.0206643556692327E-2</v>
      </c>
      <c r="D1033" s="14">
        <f t="shared" ca="1" si="7"/>
        <v>1382.0719999999999</v>
      </c>
      <c r="E1033" s="3"/>
      <c r="F1033" s="3"/>
    </row>
    <row r="1034" spans="1:6" ht="14.25" x14ac:dyDescent="0.2">
      <c r="A1034" s="13">
        <f ca="1">IFERROR(__xludf.DUMMYFUNCTION("""COMPUTED_VALUE"""),45351.6458333333)</f>
        <v>45351.645833333299</v>
      </c>
      <c r="B1034" s="14">
        <f ca="1">IFERROR(__xludf.DUMMYFUNCTION("""COMPUTED_VALUE"""),1460.8)</f>
        <v>1460.8</v>
      </c>
      <c r="C1034" s="15">
        <f t="shared" ca="1" si="8"/>
        <v>3.5517267437465971E-3</v>
      </c>
      <c r="D1034" s="14">
        <f t="shared" ca="1" si="7"/>
        <v>1386.078</v>
      </c>
      <c r="E1034" s="3"/>
      <c r="F1034" s="3"/>
    </row>
    <row r="1035" spans="1:6" ht="14.25" x14ac:dyDescent="0.2">
      <c r="A1035" s="13">
        <f ca="1">IFERROR(__xludf.DUMMYFUNCTION("""COMPUTED_VALUE"""),45352.6458333333)</f>
        <v>45352.645833333299</v>
      </c>
      <c r="B1035" s="14">
        <f ca="1">IFERROR(__xludf.DUMMYFUNCTION("""COMPUTED_VALUE"""),1492.13)</f>
        <v>1492.13</v>
      </c>
      <c r="C1035" s="15">
        <f t="shared" ca="1" si="8"/>
        <v>2.1447152245345213E-2</v>
      </c>
      <c r="D1035" s="14">
        <f t="shared" ca="1" si="7"/>
        <v>1390.3396</v>
      </c>
      <c r="E1035" s="3"/>
      <c r="F1035" s="3"/>
    </row>
    <row r="1036" spans="1:6" ht="14.25" x14ac:dyDescent="0.2">
      <c r="A1036" s="13">
        <f ca="1">IFERROR(__xludf.DUMMYFUNCTION("""COMPUTED_VALUE"""),45355.6458333333)</f>
        <v>45355.645833333299</v>
      </c>
      <c r="B1036" s="14">
        <f ca="1">IFERROR(__xludf.DUMMYFUNCTION("""COMPUTED_VALUE"""),1507.4)</f>
        <v>1507.4</v>
      </c>
      <c r="C1036" s="15">
        <f t="shared" ca="1" si="8"/>
        <v>1.0233692774758163E-2</v>
      </c>
      <c r="D1036" s="14">
        <f t="shared" ca="1" si="7"/>
        <v>1395.2159999999997</v>
      </c>
      <c r="E1036" s="3"/>
      <c r="F1036" s="3"/>
    </row>
    <row r="1037" spans="1:6" ht="14.25" x14ac:dyDescent="0.2">
      <c r="A1037" s="13">
        <f ca="1">IFERROR(__xludf.DUMMYFUNCTION("""COMPUTED_VALUE"""),45356.6458333333)</f>
        <v>45356.645833333299</v>
      </c>
      <c r="B1037" s="14">
        <f ca="1">IFERROR(__xludf.DUMMYFUNCTION("""COMPUTED_VALUE"""),1500.2)</f>
        <v>1500.2</v>
      </c>
      <c r="C1037" s="15">
        <f t="shared" ca="1" si="8"/>
        <v>-4.7764362478439626E-3</v>
      </c>
      <c r="D1037" s="14">
        <f t="shared" ca="1" si="7"/>
        <v>1399.5943999999997</v>
      </c>
      <c r="E1037" s="3"/>
      <c r="F1037" s="3"/>
    </row>
    <row r="1038" spans="1:6" ht="14.25" x14ac:dyDescent="0.2">
      <c r="A1038" s="13">
        <f ca="1">IFERROR(__xludf.DUMMYFUNCTION("""COMPUTED_VALUE"""),45357.6458333333)</f>
        <v>45357.645833333299</v>
      </c>
      <c r="B1038" s="14">
        <f ca="1">IFERROR(__xludf.DUMMYFUNCTION("""COMPUTED_VALUE"""),1503)</f>
        <v>1503</v>
      </c>
      <c r="C1038" s="15">
        <f t="shared" ca="1" si="8"/>
        <v>1.8664178109584206E-3</v>
      </c>
      <c r="D1038" s="14">
        <f t="shared" ca="1" si="7"/>
        <v>1404.0037999999997</v>
      </c>
      <c r="E1038" s="3"/>
      <c r="F1038" s="3"/>
    </row>
    <row r="1039" spans="1:6" ht="14.25" x14ac:dyDescent="0.2">
      <c r="A1039" s="13">
        <f ca="1">IFERROR(__xludf.DUMMYFUNCTION("""COMPUTED_VALUE"""),45358.6458333333)</f>
        <v>45358.645833333299</v>
      </c>
      <c r="B1039" s="14">
        <f ca="1">IFERROR(__xludf.DUMMYFUNCTION("""COMPUTED_VALUE"""),1478.93)</f>
        <v>1478.93</v>
      </c>
      <c r="C1039" s="15">
        <f t="shared" ca="1" si="8"/>
        <v>-1.6014637391882913E-2</v>
      </c>
      <c r="D1039" s="14">
        <f t="shared" ca="1" si="7"/>
        <v>1407.8017999999997</v>
      </c>
      <c r="E1039" s="3"/>
      <c r="F1039" s="3"/>
    </row>
    <row r="1040" spans="1:6" ht="14.25" x14ac:dyDescent="0.2">
      <c r="A1040" s="13">
        <f ca="1">IFERROR(__xludf.DUMMYFUNCTION("""COMPUTED_VALUE"""),45362.6458333333)</f>
        <v>45362.645833333299</v>
      </c>
      <c r="B1040" s="14">
        <f ca="1">IFERROR(__xludf.DUMMYFUNCTION("""COMPUTED_VALUE"""),1466.6)</f>
        <v>1466.6</v>
      </c>
      <c r="C1040" s="15">
        <f t="shared" ca="1" si="8"/>
        <v>-8.3371085852610438E-3</v>
      </c>
      <c r="D1040" s="14">
        <f t="shared" ca="1" si="7"/>
        <v>1411.2651999999998</v>
      </c>
      <c r="E1040" s="3"/>
      <c r="F1040" s="3"/>
    </row>
    <row r="1041" spans="1:6" ht="14.25" x14ac:dyDescent="0.2">
      <c r="A1041" s="13">
        <f ca="1">IFERROR(__xludf.DUMMYFUNCTION("""COMPUTED_VALUE"""),45363.6458333333)</f>
        <v>45363.645833333299</v>
      </c>
      <c r="B1041" s="14">
        <f ca="1">IFERROR(__xludf.DUMMYFUNCTION("""COMPUTED_VALUE"""),1475.43)</f>
        <v>1475.43</v>
      </c>
      <c r="C1041" s="15">
        <f t="shared" ca="1" si="8"/>
        <v>6.0207282149189467E-3</v>
      </c>
      <c r="D1041" s="14">
        <f t="shared" ca="1" si="7"/>
        <v>1414.7181999999998</v>
      </c>
      <c r="E1041" s="3"/>
      <c r="F1041" s="3"/>
    </row>
    <row r="1042" spans="1:6" ht="14.25" x14ac:dyDescent="0.2">
      <c r="A1042" s="13">
        <f ca="1">IFERROR(__xludf.DUMMYFUNCTION("""COMPUTED_VALUE"""),45364.6458333333)</f>
        <v>45364.645833333299</v>
      </c>
      <c r="B1042" s="14">
        <f ca="1">IFERROR(__xludf.DUMMYFUNCTION("""COMPUTED_VALUE"""),1432.18)</f>
        <v>1432.18</v>
      </c>
      <c r="C1042" s="15">
        <f t="shared" ca="1" si="8"/>
        <v>-2.9313488271215826E-2</v>
      </c>
      <c r="D1042" s="14">
        <f t="shared" ca="1" si="7"/>
        <v>1417.5123999999996</v>
      </c>
      <c r="E1042" s="3"/>
      <c r="F1042" s="3"/>
    </row>
    <row r="1043" spans="1:6" ht="14.25" x14ac:dyDescent="0.2">
      <c r="A1043" s="13">
        <f ca="1">IFERROR(__xludf.DUMMYFUNCTION("""COMPUTED_VALUE"""),45365.6458333333)</f>
        <v>45365.645833333299</v>
      </c>
      <c r="B1043" s="14">
        <f ca="1">IFERROR(__xludf.DUMMYFUNCTION("""COMPUTED_VALUE"""),1431.48)</f>
        <v>1431.48</v>
      </c>
      <c r="C1043" s="15">
        <f t="shared" ca="1" si="8"/>
        <v>-4.8876537865349956E-4</v>
      </c>
      <c r="D1043" s="14">
        <f t="shared" ca="1" si="7"/>
        <v>1420.2393999999995</v>
      </c>
      <c r="E1043" s="3"/>
      <c r="F1043" s="3"/>
    </row>
    <row r="1044" spans="1:6" ht="14.25" x14ac:dyDescent="0.2">
      <c r="A1044" s="13">
        <f ca="1">IFERROR(__xludf.DUMMYFUNCTION("""COMPUTED_VALUE"""),45366.6458333333)</f>
        <v>45366.645833333299</v>
      </c>
      <c r="B1044" s="14">
        <f ca="1">IFERROR(__xludf.DUMMYFUNCTION("""COMPUTED_VALUE"""),1418.23)</f>
        <v>1418.23</v>
      </c>
      <c r="C1044" s="15">
        <f t="shared" ca="1" si="8"/>
        <v>-9.2561544695001219E-3</v>
      </c>
      <c r="D1044" s="14">
        <f t="shared" ca="1" si="7"/>
        <v>1422.4869999999992</v>
      </c>
      <c r="E1044" s="3"/>
      <c r="F1044" s="3"/>
    </row>
    <row r="1045" spans="1:6" ht="14.25" x14ac:dyDescent="0.2">
      <c r="A1045" s="13">
        <f ca="1">IFERROR(__xludf.DUMMYFUNCTION("""COMPUTED_VALUE"""),45369.6458333333)</f>
        <v>45369.645833333299</v>
      </c>
      <c r="B1045" s="14">
        <f ca="1">IFERROR(__xludf.DUMMYFUNCTION("""COMPUTED_VALUE"""),1439.48)</f>
        <v>1439.48</v>
      </c>
      <c r="C1045" s="15">
        <f t="shared" ca="1" si="8"/>
        <v>1.4983465305345334E-2</v>
      </c>
      <c r="D1045" s="14">
        <f t="shared" ca="1" si="7"/>
        <v>1425.4435999999994</v>
      </c>
      <c r="E1045" s="3"/>
      <c r="F1045" s="3"/>
    </row>
    <row r="1046" spans="1:6" ht="14.25" x14ac:dyDescent="0.2">
      <c r="A1046" s="13">
        <f ca="1">IFERROR(__xludf.DUMMYFUNCTION("""COMPUTED_VALUE"""),45370.6458333333)</f>
        <v>45370.645833333299</v>
      </c>
      <c r="B1046" s="14">
        <f ca="1">IFERROR(__xludf.DUMMYFUNCTION("""COMPUTED_VALUE"""),1425.25)</f>
        <v>1425.25</v>
      </c>
      <c r="C1046" s="15">
        <f t="shared" ca="1" si="8"/>
        <v>-9.8855142134659513E-3</v>
      </c>
      <c r="D1046" s="14">
        <f t="shared" ca="1" si="7"/>
        <v>1427.9819999999995</v>
      </c>
      <c r="E1046" s="3"/>
      <c r="F1046" s="3"/>
    </row>
    <row r="1047" spans="1:6" ht="14.25" x14ac:dyDescent="0.2">
      <c r="A1047" s="13">
        <f ca="1">IFERROR(__xludf.DUMMYFUNCTION("""COMPUTED_VALUE"""),45371.6458333333)</f>
        <v>45371.645833333299</v>
      </c>
      <c r="B1047" s="14">
        <f ca="1">IFERROR(__xludf.DUMMYFUNCTION("""COMPUTED_VALUE"""),1443.75)</f>
        <v>1443.75</v>
      </c>
      <c r="C1047" s="15">
        <f t="shared" ca="1" si="8"/>
        <v>1.2980178915979579E-2</v>
      </c>
      <c r="D1047" s="14">
        <f t="shared" ca="1" si="7"/>
        <v>1430.7799999999997</v>
      </c>
      <c r="E1047" s="3"/>
      <c r="F1047" s="3"/>
    </row>
    <row r="1048" spans="1:6" ht="14.25" x14ac:dyDescent="0.2">
      <c r="A1048" s="13">
        <f ca="1">IFERROR(__xludf.DUMMYFUNCTION("""COMPUTED_VALUE"""),45372.6458333333)</f>
        <v>45372.645833333299</v>
      </c>
      <c r="B1048" s="14">
        <f ca="1">IFERROR(__xludf.DUMMYFUNCTION("""COMPUTED_VALUE"""),1450.98)</f>
        <v>1450.98</v>
      </c>
      <c r="C1048" s="15">
        <f t="shared" ca="1" si="8"/>
        <v>5.0077922077922388E-3</v>
      </c>
      <c r="D1048" s="14">
        <f t="shared" ca="1" si="7"/>
        <v>1433.9259999999997</v>
      </c>
      <c r="E1048" s="3"/>
      <c r="F1048" s="3"/>
    </row>
    <row r="1049" spans="1:6" ht="14.25" x14ac:dyDescent="0.2">
      <c r="A1049" s="13">
        <f ca="1">IFERROR(__xludf.DUMMYFUNCTION("""COMPUTED_VALUE"""),45373.6458333333)</f>
        <v>45373.645833333299</v>
      </c>
      <c r="B1049" s="14">
        <f ca="1">IFERROR(__xludf.DUMMYFUNCTION("""COMPUTED_VALUE"""),1455.03)</f>
        <v>1455.03</v>
      </c>
      <c r="C1049" s="15">
        <f t="shared" ca="1" si="8"/>
        <v>2.7912169705992529E-3</v>
      </c>
      <c r="D1049" s="14">
        <f t="shared" ca="1" si="7"/>
        <v>1437.2216000000001</v>
      </c>
      <c r="E1049" s="3"/>
      <c r="F1049" s="3"/>
    </row>
    <row r="1050" spans="1:6" ht="14.25" x14ac:dyDescent="0.2">
      <c r="A1050" s="13">
        <f ca="1">IFERROR(__xludf.DUMMYFUNCTION("""COMPUTED_VALUE"""),45377.6458333333)</f>
        <v>45377.645833333299</v>
      </c>
      <c r="B1050" s="14">
        <f ca="1">IFERROR(__xludf.DUMMYFUNCTION("""COMPUTED_VALUE"""),1441.58)</f>
        <v>1441.58</v>
      </c>
      <c r="C1050" s="15">
        <f t="shared" ca="1" si="8"/>
        <v>-9.2437956605706528E-3</v>
      </c>
      <c r="D1050" s="14">
        <f t="shared" ca="1" si="7"/>
        <v>1439.5522000000001</v>
      </c>
      <c r="E1050" s="3"/>
      <c r="F1050" s="3"/>
    </row>
    <row r="1051" spans="1:6" ht="14.25" x14ac:dyDescent="0.2">
      <c r="A1051" s="13">
        <f ca="1">IFERROR(__xludf.DUMMYFUNCTION("""COMPUTED_VALUE"""),45378.6458333333)</f>
        <v>45378.645833333299</v>
      </c>
      <c r="B1051" s="14">
        <f ca="1">IFERROR(__xludf.DUMMYFUNCTION("""COMPUTED_VALUE"""),1492.85)</f>
        <v>1492.85</v>
      </c>
      <c r="C1051" s="15">
        <f t="shared" ca="1" si="8"/>
        <v>3.5565143800552201E-2</v>
      </c>
      <c r="D1051" s="14">
        <f t="shared" ca="1" si="7"/>
        <v>1442.2112</v>
      </c>
      <c r="E1051" s="3"/>
      <c r="F1051" s="3"/>
    </row>
    <row r="1052" spans="1:6" ht="14.25" x14ac:dyDescent="0.2">
      <c r="A1052" s="13">
        <f ca="1">IFERROR(__xludf.DUMMYFUNCTION("""COMPUTED_VALUE"""),45379.6458333333)</f>
        <v>45379.645833333299</v>
      </c>
      <c r="B1052" s="14">
        <f ca="1">IFERROR(__xludf.DUMMYFUNCTION("""COMPUTED_VALUE"""),1485.85)</f>
        <v>1485.85</v>
      </c>
      <c r="C1052" s="15">
        <f t="shared" ca="1" si="8"/>
        <v>-4.6890176508022074E-3</v>
      </c>
      <c r="D1052" s="14">
        <f t="shared" ca="1" si="7"/>
        <v>1444.5136000000002</v>
      </c>
      <c r="E1052" s="3"/>
      <c r="F1052" s="3"/>
    </row>
    <row r="1053" spans="1:6" ht="14.25" x14ac:dyDescent="0.2">
      <c r="A1053" s="13">
        <f ca="1">IFERROR(__xludf.DUMMYFUNCTION("""COMPUTED_VALUE"""),45383.6458333333)</f>
        <v>45383.645833333299</v>
      </c>
      <c r="B1053" s="14">
        <f ca="1">IFERROR(__xludf.DUMMYFUNCTION("""COMPUTED_VALUE"""),1484.78)</f>
        <v>1484.78</v>
      </c>
      <c r="C1053" s="15">
        <f t="shared" ca="1" si="8"/>
        <v>-7.2012652690378598E-4</v>
      </c>
      <c r="D1053" s="14">
        <f t="shared" ca="1" si="7"/>
        <v>1446.3266000000003</v>
      </c>
      <c r="E1053" s="3"/>
      <c r="F1053" s="3"/>
    </row>
    <row r="1054" spans="1:6" ht="14.25" x14ac:dyDescent="0.2">
      <c r="A1054" s="13">
        <f ca="1">IFERROR(__xludf.DUMMYFUNCTION("""COMPUTED_VALUE"""),45384.6458333333)</f>
        <v>45384.645833333299</v>
      </c>
      <c r="B1054" s="14">
        <f ca="1">IFERROR(__xludf.DUMMYFUNCTION("""COMPUTED_VALUE"""),1486.95)</f>
        <v>1486.95</v>
      </c>
      <c r="C1054" s="15">
        <f t="shared" ca="1" si="8"/>
        <v>1.4614959792023097E-3</v>
      </c>
      <c r="D1054" s="14">
        <f t="shared" ca="1" si="7"/>
        <v>1448.5730000000001</v>
      </c>
      <c r="E1054" s="3"/>
      <c r="F1054" s="3"/>
    </row>
    <row r="1055" spans="1:6" ht="14.25" x14ac:dyDescent="0.2">
      <c r="A1055" s="13">
        <f ca="1">IFERROR(__xludf.DUMMYFUNCTION("""COMPUTED_VALUE"""),45385.6458333333)</f>
        <v>45385.645833333299</v>
      </c>
      <c r="B1055" s="14">
        <f ca="1">IFERROR(__xludf.DUMMYFUNCTION("""COMPUTED_VALUE"""),1471.6)</f>
        <v>1471.6</v>
      </c>
      <c r="C1055" s="15">
        <f t="shared" ca="1" si="8"/>
        <v>-1.0323144692155228E-2</v>
      </c>
      <c r="D1055" s="14">
        <f t="shared" ca="1" si="7"/>
        <v>1450.7734000000003</v>
      </c>
      <c r="E1055" s="3"/>
      <c r="F1055" s="3"/>
    </row>
    <row r="1056" spans="1:6" ht="14.25" x14ac:dyDescent="0.2">
      <c r="A1056" s="13">
        <f ca="1">IFERROR(__xludf.DUMMYFUNCTION("""COMPUTED_VALUE"""),45386.6458333333)</f>
        <v>45386.645833333299</v>
      </c>
      <c r="B1056" s="14">
        <f ca="1">IFERROR(__xludf.DUMMYFUNCTION("""COMPUTED_VALUE"""),1462.93)</f>
        <v>1462.93</v>
      </c>
      <c r="C1056" s="15">
        <f t="shared" ca="1" si="8"/>
        <v>-5.8915466159281671E-3</v>
      </c>
      <c r="D1056" s="14">
        <f t="shared" ca="1" si="7"/>
        <v>1452.6730000000002</v>
      </c>
      <c r="E1056" s="3"/>
      <c r="F1056" s="3"/>
    </row>
    <row r="1057" spans="1:6" ht="14.25" x14ac:dyDescent="0.2">
      <c r="A1057" s="13">
        <f ca="1">IFERROR(__xludf.DUMMYFUNCTION("""COMPUTED_VALUE"""),45387.6458333333)</f>
        <v>45387.645833333299</v>
      </c>
      <c r="B1057" s="14">
        <f ca="1">IFERROR(__xludf.DUMMYFUNCTION("""COMPUTED_VALUE"""),1460.1)</f>
        <v>1460.1</v>
      </c>
      <c r="C1057" s="15">
        <f t="shared" ca="1" si="8"/>
        <v>-1.9344739666287136E-3</v>
      </c>
      <c r="D1057" s="14">
        <f t="shared" ca="1" si="7"/>
        <v>1454.5260000000003</v>
      </c>
      <c r="E1057" s="3"/>
      <c r="F1057" s="3"/>
    </row>
    <row r="1058" spans="1:6" ht="14.25" x14ac:dyDescent="0.2">
      <c r="A1058" s="13">
        <f ca="1">IFERROR(__xludf.DUMMYFUNCTION("""COMPUTED_VALUE"""),45390.6458333333)</f>
        <v>45390.645833333299</v>
      </c>
      <c r="B1058" s="14">
        <f ca="1">IFERROR(__xludf.DUMMYFUNCTION("""COMPUTED_VALUE"""),1485.98)</f>
        <v>1485.98</v>
      </c>
      <c r="C1058" s="15">
        <f t="shared" ca="1" si="8"/>
        <v>1.7724813368947379E-2</v>
      </c>
      <c r="D1058" s="14">
        <f t="shared" ca="1" si="7"/>
        <v>1457.6740000000002</v>
      </c>
      <c r="E1058" s="3"/>
      <c r="F1058" s="3"/>
    </row>
    <row r="1059" spans="1:6" ht="14.25" x14ac:dyDescent="0.2">
      <c r="A1059" s="13">
        <f ca="1">IFERROR(__xludf.DUMMYFUNCTION("""COMPUTED_VALUE"""),45391.6458333333)</f>
        <v>45391.645833333299</v>
      </c>
      <c r="B1059" s="14">
        <f ca="1">IFERROR(__xludf.DUMMYFUNCTION("""COMPUTED_VALUE"""),1463.65)</f>
        <v>1463.65</v>
      </c>
      <c r="C1059" s="15">
        <f t="shared" ca="1" si="8"/>
        <v>-1.5027120149665452E-2</v>
      </c>
      <c r="D1059" s="14">
        <f t="shared" ca="1" si="7"/>
        <v>1460.0694000000001</v>
      </c>
      <c r="E1059" s="3"/>
      <c r="F1059" s="3"/>
    </row>
    <row r="1060" spans="1:6" ht="14.25" x14ac:dyDescent="0.2">
      <c r="A1060" s="13">
        <f ca="1">IFERROR(__xludf.DUMMYFUNCTION("""COMPUTED_VALUE"""),45392.6458333333)</f>
        <v>45392.645833333299</v>
      </c>
      <c r="B1060" s="14">
        <f ca="1">IFERROR(__xludf.DUMMYFUNCTION("""COMPUTED_VALUE"""),1479.58)</f>
        <v>1479.58</v>
      </c>
      <c r="C1060" s="15">
        <f t="shared" ca="1" si="8"/>
        <v>1.0883749530283815E-2</v>
      </c>
      <c r="D1060" s="14">
        <f t="shared" ca="1" si="7"/>
        <v>1462.5994000000001</v>
      </c>
      <c r="E1060" s="3"/>
      <c r="F1060" s="3"/>
    </row>
    <row r="1061" spans="1:6" ht="14.25" x14ac:dyDescent="0.2">
      <c r="A1061" s="13">
        <f ca="1">IFERROR(__xludf.DUMMYFUNCTION("""COMPUTED_VALUE"""),45394.6458333333)</f>
        <v>45394.645833333299</v>
      </c>
      <c r="B1061" s="14">
        <f ca="1">IFERROR(__xludf.DUMMYFUNCTION("""COMPUTED_VALUE"""),1467.15)</f>
        <v>1467.15</v>
      </c>
      <c r="C1061" s="15">
        <f t="shared" ca="1" si="8"/>
        <v>-8.401032725503077E-3</v>
      </c>
      <c r="D1061" s="14">
        <f t="shared" ca="1" si="7"/>
        <v>1462.9813999999999</v>
      </c>
      <c r="E1061" s="3"/>
      <c r="F1061" s="3"/>
    </row>
    <row r="1062" spans="1:6" ht="14.25" x14ac:dyDescent="0.2">
      <c r="A1062" s="13">
        <f ca="1">IFERROR(__xludf.DUMMYFUNCTION("""COMPUTED_VALUE"""),45397.6458333333)</f>
        <v>45397.645833333299</v>
      </c>
      <c r="B1062" s="14">
        <f ca="1">IFERROR(__xludf.DUMMYFUNCTION("""COMPUTED_VALUE"""),1464.83)</f>
        <v>1464.83</v>
      </c>
      <c r="C1062" s="15">
        <f t="shared" ca="1" si="8"/>
        <v>-1.5812970725557207E-3</v>
      </c>
      <c r="D1062" s="14">
        <f t="shared" ca="1" si="7"/>
        <v>1464.1253999999999</v>
      </c>
      <c r="E1062" s="3"/>
      <c r="F1062" s="3"/>
    </row>
    <row r="1063" spans="1:6" ht="14.25" x14ac:dyDescent="0.2">
      <c r="A1063" s="13">
        <f ca="1">IFERROR(__xludf.DUMMYFUNCTION("""COMPUTED_VALUE"""),45398.6458333333)</f>
        <v>45398.645833333299</v>
      </c>
      <c r="B1063" s="14">
        <f ca="1">IFERROR(__xludf.DUMMYFUNCTION("""COMPUTED_VALUE"""),1465.75)</f>
        <v>1465.75</v>
      </c>
      <c r="C1063" s="15">
        <f t="shared" ca="1" si="8"/>
        <v>6.2805922871600472E-4</v>
      </c>
      <c r="D1063" s="14">
        <f t="shared" ca="1" si="7"/>
        <v>1464.9078</v>
      </c>
      <c r="E1063" s="3"/>
      <c r="F1063" s="3"/>
    </row>
    <row r="1064" spans="1:6" ht="14.25" x14ac:dyDescent="0.2">
      <c r="A1064" s="13">
        <f ca="1">IFERROR(__xludf.DUMMYFUNCTION("""COMPUTED_VALUE"""),45400.6458333333)</f>
        <v>45400.645833333299</v>
      </c>
      <c r="B1064" s="14">
        <f ca="1">IFERROR(__xludf.DUMMYFUNCTION("""COMPUTED_VALUE"""),1464.33)</f>
        <v>1464.33</v>
      </c>
      <c r="C1064" s="15">
        <f t="shared" ca="1" si="8"/>
        <v>-9.687873102507405E-4</v>
      </c>
      <c r="D1064" s="14">
        <f t="shared" ca="1" si="7"/>
        <v>1465.6614000000002</v>
      </c>
      <c r="E1064" s="3"/>
      <c r="F1064" s="3"/>
    </row>
    <row r="1065" spans="1:6" ht="14.25" x14ac:dyDescent="0.2">
      <c r="A1065" s="13">
        <f ca="1">IFERROR(__xludf.DUMMYFUNCTION("""COMPUTED_VALUE"""),45401.6458333333)</f>
        <v>45401.645833333299</v>
      </c>
      <c r="B1065" s="14">
        <f ca="1">IFERROR(__xludf.DUMMYFUNCTION("""COMPUTED_VALUE"""),1470.13)</f>
        <v>1470.13</v>
      </c>
      <c r="C1065" s="15">
        <f t="shared" ca="1" si="8"/>
        <v>3.9608558180193043E-3</v>
      </c>
      <c r="D1065" s="14">
        <f t="shared" ca="1" si="7"/>
        <v>1465.9100000000003</v>
      </c>
      <c r="E1065" s="3"/>
      <c r="F1065" s="3"/>
    </row>
    <row r="1066" spans="1:6" ht="14.25" x14ac:dyDescent="0.2">
      <c r="A1066" s="13">
        <f ca="1">IFERROR(__xludf.DUMMYFUNCTION("""COMPUTED_VALUE"""),45404.6458333333)</f>
        <v>45404.645833333299</v>
      </c>
      <c r="B1066" s="14">
        <f ca="1">IFERROR(__xludf.DUMMYFUNCTION("""COMPUTED_VALUE"""),1479.85)</f>
        <v>1479.85</v>
      </c>
      <c r="C1066" s="15">
        <f t="shared" ca="1" si="8"/>
        <v>6.6116601933161601E-3</v>
      </c>
      <c r="D1066" s="14">
        <f t="shared" ca="1" si="7"/>
        <v>1466.7264000000005</v>
      </c>
      <c r="E1066" s="3"/>
      <c r="F1066" s="3"/>
    </row>
    <row r="1067" spans="1:6" ht="14.25" x14ac:dyDescent="0.2">
      <c r="A1067" s="13">
        <f ca="1">IFERROR(__xludf.DUMMYFUNCTION("""COMPUTED_VALUE"""),45405.6458333333)</f>
        <v>45405.645833333299</v>
      </c>
      <c r="B1067" s="14">
        <f ca="1">IFERROR(__xludf.DUMMYFUNCTION("""COMPUTED_VALUE"""),1459.33)</f>
        <v>1459.33</v>
      </c>
      <c r="C1067" s="15">
        <f t="shared" ca="1" si="8"/>
        <v>-1.3866270230090905E-2</v>
      </c>
      <c r="D1067" s="14">
        <f t="shared" ca="1" si="7"/>
        <v>1467.3570000000007</v>
      </c>
      <c r="E1067" s="3"/>
      <c r="F1067" s="3"/>
    </row>
    <row r="1068" spans="1:6" ht="14.25" x14ac:dyDescent="0.2">
      <c r="A1068" s="13">
        <f ca="1">IFERROR(__xludf.DUMMYFUNCTION("""COMPUTED_VALUE"""),45406.6458333333)</f>
        <v>45406.645833333299</v>
      </c>
      <c r="B1068" s="14">
        <f ca="1">IFERROR(__xludf.DUMMYFUNCTION("""COMPUTED_VALUE"""),1450.18)</f>
        <v>1450.18</v>
      </c>
      <c r="C1068" s="15">
        <f t="shared" ca="1" si="8"/>
        <v>-6.2700006167212274E-3</v>
      </c>
      <c r="D1068" s="14">
        <f t="shared" ca="1" si="7"/>
        <v>1467.5176000000006</v>
      </c>
      <c r="E1068" s="3"/>
      <c r="F1068" s="3"/>
    </row>
    <row r="1069" spans="1:6" ht="14.25" x14ac:dyDescent="0.2">
      <c r="A1069" s="13">
        <f ca="1">IFERROR(__xludf.DUMMYFUNCTION("""COMPUTED_VALUE"""),45407.6458333333)</f>
        <v>45407.645833333299</v>
      </c>
      <c r="B1069" s="14">
        <f ca="1">IFERROR(__xludf.DUMMYFUNCTION("""COMPUTED_VALUE"""),1459.98)</f>
        <v>1459.98</v>
      </c>
      <c r="C1069" s="15">
        <f t="shared" ca="1" si="8"/>
        <v>6.7577817926049999E-3</v>
      </c>
      <c r="D1069" s="14">
        <f t="shared" ca="1" si="7"/>
        <v>1467.7146000000005</v>
      </c>
      <c r="E1069" s="3"/>
      <c r="F1069" s="3"/>
    </row>
    <row r="1070" spans="1:6" ht="14.25" x14ac:dyDescent="0.2">
      <c r="A1070" s="13">
        <f ca="1">IFERROR(__xludf.DUMMYFUNCTION("""COMPUTED_VALUE"""),45408.6458333333)</f>
        <v>45408.645833333299</v>
      </c>
      <c r="B1070" s="14">
        <f ca="1">IFERROR(__xludf.DUMMYFUNCTION("""COMPUTED_VALUE"""),1452.55)</f>
        <v>1452.55</v>
      </c>
      <c r="C1070" s="15">
        <f t="shared" ca="1" si="8"/>
        <v>-5.089110809737174E-3</v>
      </c>
      <c r="D1070" s="14">
        <f t="shared" ca="1" si="7"/>
        <v>1467.5506000000003</v>
      </c>
      <c r="E1070" s="3"/>
      <c r="F1070" s="3"/>
    </row>
    <row r="1071" spans="1:6" ht="14.25" x14ac:dyDescent="0.2">
      <c r="A1071" s="13">
        <f ca="1">IFERROR(__xludf.DUMMYFUNCTION("""COMPUTED_VALUE"""),45411.6458333333)</f>
        <v>45411.645833333299</v>
      </c>
      <c r="B1071" s="14">
        <f ca="1">IFERROR(__xludf.DUMMYFUNCTION("""COMPUTED_VALUE"""),1465.03)</f>
        <v>1465.03</v>
      </c>
      <c r="C1071" s="15">
        <f t="shared" ca="1" si="8"/>
        <v>8.5917868575953182E-3</v>
      </c>
      <c r="D1071" s="14">
        <f t="shared" ref="D1071:D1325" ca="1" si="9">AVERAGE(B1022:B1071)</f>
        <v>1467.8042</v>
      </c>
      <c r="E1071" s="3"/>
      <c r="F1071" s="3"/>
    </row>
    <row r="1072" spans="1:6" ht="14.25" x14ac:dyDescent="0.2">
      <c r="A1072" s="13">
        <f ca="1">IFERROR(__xludf.DUMMYFUNCTION("""COMPUTED_VALUE"""),45412.6458333333)</f>
        <v>45412.645833333299</v>
      </c>
      <c r="B1072" s="14">
        <f ca="1">IFERROR(__xludf.DUMMYFUNCTION("""COMPUTED_VALUE"""),1467)</f>
        <v>1467</v>
      </c>
      <c r="C1072" s="15">
        <f t="shared" ca="1" si="8"/>
        <v>1.3446823614533532E-3</v>
      </c>
      <c r="D1072" s="14">
        <f t="shared" ca="1" si="9"/>
        <v>1467.8421999999998</v>
      </c>
      <c r="E1072" s="3"/>
      <c r="F1072" s="3"/>
    </row>
    <row r="1073" spans="1:6" ht="14.25" x14ac:dyDescent="0.2">
      <c r="A1073" s="13">
        <f ca="1">IFERROR(__xludf.DUMMYFUNCTION("""COMPUTED_VALUE"""),45414.6458333333)</f>
        <v>45414.645833333299</v>
      </c>
      <c r="B1073" s="14">
        <f ca="1">IFERROR(__xludf.DUMMYFUNCTION("""COMPUTED_VALUE"""),1466.55)</f>
        <v>1466.55</v>
      </c>
      <c r="C1073" s="15">
        <f t="shared" ca="1" si="8"/>
        <v>-3.0674846625766694E-4</v>
      </c>
      <c r="D1073" s="14">
        <f t="shared" ca="1" si="9"/>
        <v>1467.5455999999999</v>
      </c>
      <c r="E1073" s="3"/>
      <c r="F1073" s="3"/>
    </row>
    <row r="1074" spans="1:6" ht="14.25" x14ac:dyDescent="0.2">
      <c r="A1074" s="13">
        <f ca="1">IFERROR(__xludf.DUMMYFUNCTION("""COMPUTED_VALUE"""),45415.6458333333)</f>
        <v>45415.645833333299</v>
      </c>
      <c r="B1074" s="14">
        <f ca="1">IFERROR(__xludf.DUMMYFUNCTION("""COMPUTED_VALUE"""),1434)</f>
        <v>1434</v>
      </c>
      <c r="C1074" s="15">
        <f t="shared" ca="1" si="8"/>
        <v>-2.219494732535543E-2</v>
      </c>
      <c r="D1074" s="14">
        <f t="shared" ca="1" si="9"/>
        <v>1466.8136000000002</v>
      </c>
      <c r="E1074" s="3"/>
      <c r="F1074" s="3"/>
    </row>
    <row r="1075" spans="1:6" ht="14.25" x14ac:dyDescent="0.2">
      <c r="A1075" s="13">
        <f ca="1">IFERROR(__xludf.DUMMYFUNCTION("""COMPUTED_VALUE"""),45418.6458333333)</f>
        <v>45418.645833333299</v>
      </c>
      <c r="B1075" s="14">
        <f ca="1">IFERROR(__xludf.DUMMYFUNCTION("""COMPUTED_VALUE"""),1419.53)</f>
        <v>1419.53</v>
      </c>
      <c r="C1075" s="15">
        <f t="shared" ca="1" si="8"/>
        <v>-1.0090655509065516E-2</v>
      </c>
      <c r="D1075" s="14">
        <f t="shared" ca="1" si="9"/>
        <v>1465.9926</v>
      </c>
      <c r="E1075" s="3"/>
      <c r="F1075" s="3"/>
    </row>
    <row r="1076" spans="1:6" ht="14.25" x14ac:dyDescent="0.2">
      <c r="A1076" s="13">
        <f ca="1">IFERROR(__xludf.DUMMYFUNCTION("""COMPUTED_VALUE"""),45419.6458333333)</f>
        <v>45419.645833333299</v>
      </c>
      <c r="B1076" s="14">
        <f ca="1">IFERROR(__xludf.DUMMYFUNCTION("""COMPUTED_VALUE"""),1401.48)</f>
        <v>1401.48</v>
      </c>
      <c r="C1076" s="15">
        <f t="shared" ca="1" si="8"/>
        <v>-1.2715476249181012E-2</v>
      </c>
      <c r="D1076" s="14">
        <f t="shared" ca="1" si="9"/>
        <v>1464.5422000000001</v>
      </c>
      <c r="E1076" s="3"/>
      <c r="F1076" s="3"/>
    </row>
    <row r="1077" spans="1:6" ht="14.25" x14ac:dyDescent="0.2">
      <c r="A1077" s="13">
        <f ca="1">IFERROR(__xludf.DUMMYFUNCTION("""COMPUTED_VALUE"""),45420.6458333333)</f>
        <v>45420.645833333299</v>
      </c>
      <c r="B1077" s="14">
        <f ca="1">IFERROR(__xludf.DUMMYFUNCTION("""COMPUTED_VALUE"""),1418.55)</f>
        <v>1418.55</v>
      </c>
      <c r="C1077" s="15">
        <f t="shared" ca="1" si="8"/>
        <v>1.2179981162770748E-2</v>
      </c>
      <c r="D1077" s="14">
        <f t="shared" ca="1" si="9"/>
        <v>1463.4925999999998</v>
      </c>
      <c r="E1077" s="3"/>
      <c r="F1077" s="3"/>
    </row>
    <row r="1078" spans="1:6" ht="14.25" x14ac:dyDescent="0.2">
      <c r="A1078" s="13">
        <f ca="1">IFERROR(__xludf.DUMMYFUNCTION("""COMPUTED_VALUE"""),45421.6458333333)</f>
        <v>45421.645833333299</v>
      </c>
      <c r="B1078" s="14">
        <f ca="1">IFERROR(__xludf.DUMMYFUNCTION("""COMPUTED_VALUE"""),1394.13)</f>
        <v>1394.13</v>
      </c>
      <c r="C1078" s="15">
        <f t="shared" ca="1" si="8"/>
        <v>-1.7214761552289182E-2</v>
      </c>
      <c r="D1078" s="14">
        <f t="shared" ca="1" si="9"/>
        <v>1462.0212000000001</v>
      </c>
      <c r="E1078" s="3"/>
      <c r="F1078" s="3"/>
    </row>
    <row r="1079" spans="1:6" ht="14.25" x14ac:dyDescent="0.2">
      <c r="A1079" s="13">
        <f ca="1">IFERROR(__xludf.DUMMYFUNCTION("""COMPUTED_VALUE"""),45422.6458333333)</f>
        <v>45422.645833333299</v>
      </c>
      <c r="B1079" s="14">
        <f ca="1">IFERROR(__xludf.DUMMYFUNCTION("""COMPUTED_VALUE"""),1407.43)</f>
        <v>1407.43</v>
      </c>
      <c r="C1079" s="15">
        <f t="shared" ca="1" si="8"/>
        <v>9.5399998565413036E-3</v>
      </c>
      <c r="D1079" s="14">
        <f t="shared" ca="1" si="9"/>
        <v>1460.5348000000001</v>
      </c>
      <c r="E1079" s="3"/>
      <c r="F1079" s="3"/>
    </row>
    <row r="1080" spans="1:6" ht="14.25" x14ac:dyDescent="0.2">
      <c r="A1080" s="13">
        <f ca="1">IFERROR(__xludf.DUMMYFUNCTION("""COMPUTED_VALUE"""),45425.6458333333)</f>
        <v>45425.645833333299</v>
      </c>
      <c r="B1080" s="14">
        <f ca="1">IFERROR(__xludf.DUMMYFUNCTION("""COMPUTED_VALUE"""),1402.7)</f>
        <v>1402.7</v>
      </c>
      <c r="C1080" s="15">
        <f t="shared" ca="1" si="8"/>
        <v>-3.360735525035019E-3</v>
      </c>
      <c r="D1080" s="14">
        <f t="shared" ca="1" si="9"/>
        <v>1458.7161999999998</v>
      </c>
      <c r="E1080" s="3"/>
      <c r="F1080" s="3"/>
    </row>
    <row r="1081" spans="1:6" ht="14.25" x14ac:dyDescent="0.2">
      <c r="A1081" s="13">
        <f ca="1">IFERROR(__xludf.DUMMYFUNCTION("""COMPUTED_VALUE"""),45426.6458333333)</f>
        <v>45426.645833333299</v>
      </c>
      <c r="B1081" s="14">
        <f ca="1">IFERROR(__xludf.DUMMYFUNCTION("""COMPUTED_VALUE"""),1420.08)</f>
        <v>1420.08</v>
      </c>
      <c r="C1081" s="15">
        <f t="shared" ca="1" si="8"/>
        <v>1.2390389962215753E-2</v>
      </c>
      <c r="D1081" s="14">
        <f t="shared" ca="1" si="9"/>
        <v>1457.3712000000003</v>
      </c>
      <c r="E1081" s="3"/>
      <c r="F1081" s="3"/>
    </row>
    <row r="1082" spans="1:6" ht="14.25" x14ac:dyDescent="0.2">
      <c r="A1082" s="13">
        <f ca="1">IFERROR(__xludf.DUMMYFUNCTION("""COMPUTED_VALUE"""),45427.6458333333)</f>
        <v>45427.645833333299</v>
      </c>
      <c r="B1082" s="14">
        <f ca="1">IFERROR(__xludf.DUMMYFUNCTION("""COMPUTED_VALUE"""),1416.28)</f>
        <v>1416.28</v>
      </c>
      <c r="C1082" s="15">
        <f t="shared" ca="1" si="8"/>
        <v>-2.6759055827840772E-3</v>
      </c>
      <c r="D1082" s="14">
        <f t="shared" ca="1" si="9"/>
        <v>1455.9838000000004</v>
      </c>
      <c r="E1082" s="3"/>
      <c r="F1082" s="3"/>
    </row>
    <row r="1083" spans="1:6" ht="14.25" x14ac:dyDescent="0.2">
      <c r="A1083" s="13">
        <f ca="1">IFERROR(__xludf.DUMMYFUNCTION("""COMPUTED_VALUE"""),45428.6458333333)</f>
        <v>45428.645833333299</v>
      </c>
      <c r="B1083" s="14">
        <f ca="1">IFERROR(__xludf.DUMMYFUNCTION("""COMPUTED_VALUE"""),1425.35)</f>
        <v>1425.35</v>
      </c>
      <c r="C1083" s="15">
        <f t="shared" ca="1" si="8"/>
        <v>6.4041008840058922E-3</v>
      </c>
      <c r="D1083" s="14">
        <f t="shared" ca="1" si="9"/>
        <v>1455.3782000000001</v>
      </c>
      <c r="E1083" s="3"/>
      <c r="F1083" s="3"/>
    </row>
    <row r="1084" spans="1:6" ht="14.25" x14ac:dyDescent="0.2">
      <c r="A1084" s="13">
        <f ca="1">IFERROR(__xludf.DUMMYFUNCTION("""COMPUTED_VALUE"""),45429.6458333333)</f>
        <v>45429.645833333299</v>
      </c>
      <c r="B1084" s="14">
        <f ca="1">IFERROR(__xludf.DUMMYFUNCTION("""COMPUTED_VALUE"""),1435.7)</f>
        <v>1435.7</v>
      </c>
      <c r="C1084" s="15">
        <f t="shared" ca="1" si="8"/>
        <v>7.2613743992704372E-3</v>
      </c>
      <c r="D1084" s="14">
        <f t="shared" ca="1" si="9"/>
        <v>1454.8762000000002</v>
      </c>
      <c r="E1084" s="3"/>
      <c r="F1084" s="3"/>
    </row>
    <row r="1085" spans="1:6" ht="14.25" x14ac:dyDescent="0.2">
      <c r="A1085" s="13">
        <f ca="1">IFERROR(__xludf.DUMMYFUNCTION("""COMPUTED_VALUE"""),45433.6458333333)</f>
        <v>45433.645833333299</v>
      </c>
      <c r="B1085" s="14">
        <f ca="1">IFERROR(__xludf.DUMMYFUNCTION("""COMPUTED_VALUE"""),1436.13)</f>
        <v>1436.13</v>
      </c>
      <c r="C1085" s="15">
        <f t="shared" ca="1" si="8"/>
        <v>2.9950546771617681E-4</v>
      </c>
      <c r="D1085" s="14">
        <f t="shared" ca="1" si="9"/>
        <v>1453.7562000000003</v>
      </c>
      <c r="E1085" s="3"/>
      <c r="F1085" s="3"/>
    </row>
    <row r="1086" spans="1:6" ht="14.25" x14ac:dyDescent="0.2">
      <c r="A1086" s="13">
        <f ca="1">IFERROR(__xludf.DUMMYFUNCTION("""COMPUTED_VALUE"""),45434.6458333333)</f>
        <v>45434.645833333299</v>
      </c>
      <c r="B1086" s="14">
        <f ca="1">IFERROR(__xludf.DUMMYFUNCTION("""COMPUTED_VALUE"""),1460.65)</f>
        <v>1460.65</v>
      </c>
      <c r="C1086" s="15">
        <f t="shared" ca="1" si="8"/>
        <v>1.7073663247756166E-2</v>
      </c>
      <c r="D1086" s="14">
        <f t="shared" ca="1" si="9"/>
        <v>1452.8212000000003</v>
      </c>
      <c r="E1086" s="3"/>
      <c r="F1086" s="3"/>
    </row>
    <row r="1087" spans="1:6" ht="14.25" x14ac:dyDescent="0.2">
      <c r="A1087" s="13">
        <f ca="1">IFERROR(__xludf.DUMMYFUNCTION("""COMPUTED_VALUE"""),45435.6458333333)</f>
        <v>45435.645833333299</v>
      </c>
      <c r="B1087" s="14">
        <f ca="1">IFERROR(__xludf.DUMMYFUNCTION("""COMPUTED_VALUE"""),1486.05)</f>
        <v>1486.05</v>
      </c>
      <c r="C1087" s="15">
        <f t="shared" ca="1" si="8"/>
        <v>1.7389518365111378E-2</v>
      </c>
      <c r="D1087" s="14">
        <f t="shared" ca="1" si="9"/>
        <v>1452.5382</v>
      </c>
      <c r="E1087" s="3"/>
      <c r="F1087" s="3"/>
    </row>
    <row r="1088" spans="1:6" ht="14.25" x14ac:dyDescent="0.2">
      <c r="A1088" s="13">
        <f ca="1">IFERROR(__xludf.DUMMYFUNCTION("""COMPUTED_VALUE"""),45436.6458333333)</f>
        <v>45436.645833333299</v>
      </c>
      <c r="B1088" s="14">
        <f ca="1">IFERROR(__xludf.DUMMYFUNCTION("""COMPUTED_VALUE"""),1480.25)</f>
        <v>1480.25</v>
      </c>
      <c r="C1088" s="15">
        <f t="shared" ca="1" si="8"/>
        <v>-3.902964234043238E-3</v>
      </c>
      <c r="D1088" s="14">
        <f t="shared" ca="1" si="9"/>
        <v>1452.0832</v>
      </c>
      <c r="E1088" s="3"/>
      <c r="F1088" s="3"/>
    </row>
    <row r="1089" spans="1:6" ht="14.25" x14ac:dyDescent="0.2">
      <c r="A1089" s="13">
        <f ca="1">IFERROR(__xludf.DUMMYFUNCTION("""COMPUTED_VALUE"""),45439.6458333333)</f>
        <v>45439.645833333299</v>
      </c>
      <c r="B1089" s="14">
        <f ca="1">IFERROR(__xludf.DUMMYFUNCTION("""COMPUTED_VALUE"""),1466.25)</f>
        <v>1466.25</v>
      </c>
      <c r="C1089" s="15">
        <f t="shared" ca="1" si="8"/>
        <v>-9.4578618476608423E-3</v>
      </c>
      <c r="D1089" s="14">
        <f t="shared" ca="1" si="9"/>
        <v>1451.8296</v>
      </c>
      <c r="E1089" s="3"/>
      <c r="F1089" s="3"/>
    </row>
    <row r="1090" spans="1:6" ht="14.25" x14ac:dyDescent="0.2">
      <c r="A1090" s="13">
        <f ca="1">IFERROR(__xludf.DUMMYFUNCTION("""COMPUTED_VALUE"""),45440.6458333333)</f>
        <v>45440.645833333299</v>
      </c>
      <c r="B1090" s="14">
        <f ca="1">IFERROR(__xludf.DUMMYFUNCTION("""COMPUTED_VALUE"""),1456.2)</f>
        <v>1456.2</v>
      </c>
      <c r="C1090" s="15">
        <f t="shared" ca="1" si="8"/>
        <v>-6.8542199488490496E-3</v>
      </c>
      <c r="D1090" s="14">
        <f t="shared" ca="1" si="9"/>
        <v>1451.6215999999999</v>
      </c>
      <c r="E1090" s="3"/>
      <c r="F1090" s="3"/>
    </row>
    <row r="1091" spans="1:6" ht="14.25" x14ac:dyDescent="0.2">
      <c r="A1091" s="13">
        <f ca="1">IFERROR(__xludf.DUMMYFUNCTION("""COMPUTED_VALUE"""),45441.6458333333)</f>
        <v>45441.645833333299</v>
      </c>
      <c r="B1091" s="14">
        <f ca="1">IFERROR(__xludf.DUMMYFUNCTION("""COMPUTED_VALUE"""),1440.78)</f>
        <v>1440.78</v>
      </c>
      <c r="C1091" s="15">
        <f t="shared" ca="1" si="8"/>
        <v>-1.0589204779563266E-2</v>
      </c>
      <c r="D1091" s="14">
        <f t="shared" ca="1" si="9"/>
        <v>1450.9286</v>
      </c>
      <c r="E1091" s="3"/>
      <c r="F1091" s="3"/>
    </row>
    <row r="1092" spans="1:6" ht="14.25" x14ac:dyDescent="0.2">
      <c r="A1092" s="13">
        <f ca="1">IFERROR(__xludf.DUMMYFUNCTION("""COMPUTED_VALUE"""),45442.6458333333)</f>
        <v>45442.645833333299</v>
      </c>
      <c r="B1092" s="14">
        <f ca="1">IFERROR(__xludf.DUMMYFUNCTION("""COMPUTED_VALUE"""),1424.85)</f>
        <v>1424.85</v>
      </c>
      <c r="C1092" s="15">
        <f t="shared" ca="1" si="8"/>
        <v>-1.1056511056511065E-2</v>
      </c>
      <c r="D1092" s="14">
        <f t="shared" ca="1" si="9"/>
        <v>1450.7820000000004</v>
      </c>
      <c r="E1092" s="3"/>
      <c r="F1092" s="3"/>
    </row>
    <row r="1093" spans="1:6" ht="14.25" x14ac:dyDescent="0.2">
      <c r="A1093" s="13">
        <f ca="1">IFERROR(__xludf.DUMMYFUNCTION("""COMPUTED_VALUE"""),45443.6458333333)</f>
        <v>45443.645833333299</v>
      </c>
      <c r="B1093" s="14">
        <f ca="1">IFERROR(__xludf.DUMMYFUNCTION("""COMPUTED_VALUE"""),1430.4)</f>
        <v>1430.4</v>
      </c>
      <c r="C1093" s="15">
        <f t="shared" ca="1" si="8"/>
        <v>3.8951468575640913E-3</v>
      </c>
      <c r="D1093" s="14">
        <f t="shared" ca="1" si="9"/>
        <v>1450.7604000000001</v>
      </c>
      <c r="E1093" s="3"/>
      <c r="F1093" s="3"/>
    </row>
    <row r="1094" spans="1:6" ht="14.25" x14ac:dyDescent="0.2">
      <c r="A1094" s="13">
        <f ca="1">IFERROR(__xludf.DUMMYFUNCTION("""COMPUTED_VALUE"""),45446.6458333333)</f>
        <v>45446.645833333299</v>
      </c>
      <c r="B1094" s="14">
        <f ca="1">IFERROR(__xludf.DUMMYFUNCTION("""COMPUTED_VALUE"""),1510.33)</f>
        <v>1510.33</v>
      </c>
      <c r="C1094" s="15">
        <f t="shared" ca="1" si="8"/>
        <v>5.5879474272930496E-2</v>
      </c>
      <c r="D1094" s="14">
        <f t="shared" ca="1" si="9"/>
        <v>1452.6024000000002</v>
      </c>
      <c r="E1094" s="3"/>
      <c r="F1094" s="3"/>
    </row>
    <row r="1095" spans="1:6" ht="14.25" x14ac:dyDescent="0.2">
      <c r="A1095" s="13">
        <f ca="1">IFERROR(__xludf.DUMMYFUNCTION("""COMPUTED_VALUE"""),45447.6458333333)</f>
        <v>45447.645833333299</v>
      </c>
      <c r="B1095" s="14">
        <f ca="1">IFERROR(__xludf.DUMMYFUNCTION("""COMPUTED_VALUE"""),1397.28)</f>
        <v>1397.28</v>
      </c>
      <c r="C1095" s="15">
        <f t="shared" ca="1" si="8"/>
        <v>-7.485119146146868E-2</v>
      </c>
      <c r="D1095" s="14">
        <f t="shared" ca="1" si="9"/>
        <v>1451.7584000000002</v>
      </c>
      <c r="E1095" s="3"/>
      <c r="F1095" s="3"/>
    </row>
    <row r="1096" spans="1:6" ht="14.25" x14ac:dyDescent="0.2">
      <c r="A1096" s="13">
        <f ca="1">IFERROR(__xludf.DUMMYFUNCTION("""COMPUTED_VALUE"""),45448.6458333333)</f>
        <v>45448.645833333299</v>
      </c>
      <c r="B1096" s="14">
        <f ca="1">IFERROR(__xludf.DUMMYFUNCTION("""COMPUTED_VALUE"""),1420.75)</f>
        <v>1420.75</v>
      </c>
      <c r="C1096" s="15">
        <f t="shared" ca="1" si="8"/>
        <v>1.6796919729760607E-2</v>
      </c>
      <c r="D1096" s="14">
        <f t="shared" ca="1" si="9"/>
        <v>1451.6684000000002</v>
      </c>
      <c r="E1096" s="3"/>
      <c r="F1096" s="3"/>
    </row>
    <row r="1097" spans="1:6" ht="14.25" x14ac:dyDescent="0.2">
      <c r="A1097" s="13">
        <f ca="1">IFERROR(__xludf.DUMMYFUNCTION("""COMPUTED_VALUE"""),45449.6458333333)</f>
        <v>45449.645833333299</v>
      </c>
      <c r="B1097" s="14">
        <f ca="1">IFERROR(__xludf.DUMMYFUNCTION("""COMPUTED_VALUE"""),1431.6)</f>
        <v>1431.6</v>
      </c>
      <c r="C1097" s="15">
        <f t="shared" ca="1" si="8"/>
        <v>7.6368115431988404E-3</v>
      </c>
      <c r="D1097" s="14">
        <f t="shared" ca="1" si="9"/>
        <v>1451.4254000000001</v>
      </c>
      <c r="E1097" s="3"/>
      <c r="F1097" s="3"/>
    </row>
    <row r="1098" spans="1:6" ht="14.25" x14ac:dyDescent="0.2">
      <c r="A1098" s="13">
        <f ca="1">IFERROR(__xludf.DUMMYFUNCTION("""COMPUTED_VALUE"""),45450.6458333333)</f>
        <v>45450.645833333299</v>
      </c>
      <c r="B1098" s="14">
        <f ca="1">IFERROR(__xludf.DUMMYFUNCTION("""COMPUTED_VALUE"""),1469.95)</f>
        <v>1469.95</v>
      </c>
      <c r="C1098" s="15">
        <f t="shared" ca="1" si="8"/>
        <v>2.6788208996926688E-2</v>
      </c>
      <c r="D1098" s="14">
        <f t="shared" ca="1" si="9"/>
        <v>1451.8047999999999</v>
      </c>
      <c r="E1098" s="3"/>
      <c r="F1098" s="3"/>
    </row>
    <row r="1099" spans="1:6" ht="14.25" x14ac:dyDescent="0.2">
      <c r="A1099" s="13">
        <f ca="1">IFERROR(__xludf.DUMMYFUNCTION("""COMPUTED_VALUE"""),45453.6458333333)</f>
        <v>45453.645833333299</v>
      </c>
      <c r="B1099" s="14">
        <f ca="1">IFERROR(__xludf.DUMMYFUNCTION("""COMPUTED_VALUE"""),1471.4)</f>
        <v>1471.4</v>
      </c>
      <c r="C1099" s="15">
        <f t="shared" ca="1" si="8"/>
        <v>9.8642810979976403E-4</v>
      </c>
      <c r="D1099" s="14">
        <f t="shared" ca="1" si="9"/>
        <v>1452.1322</v>
      </c>
      <c r="E1099" s="3"/>
      <c r="F1099" s="3"/>
    </row>
    <row r="1100" spans="1:6" ht="14.25" x14ac:dyDescent="0.2">
      <c r="A1100" s="13">
        <f ca="1">IFERROR(__xludf.DUMMYFUNCTION("""COMPUTED_VALUE"""),45454.6458333333)</f>
        <v>45454.645833333299</v>
      </c>
      <c r="B1100" s="14">
        <f ca="1">IFERROR(__xludf.DUMMYFUNCTION("""COMPUTED_VALUE"""),1456.68)</f>
        <v>1456.68</v>
      </c>
      <c r="C1100" s="15">
        <f t="shared" ca="1" si="8"/>
        <v>-1.0004077749082518E-2</v>
      </c>
      <c r="D1100" s="14">
        <f t="shared" ca="1" si="9"/>
        <v>1452.4341999999995</v>
      </c>
      <c r="E1100" s="3"/>
      <c r="F1100" s="3"/>
    </row>
    <row r="1101" spans="1:6" ht="14.25" x14ac:dyDescent="0.2">
      <c r="A1101" s="13">
        <f ca="1">IFERROR(__xludf.DUMMYFUNCTION("""COMPUTED_VALUE"""),45455.6458333333)</f>
        <v>45455.645833333299</v>
      </c>
      <c r="B1101" s="14">
        <f ca="1">IFERROR(__xludf.DUMMYFUNCTION("""COMPUTED_VALUE"""),1463.33)</f>
        <v>1463.33</v>
      </c>
      <c r="C1101" s="15">
        <f t="shared" ca="1" si="8"/>
        <v>4.5651756047999648E-3</v>
      </c>
      <c r="D1101" s="14">
        <f t="shared" ca="1" si="9"/>
        <v>1451.8437999999996</v>
      </c>
      <c r="E1101" s="3"/>
      <c r="F1101" s="3"/>
    </row>
    <row r="1102" spans="1:6" ht="14.25" x14ac:dyDescent="0.2">
      <c r="A1102" s="13">
        <f ca="1">IFERROR(__xludf.DUMMYFUNCTION("""COMPUTED_VALUE"""),45456.6458333333)</f>
        <v>45456.645833333299</v>
      </c>
      <c r="B1102" s="14">
        <f ca="1">IFERROR(__xludf.DUMMYFUNCTION("""COMPUTED_VALUE"""),1465.25)</f>
        <v>1465.25</v>
      </c>
      <c r="C1102" s="15">
        <f t="shared" ca="1" si="8"/>
        <v>1.3120758817217748E-3</v>
      </c>
      <c r="D1102" s="14">
        <f t="shared" ca="1" si="9"/>
        <v>1451.4317999999996</v>
      </c>
      <c r="E1102" s="3"/>
      <c r="F1102" s="3"/>
    </row>
    <row r="1103" spans="1:6" ht="14.25" x14ac:dyDescent="0.2">
      <c r="A1103" s="13">
        <f ca="1">IFERROR(__xludf.DUMMYFUNCTION("""COMPUTED_VALUE"""),45457.6458333333)</f>
        <v>45457.645833333299</v>
      </c>
      <c r="B1103" s="14">
        <f ca="1">IFERROR(__xludf.DUMMYFUNCTION("""COMPUTED_VALUE"""),1477.55)</f>
        <v>1477.55</v>
      </c>
      <c r="C1103" s="15">
        <f t="shared" ca="1" si="8"/>
        <v>8.3944719331172646E-3</v>
      </c>
      <c r="D1103" s="14">
        <f t="shared" ca="1" si="9"/>
        <v>1451.2871999999995</v>
      </c>
      <c r="E1103" s="3"/>
      <c r="F1103" s="3"/>
    </row>
    <row r="1104" spans="1:6" ht="14.25" x14ac:dyDescent="0.2">
      <c r="A1104" s="13">
        <f ca="1">IFERROR(__xludf.DUMMYFUNCTION("""COMPUTED_VALUE"""),45461.6458333333)</f>
        <v>45461.645833333299</v>
      </c>
      <c r="B1104" s="14">
        <f ca="1">IFERROR(__xludf.DUMMYFUNCTION("""COMPUTED_VALUE"""),1481.03)</f>
        <v>1481.03</v>
      </c>
      <c r="C1104" s="15">
        <f t="shared" ca="1" si="8"/>
        <v>2.3552502453385582E-3</v>
      </c>
      <c r="D1104" s="14">
        <f t="shared" ca="1" si="9"/>
        <v>1451.1687999999997</v>
      </c>
      <c r="E1104" s="3"/>
      <c r="F1104" s="3"/>
    </row>
    <row r="1105" spans="1:6" ht="14.25" x14ac:dyDescent="0.2">
      <c r="A1105" s="13">
        <f ca="1">IFERROR(__xludf.DUMMYFUNCTION("""COMPUTED_VALUE"""),45462.6458333333)</f>
        <v>45462.645833333299</v>
      </c>
      <c r="B1105" s="14">
        <f ca="1">IFERROR(__xludf.DUMMYFUNCTION("""COMPUTED_VALUE"""),1458.65)</f>
        <v>1458.65</v>
      </c>
      <c r="C1105" s="15">
        <f t="shared" ca="1" si="8"/>
        <v>-1.511110510928193E-2</v>
      </c>
      <c r="D1105" s="14">
        <f t="shared" ca="1" si="9"/>
        <v>1450.9097999999994</v>
      </c>
      <c r="E1105" s="3"/>
      <c r="F1105" s="3"/>
    </row>
    <row r="1106" spans="1:6" ht="14.25" x14ac:dyDescent="0.2">
      <c r="A1106" s="13">
        <f ca="1">IFERROR(__xludf.DUMMYFUNCTION("""COMPUTED_VALUE"""),45463.6458333333)</f>
        <v>45463.645833333299</v>
      </c>
      <c r="B1106" s="14">
        <f ca="1">IFERROR(__xludf.DUMMYFUNCTION("""COMPUTED_VALUE"""),1473.7)</f>
        <v>1473.7</v>
      </c>
      <c r="C1106" s="15">
        <f t="shared" ca="1" si="8"/>
        <v>1.0317759572207041E-2</v>
      </c>
      <c r="D1106" s="14">
        <f t="shared" ca="1" si="9"/>
        <v>1451.1251999999995</v>
      </c>
      <c r="E1106" s="3"/>
      <c r="F1106" s="3"/>
    </row>
    <row r="1107" spans="1:6" ht="14.25" x14ac:dyDescent="0.2">
      <c r="A1107" s="13">
        <f ca="1">IFERROR(__xludf.DUMMYFUNCTION("""COMPUTED_VALUE"""),45464.6458333333)</f>
        <v>45464.645833333299</v>
      </c>
      <c r="B1107" s="14">
        <f ca="1">IFERROR(__xludf.DUMMYFUNCTION("""COMPUTED_VALUE"""),1454.2)</f>
        <v>1454.2</v>
      </c>
      <c r="C1107" s="15">
        <f t="shared" ca="1" si="8"/>
        <v>-1.323200108570266E-2</v>
      </c>
      <c r="D1107" s="14">
        <f t="shared" ca="1" si="9"/>
        <v>1451.0071999999993</v>
      </c>
      <c r="E1107" s="3"/>
      <c r="F1107" s="3"/>
    </row>
    <row r="1108" spans="1:6" ht="14.25" x14ac:dyDescent="0.2">
      <c r="A1108" s="13">
        <f ca="1">IFERROR(__xludf.DUMMYFUNCTION("""COMPUTED_VALUE"""),45467.6458333333)</f>
        <v>45467.645833333299</v>
      </c>
      <c r="B1108" s="14">
        <f ca="1">IFERROR(__xludf.DUMMYFUNCTION("""COMPUTED_VALUE"""),1441.48)</f>
        <v>1441.48</v>
      </c>
      <c r="C1108" s="15">
        <f t="shared" ca="1" si="8"/>
        <v>-8.7470774308898713E-3</v>
      </c>
      <c r="D1108" s="14">
        <f t="shared" ca="1" si="9"/>
        <v>1450.1171999999997</v>
      </c>
      <c r="E1108" s="3"/>
      <c r="F1108" s="3"/>
    </row>
    <row r="1109" spans="1:6" ht="14.25" x14ac:dyDescent="0.2">
      <c r="A1109" s="13">
        <f ca="1">IFERROR(__xludf.DUMMYFUNCTION("""COMPUTED_VALUE"""),45468.6458333333)</f>
        <v>45468.645833333299</v>
      </c>
      <c r="B1109" s="14">
        <f ca="1">IFERROR(__xludf.DUMMYFUNCTION("""COMPUTED_VALUE"""),1454.15)</f>
        <v>1454.15</v>
      </c>
      <c r="C1109" s="15">
        <f t="shared" ca="1" si="8"/>
        <v>8.7895773788051468E-3</v>
      </c>
      <c r="D1109" s="14">
        <f t="shared" ca="1" si="9"/>
        <v>1449.9271999999994</v>
      </c>
      <c r="E1109" s="3"/>
      <c r="F1109" s="3"/>
    </row>
    <row r="1110" spans="1:6" ht="14.25" x14ac:dyDescent="0.2">
      <c r="A1110" s="13">
        <f ca="1">IFERROR(__xludf.DUMMYFUNCTION("""COMPUTED_VALUE"""),45469.6458333333)</f>
        <v>45469.645833333299</v>
      </c>
      <c r="B1110" s="14">
        <f ca="1">IFERROR(__xludf.DUMMYFUNCTION("""COMPUTED_VALUE"""),1514.03)</f>
        <v>1514.03</v>
      </c>
      <c r="C1110" s="15">
        <f t="shared" ca="1" si="8"/>
        <v>4.1178695457827486E-2</v>
      </c>
      <c r="D1110" s="14">
        <f t="shared" ca="1" si="9"/>
        <v>1450.6161999999997</v>
      </c>
      <c r="E1110" s="3"/>
      <c r="F1110" s="3"/>
    </row>
    <row r="1111" spans="1:6" ht="14.25" x14ac:dyDescent="0.2">
      <c r="A1111" s="13">
        <f ca="1">IFERROR(__xludf.DUMMYFUNCTION("""COMPUTED_VALUE"""),45470.6458333333)</f>
        <v>45470.645833333299</v>
      </c>
      <c r="B1111" s="14">
        <f ca="1">IFERROR(__xludf.DUMMYFUNCTION("""COMPUTED_VALUE"""),1530.55)</f>
        <v>1530.55</v>
      </c>
      <c r="C1111" s="15">
        <f t="shared" ca="1" si="8"/>
        <v>1.0911276526885283E-2</v>
      </c>
      <c r="D1111" s="14">
        <f t="shared" ca="1" si="9"/>
        <v>1451.8841999999995</v>
      </c>
      <c r="E1111" s="3"/>
      <c r="F1111" s="3"/>
    </row>
    <row r="1112" spans="1:6" ht="14.25" x14ac:dyDescent="0.2">
      <c r="A1112" s="13">
        <f ca="1">IFERROR(__xludf.DUMMYFUNCTION("""COMPUTED_VALUE"""),45471.6458333333)</f>
        <v>45471.645833333299</v>
      </c>
      <c r="B1112" s="14">
        <f ca="1">IFERROR(__xludf.DUMMYFUNCTION("""COMPUTED_VALUE"""),1565.4)</f>
        <v>1565.4</v>
      </c>
      <c r="C1112" s="15">
        <f t="shared" ca="1" si="8"/>
        <v>2.2769592630100366E-2</v>
      </c>
      <c r="D1112" s="14">
        <f t="shared" ca="1" si="9"/>
        <v>1453.8955999999996</v>
      </c>
      <c r="E1112" s="3"/>
      <c r="F1112" s="3"/>
    </row>
    <row r="1113" spans="1:6" ht="14.25" x14ac:dyDescent="0.2">
      <c r="A1113" s="13">
        <f ca="1">IFERROR(__xludf.DUMMYFUNCTION("""COMPUTED_VALUE"""),45474.6458333333)</f>
        <v>45474.645833333299</v>
      </c>
      <c r="B1113" s="14">
        <f ca="1">IFERROR(__xludf.DUMMYFUNCTION("""COMPUTED_VALUE"""),1560.15)</f>
        <v>1560.15</v>
      </c>
      <c r="C1113" s="15">
        <f t="shared" ca="1" si="8"/>
        <v>-3.3537753928708502E-3</v>
      </c>
      <c r="D1113" s="14">
        <f t="shared" ca="1" si="9"/>
        <v>1455.7835999999998</v>
      </c>
      <c r="E1113" s="3"/>
      <c r="F1113" s="3"/>
    </row>
    <row r="1114" spans="1:6" ht="14.25" x14ac:dyDescent="0.2">
      <c r="A1114" s="13">
        <f ca="1">IFERROR(__xludf.DUMMYFUNCTION("""COMPUTED_VALUE"""),45475.6458333333)</f>
        <v>45475.645833333299</v>
      </c>
      <c r="B1114" s="14">
        <f ca="1">IFERROR(__xludf.DUMMYFUNCTION("""COMPUTED_VALUE"""),1565.18)</f>
        <v>1565.18</v>
      </c>
      <c r="C1114" s="15">
        <f t="shared" ca="1" si="8"/>
        <v>3.2240489696502284E-3</v>
      </c>
      <c r="D1114" s="14">
        <f t="shared" ca="1" si="9"/>
        <v>1457.8005999999996</v>
      </c>
      <c r="E1114" s="3"/>
      <c r="F1114" s="3"/>
    </row>
    <row r="1115" spans="1:6" ht="14.25" x14ac:dyDescent="0.2">
      <c r="A1115" s="13">
        <f ca="1">IFERROR(__xludf.DUMMYFUNCTION("""COMPUTED_VALUE"""),45476.6458333333)</f>
        <v>45476.645833333299</v>
      </c>
      <c r="B1115" s="14">
        <f ca="1">IFERROR(__xludf.DUMMYFUNCTION("""COMPUTED_VALUE"""),1552.43)</f>
        <v>1552.43</v>
      </c>
      <c r="C1115" s="15">
        <f t="shared" ca="1" si="8"/>
        <v>-8.1460279328895435E-3</v>
      </c>
      <c r="D1115" s="14">
        <f t="shared" ca="1" si="9"/>
        <v>1459.4465999999995</v>
      </c>
      <c r="E1115" s="3"/>
      <c r="F1115" s="3"/>
    </row>
    <row r="1116" spans="1:6" ht="14.25" x14ac:dyDescent="0.2">
      <c r="A1116" s="13">
        <f ca="1">IFERROR(__xludf.DUMMYFUNCTION("""COMPUTED_VALUE"""),45477.6458333333)</f>
        <v>45477.645833333299</v>
      </c>
      <c r="B1116" s="14">
        <f ca="1">IFERROR(__xludf.DUMMYFUNCTION("""COMPUTED_VALUE"""),1554.03)</f>
        <v>1554.03</v>
      </c>
      <c r="C1116" s="15">
        <f t="shared" ca="1" si="8"/>
        <v>1.0306422833878948E-3</v>
      </c>
      <c r="D1116" s="14">
        <f t="shared" ca="1" si="9"/>
        <v>1460.9301999999993</v>
      </c>
      <c r="E1116" s="3"/>
      <c r="F1116" s="3"/>
    </row>
    <row r="1117" spans="1:6" ht="14.25" x14ac:dyDescent="0.2">
      <c r="A1117" s="13">
        <f ca="1">IFERROR(__xludf.DUMMYFUNCTION("""COMPUTED_VALUE"""),45478.6458333333)</f>
        <v>45478.645833333299</v>
      </c>
      <c r="B1117" s="14">
        <f ca="1">IFERROR(__xludf.DUMMYFUNCTION("""COMPUTED_VALUE"""),1588.63)</f>
        <v>1588.63</v>
      </c>
      <c r="C1117" s="15">
        <f t="shared" ca="1" si="8"/>
        <v>2.226469244480489E-2</v>
      </c>
      <c r="D1117" s="14">
        <f t="shared" ca="1" si="9"/>
        <v>1463.5162</v>
      </c>
      <c r="E1117" s="3"/>
      <c r="F1117" s="3"/>
    </row>
    <row r="1118" spans="1:6" ht="14.25" x14ac:dyDescent="0.2">
      <c r="A1118" s="13">
        <f ca="1">IFERROR(__xludf.DUMMYFUNCTION("""COMPUTED_VALUE"""),45481.6458333333)</f>
        <v>45481.645833333299</v>
      </c>
      <c r="B1118" s="14">
        <f ca="1">IFERROR(__xludf.DUMMYFUNCTION("""COMPUTED_VALUE"""),1600.9)</f>
        <v>1600.9</v>
      </c>
      <c r="C1118" s="15">
        <f t="shared" ca="1" si="8"/>
        <v>7.7236360889572087E-3</v>
      </c>
      <c r="D1118" s="14">
        <f t="shared" ca="1" si="9"/>
        <v>1466.5306</v>
      </c>
      <c r="E1118" s="3"/>
      <c r="F1118" s="3"/>
    </row>
    <row r="1119" spans="1:6" ht="14.25" x14ac:dyDescent="0.2">
      <c r="A1119" s="13">
        <f ca="1">IFERROR(__xludf.DUMMYFUNCTION("""COMPUTED_VALUE"""),45482.6458333333)</f>
        <v>45482.645833333299</v>
      </c>
      <c r="B1119" s="14">
        <f ca="1">IFERROR(__xludf.DUMMYFUNCTION("""COMPUTED_VALUE"""),1590.28)</f>
        <v>1590.28</v>
      </c>
      <c r="C1119" s="15">
        <f t="shared" ca="1" si="8"/>
        <v>-6.633768505215909E-3</v>
      </c>
      <c r="D1119" s="14">
        <f t="shared" ca="1" si="9"/>
        <v>1469.1365999999998</v>
      </c>
      <c r="E1119" s="3"/>
      <c r="F1119" s="3"/>
    </row>
    <row r="1120" spans="1:6" ht="14.25" x14ac:dyDescent="0.2">
      <c r="A1120" s="13">
        <f ca="1">IFERROR(__xludf.DUMMYFUNCTION("""COMPUTED_VALUE"""),45483.6458333333)</f>
        <v>45483.645833333299</v>
      </c>
      <c r="B1120" s="14">
        <f ca="1">IFERROR(__xludf.DUMMYFUNCTION("""COMPUTED_VALUE"""),1584.23)</f>
        <v>1584.23</v>
      </c>
      <c r="C1120" s="15">
        <f t="shared" ca="1" si="8"/>
        <v>-3.8043614960887595E-3</v>
      </c>
      <c r="D1120" s="14">
        <f t="shared" ca="1" si="9"/>
        <v>1471.7701999999999</v>
      </c>
      <c r="E1120" s="3"/>
      <c r="F1120" s="3"/>
    </row>
    <row r="1121" spans="1:6" ht="14.25" x14ac:dyDescent="0.2">
      <c r="A1121" s="13">
        <f ca="1">IFERROR(__xludf.DUMMYFUNCTION("""COMPUTED_VALUE"""),45484.6458333333)</f>
        <v>45484.645833333299</v>
      </c>
      <c r="B1121" s="14">
        <f ca="1">IFERROR(__xludf.DUMMYFUNCTION("""COMPUTED_VALUE"""),1580.65)</f>
        <v>1580.65</v>
      </c>
      <c r="C1121" s="15">
        <f t="shared" ca="1" si="8"/>
        <v>-2.2597728865126898E-3</v>
      </c>
      <c r="D1121" s="14">
        <f t="shared" ca="1" si="9"/>
        <v>1474.0825999999997</v>
      </c>
      <c r="E1121" s="3"/>
      <c r="F1121" s="3"/>
    </row>
    <row r="1122" spans="1:6" ht="14.25" x14ac:dyDescent="0.2">
      <c r="A1122" s="13">
        <f ca="1">IFERROR(__xludf.DUMMYFUNCTION("""COMPUTED_VALUE"""),45485.6458333333)</f>
        <v>45485.645833333299</v>
      </c>
      <c r="B1122" s="14">
        <f ca="1">IFERROR(__xludf.DUMMYFUNCTION("""COMPUTED_VALUE"""),1596.73)</f>
        <v>1596.73</v>
      </c>
      <c r="C1122" s="15">
        <f t="shared" ca="1" si="8"/>
        <v>1.0173030082560874E-2</v>
      </c>
      <c r="D1122" s="14">
        <f t="shared" ca="1" si="9"/>
        <v>1476.6771999999996</v>
      </c>
      <c r="E1122" s="3"/>
      <c r="F1122" s="3"/>
    </row>
    <row r="1123" spans="1:6" ht="14.25" x14ac:dyDescent="0.2">
      <c r="A1123" s="13">
        <f ca="1">IFERROR(__xludf.DUMMYFUNCTION("""COMPUTED_VALUE"""),45488.6458333333)</f>
        <v>45488.645833333299</v>
      </c>
      <c r="B1123" s="14">
        <f ca="1">IFERROR(__xludf.DUMMYFUNCTION("""COMPUTED_VALUE"""),1597.23)</f>
        <v>1597.23</v>
      </c>
      <c r="C1123" s="15">
        <f t="shared" ca="1" si="8"/>
        <v>3.1313997983373199E-4</v>
      </c>
      <c r="D1123" s="14">
        <f t="shared" ca="1" si="9"/>
        <v>1479.2907999999995</v>
      </c>
      <c r="E1123" s="3"/>
      <c r="F1123" s="3"/>
    </row>
    <row r="1124" spans="1:6" ht="14.25" x14ac:dyDescent="0.2">
      <c r="A1124" s="13">
        <f ca="1">IFERROR(__xludf.DUMMYFUNCTION("""COMPUTED_VALUE"""),45489.6458333333)</f>
        <v>45489.645833333299</v>
      </c>
      <c r="B1124" s="14">
        <f ca="1">IFERROR(__xludf.DUMMYFUNCTION("""COMPUTED_VALUE"""),1576.25)</f>
        <v>1576.25</v>
      </c>
      <c r="C1124" s="15">
        <f t="shared" ca="1" si="8"/>
        <v>-1.3135240384916425E-2</v>
      </c>
      <c r="D1124" s="14">
        <f t="shared" ca="1" si="9"/>
        <v>1482.1357999999998</v>
      </c>
      <c r="E1124" s="3"/>
      <c r="F1124" s="3"/>
    </row>
    <row r="1125" spans="1:6" ht="14.25" x14ac:dyDescent="0.2">
      <c r="A1125" s="13">
        <f ca="1">IFERROR(__xludf.DUMMYFUNCTION("""COMPUTED_VALUE"""),45491.6458333333)</f>
        <v>45491.645833333299</v>
      </c>
      <c r="B1125" s="14">
        <f ca="1">IFERROR(__xludf.DUMMYFUNCTION("""COMPUTED_VALUE"""),1586.68)</f>
        <v>1586.68</v>
      </c>
      <c r="C1125" s="15">
        <f t="shared" ca="1" si="8"/>
        <v>6.6169706582077659E-3</v>
      </c>
      <c r="D1125" s="14">
        <f t="shared" ca="1" si="9"/>
        <v>1485.4787999999999</v>
      </c>
      <c r="E1125" s="3"/>
      <c r="F1125" s="3"/>
    </row>
    <row r="1126" spans="1:6" ht="14.25" x14ac:dyDescent="0.2">
      <c r="A1126" s="13">
        <f ca="1">IFERROR(__xludf.DUMMYFUNCTION("""COMPUTED_VALUE"""),45492.6458333333)</f>
        <v>45492.645833333299</v>
      </c>
      <c r="B1126" s="14">
        <f ca="1">IFERROR(__xludf.DUMMYFUNCTION("""COMPUTED_VALUE"""),1555.15)</f>
        <v>1555.15</v>
      </c>
      <c r="C1126" s="15">
        <f t="shared" ca="1" si="8"/>
        <v>-1.9871681750573522E-2</v>
      </c>
      <c r="D1126" s="14">
        <f t="shared" ca="1" si="9"/>
        <v>1488.5521999999996</v>
      </c>
      <c r="E1126" s="3"/>
      <c r="F1126" s="3"/>
    </row>
    <row r="1127" spans="1:6" ht="14.25" x14ac:dyDescent="0.2">
      <c r="A1127" s="13">
        <f ca="1">IFERROR(__xludf.DUMMYFUNCTION("""COMPUTED_VALUE"""),45495.6458333333)</f>
        <v>45495.645833333299</v>
      </c>
      <c r="B1127" s="14">
        <f ca="1">IFERROR(__xludf.DUMMYFUNCTION("""COMPUTED_VALUE"""),1500.68)</f>
        <v>1500.68</v>
      </c>
      <c r="C1127" s="15">
        <f t="shared" ca="1" si="8"/>
        <v>-3.5025560235347086E-2</v>
      </c>
      <c r="D1127" s="14">
        <f t="shared" ca="1" si="9"/>
        <v>1490.1947999999995</v>
      </c>
      <c r="E1127" s="3"/>
      <c r="F1127" s="3"/>
    </row>
    <row r="1128" spans="1:6" ht="14.25" x14ac:dyDescent="0.2">
      <c r="A1128" s="13">
        <f ca="1">IFERROR(__xludf.DUMMYFUNCTION("""COMPUTED_VALUE"""),45496.6458333333)</f>
        <v>45496.645833333299</v>
      </c>
      <c r="B1128" s="14">
        <f ca="1">IFERROR(__xludf.DUMMYFUNCTION("""COMPUTED_VALUE"""),1487.9)</f>
        <v>1487.9</v>
      </c>
      <c r="C1128" s="15">
        <f t="shared" ca="1" si="8"/>
        <v>-8.516139350161267E-3</v>
      </c>
      <c r="D1128" s="14">
        <f t="shared" ca="1" si="9"/>
        <v>1492.0701999999997</v>
      </c>
      <c r="E1128" s="3"/>
      <c r="F1128" s="3"/>
    </row>
    <row r="1129" spans="1:6" ht="14.25" x14ac:dyDescent="0.2">
      <c r="A1129" s="13">
        <f ca="1">IFERROR(__xludf.DUMMYFUNCTION("""COMPUTED_VALUE"""),45497.6458333333)</f>
        <v>45497.645833333299</v>
      </c>
      <c r="B1129" s="14">
        <f ca="1">IFERROR(__xludf.DUMMYFUNCTION("""COMPUTED_VALUE"""),1495.7)</f>
        <v>1495.7</v>
      </c>
      <c r="C1129" s="15">
        <f t="shared" ca="1" si="8"/>
        <v>5.2422877881577179E-3</v>
      </c>
      <c r="D1129" s="14">
        <f t="shared" ca="1" si="9"/>
        <v>1493.8355999999997</v>
      </c>
      <c r="E1129" s="3"/>
      <c r="F1129" s="3"/>
    </row>
    <row r="1130" spans="1:6" ht="14.25" x14ac:dyDescent="0.2">
      <c r="A1130" s="13">
        <f ca="1">IFERROR(__xludf.DUMMYFUNCTION("""COMPUTED_VALUE"""),45498.6458333333)</f>
        <v>45498.645833333299</v>
      </c>
      <c r="B1130" s="14">
        <f ca="1">IFERROR(__xludf.DUMMYFUNCTION("""COMPUTED_VALUE"""),1492.4)</f>
        <v>1492.4</v>
      </c>
      <c r="C1130" s="15">
        <f t="shared" ca="1" si="8"/>
        <v>-2.2063247977535116E-3</v>
      </c>
      <c r="D1130" s="14">
        <f t="shared" ca="1" si="9"/>
        <v>1495.6295999999995</v>
      </c>
      <c r="E1130" s="3"/>
      <c r="F1130" s="3"/>
    </row>
    <row r="1131" spans="1:6" ht="14.25" x14ac:dyDescent="0.2">
      <c r="A1131" s="13">
        <f ca="1">IFERROR(__xludf.DUMMYFUNCTION("""COMPUTED_VALUE"""),45499.6458333333)</f>
        <v>45499.645833333299</v>
      </c>
      <c r="B1131" s="14">
        <f ca="1">IFERROR(__xludf.DUMMYFUNCTION("""COMPUTED_VALUE"""),1509.03)</f>
        <v>1509.03</v>
      </c>
      <c r="C1131" s="15">
        <f t="shared" ca="1" si="8"/>
        <v>1.1143125167515366E-2</v>
      </c>
      <c r="D1131" s="14">
        <f t="shared" ca="1" si="9"/>
        <v>1497.4085999999995</v>
      </c>
      <c r="E1131" s="3"/>
      <c r="F1131" s="3"/>
    </row>
    <row r="1132" spans="1:6" ht="14.25" x14ac:dyDescent="0.2">
      <c r="A1132" s="13">
        <f ca="1">IFERROR(__xludf.DUMMYFUNCTION("""COMPUTED_VALUE"""),45502.6458333333)</f>
        <v>45502.645833333299</v>
      </c>
      <c r="B1132" s="14">
        <f ca="1">IFERROR(__xludf.DUMMYFUNCTION("""COMPUTED_VALUE"""),1520.1)</f>
        <v>1520.1</v>
      </c>
      <c r="C1132" s="15">
        <f t="shared" ca="1" si="8"/>
        <v>7.3358382537125344E-3</v>
      </c>
      <c r="D1132" s="14">
        <f t="shared" ca="1" si="9"/>
        <v>1499.4849999999997</v>
      </c>
      <c r="E1132" s="3"/>
      <c r="F1132" s="3"/>
    </row>
    <row r="1133" spans="1:6" ht="14.25" x14ac:dyDescent="0.2">
      <c r="A1133" s="13">
        <f ca="1">IFERROR(__xludf.DUMMYFUNCTION("""COMPUTED_VALUE"""),45503.6458333333)</f>
        <v>45503.645833333299</v>
      </c>
      <c r="B1133" s="14">
        <f ca="1">IFERROR(__xludf.DUMMYFUNCTION("""COMPUTED_VALUE"""),1513.15)</f>
        <v>1513.15</v>
      </c>
      <c r="C1133" s="15">
        <f t="shared" ca="1" si="8"/>
        <v>-4.5720676271296945E-3</v>
      </c>
      <c r="D1133" s="14">
        <f t="shared" ca="1" si="9"/>
        <v>1501.241</v>
      </c>
      <c r="E1133" s="3"/>
      <c r="F1133" s="3"/>
    </row>
    <row r="1134" spans="1:6" ht="14.25" x14ac:dyDescent="0.2">
      <c r="A1134" s="13">
        <f ca="1">IFERROR(__xludf.DUMMYFUNCTION("""COMPUTED_VALUE"""),45504.6458333333)</f>
        <v>45504.645833333299</v>
      </c>
      <c r="B1134" s="14">
        <f ca="1">IFERROR(__xludf.DUMMYFUNCTION("""COMPUTED_VALUE"""),1505.43)</f>
        <v>1505.43</v>
      </c>
      <c r="C1134" s="15">
        <f t="shared" ca="1" si="8"/>
        <v>-5.1019396622938862E-3</v>
      </c>
      <c r="D1134" s="14">
        <f t="shared" ca="1" si="9"/>
        <v>1502.6356000000001</v>
      </c>
      <c r="E1134" s="3"/>
      <c r="F1134" s="3"/>
    </row>
    <row r="1135" spans="1:6" ht="14.25" x14ac:dyDescent="0.2">
      <c r="A1135" s="13">
        <f ca="1">IFERROR(__xludf.DUMMYFUNCTION("""COMPUTED_VALUE"""),45505.6458333333)</f>
        <v>45505.645833333299</v>
      </c>
      <c r="B1135" s="14">
        <f ca="1">IFERROR(__xludf.DUMMYFUNCTION("""COMPUTED_VALUE"""),1515.3)</f>
        <v>1515.3</v>
      </c>
      <c r="C1135" s="15">
        <f t="shared" ca="1" si="8"/>
        <v>6.5562663159361989E-3</v>
      </c>
      <c r="D1135" s="14">
        <f t="shared" ca="1" si="9"/>
        <v>1504.2190000000003</v>
      </c>
      <c r="E1135" s="3"/>
      <c r="F1135" s="3"/>
    </row>
    <row r="1136" spans="1:6" ht="14.25" x14ac:dyDescent="0.2">
      <c r="A1136" s="13">
        <f ca="1">IFERROR(__xludf.DUMMYFUNCTION("""COMPUTED_VALUE"""),45506.6458333333)</f>
        <v>45506.645833333299</v>
      </c>
      <c r="B1136" s="14">
        <f ca="1">IFERROR(__xludf.DUMMYFUNCTION("""COMPUTED_VALUE"""),1499.33)</f>
        <v>1499.33</v>
      </c>
      <c r="C1136" s="15">
        <f t="shared" ca="1" si="8"/>
        <v>-1.0539167161618179E-2</v>
      </c>
      <c r="D1136" s="14">
        <f t="shared" ca="1" si="9"/>
        <v>1504.9926</v>
      </c>
      <c r="E1136" s="3"/>
      <c r="F1136" s="3"/>
    </row>
    <row r="1137" spans="1:6" ht="14.25" x14ac:dyDescent="0.2">
      <c r="A1137" s="13">
        <f ca="1">IFERROR(__xludf.DUMMYFUNCTION("""COMPUTED_VALUE"""),45509.6458333333)</f>
        <v>45509.645833333299</v>
      </c>
      <c r="B1137" s="14">
        <f ca="1">IFERROR(__xludf.DUMMYFUNCTION("""COMPUTED_VALUE"""),1447.33)</f>
        <v>1447.33</v>
      </c>
      <c r="C1137" s="15">
        <f t="shared" ca="1" si="8"/>
        <v>-3.4682158030587051E-2</v>
      </c>
      <c r="D1137" s="14">
        <f t="shared" ca="1" si="9"/>
        <v>1504.2182000000003</v>
      </c>
      <c r="E1137" s="3"/>
      <c r="F1137" s="3"/>
    </row>
    <row r="1138" spans="1:6" ht="14.25" x14ac:dyDescent="0.2">
      <c r="A1138" s="13">
        <f ca="1">IFERROR(__xludf.DUMMYFUNCTION("""COMPUTED_VALUE"""),45510.6458333333)</f>
        <v>45510.645833333299</v>
      </c>
      <c r="B1138" s="14">
        <f ca="1">IFERROR(__xludf.DUMMYFUNCTION("""COMPUTED_VALUE"""),1456.05)</f>
        <v>1456.05</v>
      </c>
      <c r="C1138" s="15">
        <f t="shared" ca="1" si="8"/>
        <v>6.0248872060968406E-3</v>
      </c>
      <c r="D1138" s="14">
        <f t="shared" ca="1" si="9"/>
        <v>1503.7342000000003</v>
      </c>
      <c r="E1138" s="3"/>
      <c r="F1138" s="3"/>
    </row>
    <row r="1139" spans="1:6" ht="14.25" x14ac:dyDescent="0.2">
      <c r="A1139" s="13">
        <f ca="1">IFERROR(__xludf.DUMMYFUNCTION("""COMPUTED_VALUE"""),45511.6458333333)</f>
        <v>45511.645833333299</v>
      </c>
      <c r="B1139" s="14">
        <f ca="1">IFERROR(__xludf.DUMMYFUNCTION("""COMPUTED_VALUE"""),1464.83)</f>
        <v>1464.83</v>
      </c>
      <c r="C1139" s="15">
        <f t="shared" ca="1" si="8"/>
        <v>6.0300127056076569E-3</v>
      </c>
      <c r="D1139" s="14">
        <f t="shared" ca="1" si="9"/>
        <v>1503.7058000000002</v>
      </c>
      <c r="E1139" s="3"/>
      <c r="F1139" s="3"/>
    </row>
    <row r="1140" spans="1:6" ht="14.25" x14ac:dyDescent="0.2">
      <c r="A1140" s="13">
        <f ca="1">IFERROR(__xludf.DUMMYFUNCTION("""COMPUTED_VALUE"""),45512.6458333333)</f>
        <v>45512.645833333299</v>
      </c>
      <c r="B1140" s="14">
        <f ca="1">IFERROR(__xludf.DUMMYFUNCTION("""COMPUTED_VALUE"""),1449.13)</f>
        <v>1449.13</v>
      </c>
      <c r="C1140" s="15">
        <f t="shared" ca="1" si="8"/>
        <v>-1.0717967272652729E-2</v>
      </c>
      <c r="D1140" s="14">
        <f t="shared" ca="1" si="9"/>
        <v>1503.5644000000002</v>
      </c>
      <c r="E1140" s="3"/>
      <c r="F1140" s="3"/>
    </row>
    <row r="1141" spans="1:6" ht="14.25" x14ac:dyDescent="0.2">
      <c r="A1141" s="13">
        <f ca="1">IFERROR(__xludf.DUMMYFUNCTION("""COMPUTED_VALUE"""),45513.6458333333)</f>
        <v>45513.645833333299</v>
      </c>
      <c r="B1141" s="14">
        <f ca="1">IFERROR(__xludf.DUMMYFUNCTION("""COMPUTED_VALUE"""),1474.3)</f>
        <v>1474.3</v>
      </c>
      <c r="C1141" s="15">
        <f t="shared" ca="1" si="8"/>
        <v>1.736904211492396E-2</v>
      </c>
      <c r="D1141" s="14">
        <f t="shared" ca="1" si="9"/>
        <v>1504.2348000000004</v>
      </c>
      <c r="E1141" s="3"/>
      <c r="F1141" s="3"/>
    </row>
    <row r="1142" spans="1:6" ht="14.25" x14ac:dyDescent="0.2">
      <c r="A1142" s="13">
        <f ca="1">IFERROR(__xludf.DUMMYFUNCTION("""COMPUTED_VALUE"""),45516.6458333333)</f>
        <v>45516.645833333299</v>
      </c>
      <c r="B1142" s="14">
        <f ca="1">IFERROR(__xludf.DUMMYFUNCTION("""COMPUTED_VALUE"""),1460.63)</f>
        <v>1460.63</v>
      </c>
      <c r="C1142" s="15">
        <f t="shared" ca="1" si="8"/>
        <v>-9.2721969748353894E-3</v>
      </c>
      <c r="D1142" s="14">
        <f t="shared" ca="1" si="9"/>
        <v>1504.9504000000006</v>
      </c>
      <c r="E1142" s="3"/>
      <c r="F1142" s="3"/>
    </row>
    <row r="1143" spans="1:6" ht="14.25" x14ac:dyDescent="0.2">
      <c r="A1143" s="13">
        <f ca="1">IFERROR(__xludf.DUMMYFUNCTION("""COMPUTED_VALUE"""),45517.6458333333)</f>
        <v>45517.645833333299</v>
      </c>
      <c r="B1143" s="14">
        <f ca="1">IFERROR(__xludf.DUMMYFUNCTION("""COMPUTED_VALUE"""),1463.63)</f>
        <v>1463.63</v>
      </c>
      <c r="C1143" s="15">
        <f t="shared" ca="1" si="8"/>
        <v>2.0539082450723445E-3</v>
      </c>
      <c r="D1143" s="14">
        <f t="shared" ca="1" si="9"/>
        <v>1505.6150000000009</v>
      </c>
      <c r="E1143" s="3"/>
      <c r="F1143" s="3"/>
    </row>
    <row r="1144" spans="1:6" ht="14.25" x14ac:dyDescent="0.2">
      <c r="A1144" s="13">
        <f ca="1">IFERROR(__xludf.DUMMYFUNCTION("""COMPUTED_VALUE"""),45518.6458333333)</f>
        <v>45518.645833333299</v>
      </c>
      <c r="B1144" s="14">
        <f ca="1">IFERROR(__xludf.DUMMYFUNCTION("""COMPUTED_VALUE"""),1461.85)</f>
        <v>1461.85</v>
      </c>
      <c r="C1144" s="15">
        <f t="shared" ca="1" si="8"/>
        <v>-1.2161543559507937E-3</v>
      </c>
      <c r="D1144" s="14">
        <f t="shared" ca="1" si="9"/>
        <v>1504.645400000001</v>
      </c>
      <c r="E1144" s="3"/>
      <c r="F1144" s="3"/>
    </row>
    <row r="1145" spans="1:6" ht="14.25" x14ac:dyDescent="0.2">
      <c r="A1145" s="13">
        <f ca="1">IFERROR(__xludf.DUMMYFUNCTION("""COMPUTED_VALUE"""),45520.6458333333)</f>
        <v>45520.645833333299</v>
      </c>
      <c r="B1145" s="14">
        <f ca="1">IFERROR(__xludf.DUMMYFUNCTION("""COMPUTED_VALUE"""),1478.2)</f>
        <v>1478.2</v>
      </c>
      <c r="C1145" s="15">
        <f t="shared" ca="1" si="8"/>
        <v>1.118445804973156E-2</v>
      </c>
      <c r="D1145" s="14">
        <f t="shared" ca="1" si="9"/>
        <v>1506.2638000000009</v>
      </c>
      <c r="E1145" s="3"/>
      <c r="F1145" s="3"/>
    </row>
    <row r="1146" spans="1:6" ht="14.25" x14ac:dyDescent="0.2">
      <c r="A1146" s="13">
        <f ca="1">IFERROR(__xludf.DUMMYFUNCTION("""COMPUTED_VALUE"""),45523.6458333333)</f>
        <v>45523.645833333299</v>
      </c>
      <c r="B1146" s="14">
        <f ca="1">IFERROR(__xludf.DUMMYFUNCTION("""COMPUTED_VALUE"""),1488.4)</f>
        <v>1488.4</v>
      </c>
      <c r="C1146" s="15">
        <f t="shared" ca="1" si="8"/>
        <v>6.9002841293466233E-3</v>
      </c>
      <c r="D1146" s="14">
        <f t="shared" ca="1" si="9"/>
        <v>1507.6168000000007</v>
      </c>
      <c r="E1146" s="3"/>
      <c r="F1146" s="3"/>
    </row>
    <row r="1147" spans="1:6" ht="14.25" x14ac:dyDescent="0.2">
      <c r="A1147" s="13">
        <f ca="1">IFERROR(__xludf.DUMMYFUNCTION("""COMPUTED_VALUE"""),45524.6458333333)</f>
        <v>45524.645833333299</v>
      </c>
      <c r="B1147" s="14">
        <f ca="1">IFERROR(__xludf.DUMMYFUNCTION("""COMPUTED_VALUE"""),1495.95)</f>
        <v>1495.95</v>
      </c>
      <c r="C1147" s="15">
        <f t="shared" ca="1" si="8"/>
        <v>5.0725611394786263E-3</v>
      </c>
      <c r="D1147" s="14">
        <f t="shared" ca="1" si="9"/>
        <v>1508.9038000000007</v>
      </c>
      <c r="E1147" s="3"/>
      <c r="F1147" s="3"/>
    </row>
    <row r="1148" spans="1:6" ht="14.25" x14ac:dyDescent="0.2">
      <c r="A1148" s="13">
        <f ca="1">IFERROR(__xludf.DUMMYFUNCTION("""COMPUTED_VALUE"""),45525.6458333333)</f>
        <v>45525.645833333299</v>
      </c>
      <c r="B1148" s="14">
        <f ca="1">IFERROR(__xludf.DUMMYFUNCTION("""COMPUTED_VALUE"""),1498.68)</f>
        <v>1498.68</v>
      </c>
      <c r="C1148" s="15">
        <f t="shared" ca="1" si="8"/>
        <v>1.8249273037200808E-3</v>
      </c>
      <c r="D1148" s="14">
        <f t="shared" ca="1" si="9"/>
        <v>1509.4784000000002</v>
      </c>
      <c r="E1148" s="3"/>
      <c r="F1148" s="3"/>
    </row>
    <row r="1149" spans="1:6" ht="14.25" x14ac:dyDescent="0.2">
      <c r="A1149" s="13">
        <f ca="1">IFERROR(__xludf.DUMMYFUNCTION("""COMPUTED_VALUE"""),45526.6458333333)</f>
        <v>45526.645833333299</v>
      </c>
      <c r="B1149" s="14">
        <f ca="1">IFERROR(__xludf.DUMMYFUNCTION("""COMPUTED_VALUE"""),1498.13)</f>
        <v>1498.13</v>
      </c>
      <c r="C1149" s="15">
        <f t="shared" ca="1" si="8"/>
        <v>-3.6698961753001136E-4</v>
      </c>
      <c r="D1149" s="14">
        <f t="shared" ca="1" si="9"/>
        <v>1510.0130000000001</v>
      </c>
      <c r="E1149" s="3"/>
      <c r="F1149" s="3"/>
    </row>
    <row r="1150" spans="1:6" ht="14.25" x14ac:dyDescent="0.2">
      <c r="A1150" s="13">
        <f ca="1">IFERROR(__xludf.DUMMYFUNCTION("""COMPUTED_VALUE"""),45527.6458333333)</f>
        <v>45527.645833333299</v>
      </c>
      <c r="B1150" s="14">
        <f ca="1">IFERROR(__xludf.DUMMYFUNCTION("""COMPUTED_VALUE"""),1499.98)</f>
        <v>1499.98</v>
      </c>
      <c r="C1150" s="15">
        <f t="shared" ca="1" si="8"/>
        <v>1.2348728081006399E-3</v>
      </c>
      <c r="D1150" s="14">
        <f t="shared" ca="1" si="9"/>
        <v>1510.8789999999999</v>
      </c>
      <c r="E1150" s="3"/>
      <c r="F1150" s="3"/>
    </row>
    <row r="1151" spans="1:6" ht="14.25" x14ac:dyDescent="0.2">
      <c r="A1151" s="13">
        <f ca="1">IFERROR(__xludf.DUMMYFUNCTION("""COMPUTED_VALUE"""),45530.6458333333)</f>
        <v>45530.645833333299</v>
      </c>
      <c r="B1151" s="14">
        <f ca="1">IFERROR(__xludf.DUMMYFUNCTION("""COMPUTED_VALUE"""),1512.6)</f>
        <v>1512.6</v>
      </c>
      <c r="C1151" s="15">
        <f t="shared" ca="1" si="8"/>
        <v>8.4134455126068097E-3</v>
      </c>
      <c r="D1151" s="14">
        <f t="shared" ca="1" si="9"/>
        <v>1511.8643999999999</v>
      </c>
      <c r="E1151" s="3"/>
      <c r="F1151" s="3"/>
    </row>
    <row r="1152" spans="1:6" ht="14.25" x14ac:dyDescent="0.2">
      <c r="A1152" s="13">
        <f ca="1">IFERROR(__xludf.DUMMYFUNCTION("""COMPUTED_VALUE"""),45531.6458333333)</f>
        <v>45531.645833333299</v>
      </c>
      <c r="B1152" s="14">
        <f ca="1">IFERROR(__xludf.DUMMYFUNCTION("""COMPUTED_VALUE"""),1500.45)</f>
        <v>1500.45</v>
      </c>
      <c r="C1152" s="15">
        <f t="shared" ca="1" si="8"/>
        <v>-8.0325267750891438E-3</v>
      </c>
      <c r="D1152" s="14">
        <f t="shared" ca="1" si="9"/>
        <v>1512.5683999999999</v>
      </c>
      <c r="E1152" s="3"/>
      <c r="F1152" s="3"/>
    </row>
    <row r="1153" spans="1:6" ht="14.25" x14ac:dyDescent="0.2">
      <c r="A1153" s="13">
        <f ca="1">IFERROR(__xludf.DUMMYFUNCTION("""COMPUTED_VALUE"""),45532.6458333333)</f>
        <v>45532.645833333299</v>
      </c>
      <c r="B1153" s="14">
        <f ca="1">IFERROR(__xludf.DUMMYFUNCTION("""COMPUTED_VALUE"""),1498.3)</f>
        <v>1498.3</v>
      </c>
      <c r="C1153" s="15">
        <f t="shared" ca="1" si="8"/>
        <v>-1.4329034622947434E-3</v>
      </c>
      <c r="D1153" s="14">
        <f t="shared" ca="1" si="9"/>
        <v>1512.9834000000001</v>
      </c>
      <c r="E1153" s="3"/>
      <c r="F1153" s="3"/>
    </row>
    <row r="1154" spans="1:6" ht="14.25" x14ac:dyDescent="0.2">
      <c r="A1154" s="13">
        <f ca="1">IFERROR(__xludf.DUMMYFUNCTION("""COMPUTED_VALUE"""),45533.6458333333)</f>
        <v>45533.645833333299</v>
      </c>
      <c r="B1154" s="14">
        <f ca="1">IFERROR(__xludf.DUMMYFUNCTION("""COMPUTED_VALUE"""),1520.93)</f>
        <v>1520.93</v>
      </c>
      <c r="C1154" s="15">
        <f t="shared" ca="1" si="8"/>
        <v>1.5103784288860833E-2</v>
      </c>
      <c r="D1154" s="14">
        <f t="shared" ca="1" si="9"/>
        <v>1513.7813999999998</v>
      </c>
      <c r="E1154" s="3"/>
      <c r="F1154" s="3"/>
    </row>
    <row r="1155" spans="1:6" ht="14.25" x14ac:dyDescent="0.2">
      <c r="A1155" s="13">
        <f ca="1">IFERROR(__xludf.DUMMYFUNCTION("""COMPUTED_VALUE"""),45534.6458333333)</f>
        <v>45534.645833333299</v>
      </c>
      <c r="B1155" s="14">
        <f ca="1">IFERROR(__xludf.DUMMYFUNCTION("""COMPUTED_VALUE"""),1509.63)</f>
        <v>1509.63</v>
      </c>
      <c r="C1155" s="15">
        <f t="shared" ca="1" si="8"/>
        <v>-7.4296647445970532E-3</v>
      </c>
      <c r="D1155" s="14">
        <f t="shared" ca="1" si="9"/>
        <v>1514.8010000000002</v>
      </c>
      <c r="E1155" s="3"/>
      <c r="F1155" s="3"/>
    </row>
    <row r="1156" spans="1:6" ht="14.25" x14ac:dyDescent="0.2">
      <c r="A1156" s="13">
        <f ca="1">IFERROR(__xludf.DUMMYFUNCTION("""COMPUTED_VALUE"""),45537.6458333333)</f>
        <v>45537.645833333299</v>
      </c>
      <c r="B1156" s="14">
        <f ca="1">IFERROR(__xludf.DUMMYFUNCTION("""COMPUTED_VALUE"""),1516.25)</f>
        <v>1516.25</v>
      </c>
      <c r="C1156" s="15">
        <f t="shared" ca="1" si="8"/>
        <v>4.3851804746857237E-3</v>
      </c>
      <c r="D1156" s="14">
        <f t="shared" ca="1" si="9"/>
        <v>1515.652</v>
      </c>
      <c r="E1156" s="3"/>
      <c r="F1156" s="3"/>
    </row>
    <row r="1157" spans="1:6" ht="14.25" x14ac:dyDescent="0.2">
      <c r="A1157" s="13">
        <f ca="1">IFERROR(__xludf.DUMMYFUNCTION("""COMPUTED_VALUE"""),45538.6458333333)</f>
        <v>45538.645833333299</v>
      </c>
      <c r="B1157" s="14">
        <f ca="1">IFERROR(__xludf.DUMMYFUNCTION("""COMPUTED_VALUE"""),1509.13)</f>
        <v>1509.13</v>
      </c>
      <c r="C1157" s="15">
        <f t="shared" ca="1" si="8"/>
        <v>-4.6957955482274105E-3</v>
      </c>
      <c r="D1157" s="14">
        <f t="shared" ca="1" si="9"/>
        <v>1516.7506000000003</v>
      </c>
      <c r="E1157" s="3"/>
      <c r="F1157" s="3"/>
    </row>
    <row r="1158" spans="1:6" ht="14.25" x14ac:dyDescent="0.2">
      <c r="A1158" s="13">
        <f ca="1">IFERROR(__xludf.DUMMYFUNCTION("""COMPUTED_VALUE"""),45539.6458333333)</f>
        <v>45539.645833333299</v>
      </c>
      <c r="B1158" s="14">
        <f ca="1">IFERROR(__xludf.DUMMYFUNCTION("""COMPUTED_VALUE"""),1514.55)</f>
        <v>1514.55</v>
      </c>
      <c r="C1158" s="15">
        <f t="shared" ca="1" si="8"/>
        <v>3.5914732329220822E-3</v>
      </c>
      <c r="D1158" s="14">
        <f t="shared" ca="1" si="9"/>
        <v>1518.2120000000004</v>
      </c>
      <c r="E1158" s="3"/>
      <c r="F1158" s="3"/>
    </row>
    <row r="1159" spans="1:6" ht="14.25" x14ac:dyDescent="0.2">
      <c r="A1159" s="13">
        <f ca="1">IFERROR(__xludf.DUMMYFUNCTION("""COMPUTED_VALUE"""),45540.6458333333)</f>
        <v>45540.645833333299</v>
      </c>
      <c r="B1159" s="14">
        <f ca="1">IFERROR(__xludf.DUMMYFUNCTION("""COMPUTED_VALUE"""),1492.98)</f>
        <v>1492.98</v>
      </c>
      <c r="C1159" s="15">
        <f t="shared" ca="1" si="8"/>
        <v>-1.4241854016044275E-2</v>
      </c>
      <c r="D1159" s="14">
        <f t="shared" ca="1" si="9"/>
        <v>1518.9886000000001</v>
      </c>
      <c r="E1159" s="3"/>
      <c r="F1159" s="3"/>
    </row>
    <row r="1160" spans="1:6" ht="14.25" x14ac:dyDescent="0.2">
      <c r="A1160" s="13">
        <f ca="1">IFERROR(__xludf.DUMMYFUNCTION("""COMPUTED_VALUE"""),45541.6458333333)</f>
        <v>45541.645833333299</v>
      </c>
      <c r="B1160" s="14">
        <f ca="1">IFERROR(__xludf.DUMMYFUNCTION("""COMPUTED_VALUE"""),1464.83)</f>
        <v>1464.83</v>
      </c>
      <c r="C1160" s="15">
        <f t="shared" ca="1" si="8"/>
        <v>-1.8854907634395679E-2</v>
      </c>
      <c r="D1160" s="14">
        <f t="shared" ca="1" si="9"/>
        <v>1518.0046000000002</v>
      </c>
      <c r="E1160" s="3"/>
      <c r="F1160" s="3"/>
    </row>
    <row r="1161" spans="1:6" ht="14.25" x14ac:dyDescent="0.2">
      <c r="A1161" s="13">
        <f ca="1">IFERROR(__xludf.DUMMYFUNCTION("""COMPUTED_VALUE"""),45544.6458333333)</f>
        <v>45544.645833333299</v>
      </c>
      <c r="B1161" s="14">
        <f ca="1">IFERROR(__xludf.DUMMYFUNCTION("""COMPUTED_VALUE"""),1462.45)</f>
        <v>1462.45</v>
      </c>
      <c r="C1161" s="15">
        <f t="shared" ca="1" si="8"/>
        <v>-1.6247619177651718E-3</v>
      </c>
      <c r="D1161" s="14">
        <f t="shared" ca="1" si="9"/>
        <v>1516.6426000000001</v>
      </c>
      <c r="E1161" s="3"/>
      <c r="F1161" s="3"/>
    </row>
    <row r="1162" spans="1:6" ht="14.25" x14ac:dyDescent="0.2">
      <c r="A1162" s="13">
        <f ca="1">IFERROR(__xludf.DUMMYFUNCTION("""COMPUTED_VALUE"""),45545.6458333333)</f>
        <v>45545.645833333299</v>
      </c>
      <c r="B1162" s="14">
        <f ca="1">IFERROR(__xludf.DUMMYFUNCTION("""COMPUTED_VALUE"""),1461.53)</f>
        <v>1461.53</v>
      </c>
      <c r="C1162" s="15">
        <f t="shared" ca="1" si="8"/>
        <v>-6.2908133611405681E-4</v>
      </c>
      <c r="D1162" s="14">
        <f t="shared" ca="1" si="9"/>
        <v>1514.5652000000002</v>
      </c>
      <c r="E1162" s="3"/>
      <c r="F1162" s="3"/>
    </row>
    <row r="1163" spans="1:6" ht="14.25" x14ac:dyDescent="0.2">
      <c r="A1163" s="13">
        <f ca="1">IFERROR(__xludf.DUMMYFUNCTION("""COMPUTED_VALUE"""),45546.6458333333)</f>
        <v>45546.645833333299</v>
      </c>
      <c r="B1163" s="14">
        <f ca="1">IFERROR(__xludf.DUMMYFUNCTION("""COMPUTED_VALUE"""),1451.5)</f>
        <v>1451.5</v>
      </c>
      <c r="C1163" s="15">
        <f t="shared" ca="1" si="8"/>
        <v>-6.8626713102023507E-3</v>
      </c>
      <c r="D1163" s="14">
        <f t="shared" ca="1" si="9"/>
        <v>1512.3922</v>
      </c>
      <c r="E1163" s="3"/>
      <c r="F1163" s="3"/>
    </row>
    <row r="1164" spans="1:6" ht="14.25" x14ac:dyDescent="0.2">
      <c r="A1164" s="13">
        <f ca="1">IFERROR(__xludf.DUMMYFUNCTION("""COMPUTED_VALUE"""),45547.6458333333)</f>
        <v>45547.645833333299</v>
      </c>
      <c r="B1164" s="14">
        <f ca="1">IFERROR(__xludf.DUMMYFUNCTION("""COMPUTED_VALUE"""),1479.8)</f>
        <v>1479.8</v>
      </c>
      <c r="C1164" s="15">
        <f t="shared" ca="1" si="8"/>
        <v>1.9497071994488469E-2</v>
      </c>
      <c r="D1164" s="14">
        <f t="shared" ca="1" si="9"/>
        <v>1510.6845999999996</v>
      </c>
      <c r="E1164" s="3"/>
      <c r="F1164" s="3"/>
    </row>
    <row r="1165" spans="1:6" ht="14.25" x14ac:dyDescent="0.2">
      <c r="A1165" s="13">
        <f ca="1">IFERROR(__xludf.DUMMYFUNCTION("""COMPUTED_VALUE"""),45548.6458333333)</f>
        <v>45548.645833333299</v>
      </c>
      <c r="B1165" s="14">
        <f ca="1">IFERROR(__xludf.DUMMYFUNCTION("""COMPUTED_VALUE"""),1472.63)</f>
        <v>1472.63</v>
      </c>
      <c r="C1165" s="15">
        <f t="shared" ca="1" si="8"/>
        <v>-4.8452493580212197E-3</v>
      </c>
      <c r="D1165" s="14">
        <f t="shared" ca="1" si="9"/>
        <v>1509.0885999999998</v>
      </c>
      <c r="E1165" s="3"/>
      <c r="F1165" s="3"/>
    </row>
    <row r="1166" spans="1:6" ht="14.25" x14ac:dyDescent="0.2">
      <c r="A1166" s="13">
        <f ca="1">IFERROR(__xludf.DUMMYFUNCTION("""COMPUTED_VALUE"""),45551.6458333333)</f>
        <v>45551.645833333299</v>
      </c>
      <c r="B1166" s="14">
        <f ca="1">IFERROR(__xludf.DUMMYFUNCTION("""COMPUTED_VALUE"""),1471.35)</f>
        <v>1471.35</v>
      </c>
      <c r="C1166" s="15">
        <f t="shared" ca="1" si="8"/>
        <v>-8.6919321214440348E-4</v>
      </c>
      <c r="D1166" s="14">
        <f t="shared" ca="1" si="9"/>
        <v>1507.4349999999999</v>
      </c>
      <c r="E1166" s="3"/>
      <c r="F1166" s="3"/>
    </row>
    <row r="1167" spans="1:6" ht="14.25" x14ac:dyDescent="0.2">
      <c r="A1167" s="13">
        <f ca="1">IFERROR(__xludf.DUMMYFUNCTION("""COMPUTED_VALUE"""),45552.6458333333)</f>
        <v>45552.645833333299</v>
      </c>
      <c r="B1167" s="14">
        <f ca="1">IFERROR(__xludf.DUMMYFUNCTION("""COMPUTED_VALUE"""),1472.3)</f>
        <v>1472.3</v>
      </c>
      <c r="C1167" s="15">
        <f t="shared" ca="1" si="8"/>
        <v>6.4566554524758679E-4</v>
      </c>
      <c r="D1167" s="14">
        <f t="shared" ca="1" si="9"/>
        <v>1505.1084000000003</v>
      </c>
      <c r="E1167" s="3"/>
      <c r="F1167" s="3"/>
    </row>
    <row r="1168" spans="1:6" ht="14.25" x14ac:dyDescent="0.2">
      <c r="A1168" s="13">
        <f ca="1">IFERROR(__xludf.DUMMYFUNCTION("""COMPUTED_VALUE"""),45553.6458333333)</f>
        <v>45553.645833333299</v>
      </c>
      <c r="B1168" s="14">
        <f ca="1">IFERROR(__xludf.DUMMYFUNCTION("""COMPUTED_VALUE"""),1463.45)</f>
        <v>1463.45</v>
      </c>
      <c r="C1168" s="15">
        <f t="shared" ca="1" si="8"/>
        <v>-6.0110031922840923E-3</v>
      </c>
      <c r="D1168" s="14">
        <f t="shared" ca="1" si="9"/>
        <v>1502.3594000000001</v>
      </c>
      <c r="E1168" s="3"/>
      <c r="F1168" s="3"/>
    </row>
    <row r="1169" spans="1:6" ht="14.25" x14ac:dyDescent="0.2">
      <c r="A1169" s="13">
        <f ca="1">IFERROR(__xludf.DUMMYFUNCTION("""COMPUTED_VALUE"""),45554.6458333333)</f>
        <v>45554.645833333299</v>
      </c>
      <c r="B1169" s="14">
        <f ca="1">IFERROR(__xludf.DUMMYFUNCTION("""COMPUTED_VALUE"""),1469.68)</f>
        <v>1469.68</v>
      </c>
      <c r="C1169" s="15">
        <f t="shared" ca="1" si="8"/>
        <v>4.2570637876251372E-3</v>
      </c>
      <c r="D1169" s="14">
        <f t="shared" ca="1" si="9"/>
        <v>1499.9474</v>
      </c>
      <c r="E1169" s="3"/>
      <c r="F1169" s="3"/>
    </row>
    <row r="1170" spans="1:6" ht="14.25" x14ac:dyDescent="0.2">
      <c r="A1170" s="13">
        <f ca="1">IFERROR(__xludf.DUMMYFUNCTION("""COMPUTED_VALUE"""),45555.6458333333)</f>
        <v>45555.645833333299</v>
      </c>
      <c r="B1170" s="14">
        <f ca="1">IFERROR(__xludf.DUMMYFUNCTION("""COMPUTED_VALUE"""),1485.93)</f>
        <v>1485.93</v>
      </c>
      <c r="C1170" s="15">
        <f t="shared" ca="1" si="8"/>
        <v>1.1056828697403542E-2</v>
      </c>
      <c r="D1170" s="14">
        <f t="shared" ca="1" si="9"/>
        <v>1497.9813999999997</v>
      </c>
      <c r="E1170" s="3"/>
      <c r="F1170" s="3"/>
    </row>
    <row r="1171" spans="1:6" ht="14.25" x14ac:dyDescent="0.2">
      <c r="A1171" s="13">
        <f ca="1">IFERROR(__xludf.DUMMYFUNCTION("""COMPUTED_VALUE"""),45558.6458333333)</f>
        <v>45558.645833333299</v>
      </c>
      <c r="B1171" s="14">
        <f ca="1">IFERROR(__xludf.DUMMYFUNCTION("""COMPUTED_VALUE"""),1493.38)</f>
        <v>1493.38</v>
      </c>
      <c r="C1171" s="15">
        <f t="shared" ca="1" si="8"/>
        <v>5.0136951269574848E-3</v>
      </c>
      <c r="D1171" s="14">
        <f t="shared" ca="1" si="9"/>
        <v>1496.2360000000001</v>
      </c>
      <c r="E1171" s="3"/>
      <c r="F1171" s="3"/>
    </row>
    <row r="1172" spans="1:6" ht="14.25" x14ac:dyDescent="0.2">
      <c r="A1172" s="13">
        <f ca="1">IFERROR(__xludf.DUMMYFUNCTION("""COMPUTED_VALUE"""),45559.6458333333)</f>
        <v>45559.645833333299</v>
      </c>
      <c r="B1172" s="14">
        <f ca="1">IFERROR(__xludf.DUMMYFUNCTION("""COMPUTED_VALUE"""),1489.38)</f>
        <v>1489.38</v>
      </c>
      <c r="C1172" s="15">
        <f t="shared" ca="1" si="8"/>
        <v>-2.6784877258300144E-3</v>
      </c>
      <c r="D1172" s="14">
        <f t="shared" ca="1" si="9"/>
        <v>1494.0889999999999</v>
      </c>
      <c r="E1172" s="3"/>
      <c r="F1172" s="3"/>
    </row>
    <row r="1173" spans="1:6" ht="14.25" x14ac:dyDescent="0.2">
      <c r="A1173" s="13">
        <f ca="1">IFERROR(__xludf.DUMMYFUNCTION("""COMPUTED_VALUE"""),45560.6458333333)</f>
        <v>45560.645833333299</v>
      </c>
      <c r="B1173" s="14">
        <f ca="1">IFERROR(__xludf.DUMMYFUNCTION("""COMPUTED_VALUE"""),1493.95)</f>
        <v>1493.95</v>
      </c>
      <c r="C1173" s="15">
        <f t="shared" ca="1" si="8"/>
        <v>3.0683908740549715E-3</v>
      </c>
      <c r="D1173" s="14">
        <f t="shared" ca="1" si="9"/>
        <v>1492.0233999999996</v>
      </c>
      <c r="E1173" s="3"/>
      <c r="F1173" s="3"/>
    </row>
    <row r="1174" spans="1:6" ht="14.25" x14ac:dyDescent="0.2">
      <c r="A1174" s="13">
        <f ca="1">IFERROR(__xludf.DUMMYFUNCTION("""COMPUTED_VALUE"""),45561.6458333333)</f>
        <v>45561.645833333299</v>
      </c>
      <c r="B1174" s="14">
        <f ca="1">IFERROR(__xludf.DUMMYFUNCTION("""COMPUTED_VALUE"""),1497.95)</f>
        <v>1497.95</v>
      </c>
      <c r="C1174" s="15">
        <f t="shared" ca="1" si="8"/>
        <v>2.6774657786405864E-3</v>
      </c>
      <c r="D1174" s="14">
        <f t="shared" ca="1" si="9"/>
        <v>1490.4573999999996</v>
      </c>
      <c r="E1174" s="3"/>
      <c r="F1174" s="3"/>
    </row>
    <row r="1175" spans="1:6" ht="14.25" x14ac:dyDescent="0.2">
      <c r="A1175" s="13">
        <f ca="1">IFERROR(__xludf.DUMMYFUNCTION("""COMPUTED_VALUE"""),45562.6458333333)</f>
        <v>45562.645833333299</v>
      </c>
      <c r="B1175" s="14">
        <f ca="1">IFERROR(__xludf.DUMMYFUNCTION("""COMPUTED_VALUE"""),1526.18)</f>
        <v>1526.18</v>
      </c>
      <c r="C1175" s="15">
        <f t="shared" ca="1" si="8"/>
        <v>1.8845755866350622E-2</v>
      </c>
      <c r="D1175" s="14">
        <f t="shared" ca="1" si="9"/>
        <v>1489.2474</v>
      </c>
      <c r="E1175" s="3"/>
      <c r="F1175" s="3"/>
    </row>
    <row r="1176" spans="1:6" ht="14.25" x14ac:dyDescent="0.2">
      <c r="A1176" s="13">
        <f ca="1">IFERROR(__xludf.DUMMYFUNCTION("""COMPUTED_VALUE"""),45565.6458333333)</f>
        <v>45565.645833333299</v>
      </c>
      <c r="B1176" s="14">
        <f ca="1">IFERROR(__xludf.DUMMYFUNCTION("""COMPUTED_VALUE"""),1476.58)</f>
        <v>1476.58</v>
      </c>
      <c r="C1176" s="15">
        <f t="shared" ca="1" si="8"/>
        <v>-3.2499443053899402E-2</v>
      </c>
      <c r="D1176" s="14">
        <f t="shared" ca="1" si="9"/>
        <v>1487.6759999999997</v>
      </c>
      <c r="E1176" s="3"/>
      <c r="F1176" s="3"/>
    </row>
    <row r="1177" spans="1:6" ht="14.25" x14ac:dyDescent="0.2">
      <c r="A1177" s="13">
        <f ca="1">IFERROR(__xludf.DUMMYFUNCTION("""COMPUTED_VALUE"""),45566.6458333333)</f>
        <v>45566.645833333299</v>
      </c>
      <c r="B1177" s="14">
        <f ca="1">IFERROR(__xludf.DUMMYFUNCTION("""COMPUTED_VALUE"""),1464.83)</f>
        <v>1464.83</v>
      </c>
      <c r="C1177" s="15">
        <f t="shared" ca="1" si="8"/>
        <v>-7.9575776456406455E-3</v>
      </c>
      <c r="D1177" s="14">
        <f t="shared" ca="1" si="9"/>
        <v>1486.9589999999996</v>
      </c>
      <c r="E1177" s="3"/>
      <c r="F1177" s="3"/>
    </row>
    <row r="1178" spans="1:6" ht="14.25" x14ac:dyDescent="0.2">
      <c r="A1178" s="13">
        <f ca="1">IFERROR(__xludf.DUMMYFUNCTION("""COMPUTED_VALUE"""),45568.6458333333)</f>
        <v>45568.645833333299</v>
      </c>
      <c r="B1178" s="14">
        <f ca="1">IFERROR(__xludf.DUMMYFUNCTION("""COMPUTED_VALUE"""),1406.98)</f>
        <v>1406.98</v>
      </c>
      <c r="C1178" s="15">
        <f t="shared" ca="1" si="8"/>
        <v>-3.9492637370889372E-2</v>
      </c>
      <c r="D1178" s="14">
        <f t="shared" ca="1" si="9"/>
        <v>1485.3405999999998</v>
      </c>
      <c r="E1178" s="3"/>
      <c r="F1178" s="3"/>
    </row>
    <row r="1179" spans="1:6" ht="14.25" x14ac:dyDescent="0.2">
      <c r="A1179" s="13">
        <f ca="1">IFERROR(__xludf.DUMMYFUNCTION("""COMPUTED_VALUE"""),45569.6458333333)</f>
        <v>45569.645833333299</v>
      </c>
      <c r="B1179" s="14">
        <f ca="1">IFERROR(__xludf.DUMMYFUNCTION("""COMPUTED_VALUE"""),1386.53)</f>
        <v>1386.53</v>
      </c>
      <c r="C1179" s="15">
        <f t="shared" ca="1" si="8"/>
        <v>-1.4534677109838134E-2</v>
      </c>
      <c r="D1179" s="14">
        <f t="shared" ca="1" si="9"/>
        <v>1483.1571999999996</v>
      </c>
      <c r="E1179" s="3"/>
      <c r="F1179" s="3"/>
    </row>
    <row r="1180" spans="1:6" ht="14.25" x14ac:dyDescent="0.2">
      <c r="A1180" s="13">
        <f ca="1">IFERROR(__xludf.DUMMYFUNCTION("""COMPUTED_VALUE"""),45572.6458333333)</f>
        <v>45572.645833333299</v>
      </c>
      <c r="B1180" s="14">
        <f ca="1">IFERROR(__xludf.DUMMYFUNCTION("""COMPUTED_VALUE"""),1370.73)</f>
        <v>1370.73</v>
      </c>
      <c r="C1180" s="15">
        <f t="shared" ca="1" si="8"/>
        <v>-1.1395353869011138E-2</v>
      </c>
      <c r="D1180" s="14">
        <f t="shared" ca="1" si="9"/>
        <v>1480.7237999999998</v>
      </c>
      <c r="E1180" s="3"/>
      <c r="F1180" s="3"/>
    </row>
    <row r="1181" spans="1:6" ht="14.25" x14ac:dyDescent="0.2">
      <c r="A1181" s="13">
        <f ca="1">IFERROR(__xludf.DUMMYFUNCTION("""COMPUTED_VALUE"""),45573.6458333333)</f>
        <v>45573.645833333299</v>
      </c>
      <c r="B1181" s="14">
        <f ca="1">IFERROR(__xludf.DUMMYFUNCTION("""COMPUTED_VALUE"""),1397.35)</f>
        <v>1397.35</v>
      </c>
      <c r="C1181" s="15">
        <f t="shared" ca="1" si="8"/>
        <v>1.9420308886505699E-2</v>
      </c>
      <c r="D1181" s="14">
        <f t="shared" ca="1" si="9"/>
        <v>1478.4901999999995</v>
      </c>
      <c r="E1181" s="3"/>
      <c r="F1181" s="3"/>
    </row>
    <row r="1182" spans="1:6" ht="14.25" x14ac:dyDescent="0.2">
      <c r="A1182" s="13">
        <f ca="1">IFERROR(__xludf.DUMMYFUNCTION("""COMPUTED_VALUE"""),45574.6458333333)</f>
        <v>45574.645833333299</v>
      </c>
      <c r="B1182" s="14">
        <f ca="1">IFERROR(__xludf.DUMMYFUNCTION("""COMPUTED_VALUE"""),1374.6)</f>
        <v>1374.6</v>
      </c>
      <c r="C1182" s="15">
        <f t="shared" ca="1" si="8"/>
        <v>-1.6280817261244529E-2</v>
      </c>
      <c r="D1182" s="14">
        <f t="shared" ca="1" si="9"/>
        <v>1475.5801999999999</v>
      </c>
      <c r="E1182" s="3"/>
      <c r="F1182" s="3"/>
    </row>
    <row r="1183" spans="1:6" ht="14.25" x14ac:dyDescent="0.2">
      <c r="A1183" s="13">
        <f ca="1">IFERROR(__xludf.DUMMYFUNCTION("""COMPUTED_VALUE"""),45575.6458333333)</f>
        <v>45575.645833333299</v>
      </c>
      <c r="B1183" s="14">
        <f ca="1">IFERROR(__xludf.DUMMYFUNCTION("""COMPUTED_VALUE"""),1371.05)</f>
        <v>1371.05</v>
      </c>
      <c r="C1183" s="15">
        <f t="shared" ca="1" si="8"/>
        <v>-2.5825694747562133E-3</v>
      </c>
      <c r="D1183" s="14">
        <f t="shared" ca="1" si="9"/>
        <v>1472.7382</v>
      </c>
      <c r="E1183" s="3"/>
      <c r="F1183" s="3"/>
    </row>
    <row r="1184" spans="1:6" ht="14.25" x14ac:dyDescent="0.2">
      <c r="A1184" s="13">
        <f ca="1">IFERROR(__xludf.DUMMYFUNCTION("""COMPUTED_VALUE"""),45576.6458333333)</f>
        <v>45576.645833333299</v>
      </c>
      <c r="B1184" s="14">
        <f ca="1">IFERROR(__xludf.DUMMYFUNCTION("""COMPUTED_VALUE"""),1372.1)</f>
        <v>1372.1</v>
      </c>
      <c r="C1184" s="15">
        <f t="shared" ca="1" si="8"/>
        <v>7.6583640275695863E-4</v>
      </c>
      <c r="D1184" s="14">
        <f t="shared" ca="1" si="9"/>
        <v>1470.0716000000002</v>
      </c>
      <c r="E1184" s="3"/>
      <c r="F1184" s="3"/>
    </row>
    <row r="1185" spans="1:6" ht="14.25" x14ac:dyDescent="0.2">
      <c r="A1185" s="13">
        <f ca="1">IFERROR(__xludf.DUMMYFUNCTION("""COMPUTED_VALUE"""),45579.6458333333)</f>
        <v>45579.645833333299</v>
      </c>
      <c r="B1185" s="14">
        <f ca="1">IFERROR(__xludf.DUMMYFUNCTION("""COMPUTED_VALUE"""),1372.53)</f>
        <v>1372.53</v>
      </c>
      <c r="C1185" s="15">
        <f t="shared" ca="1" si="8"/>
        <v>3.1338823700899354E-4</v>
      </c>
      <c r="D1185" s="14">
        <f t="shared" ca="1" si="9"/>
        <v>1467.2162000000003</v>
      </c>
      <c r="E1185" s="3"/>
      <c r="F1185" s="3"/>
    </row>
    <row r="1186" spans="1:6" ht="14.25" x14ac:dyDescent="0.2">
      <c r="A1186" s="13">
        <f ca="1">IFERROR(__xludf.DUMMYFUNCTION("""COMPUTED_VALUE"""),45580.6458333333)</f>
        <v>45580.645833333299</v>
      </c>
      <c r="B1186" s="14">
        <f ca="1">IFERROR(__xludf.DUMMYFUNCTION("""COMPUTED_VALUE"""),1344.03)</f>
        <v>1344.03</v>
      </c>
      <c r="C1186" s="15">
        <f t="shared" ca="1" si="8"/>
        <v>-2.0764573451946378E-2</v>
      </c>
      <c r="D1186" s="14">
        <f t="shared" ca="1" si="9"/>
        <v>1464.1102000000001</v>
      </c>
      <c r="E1186" s="3"/>
      <c r="F1186" s="3"/>
    </row>
    <row r="1187" spans="1:6" ht="14.25" x14ac:dyDescent="0.2">
      <c r="A1187" s="13">
        <f ca="1">IFERROR(__xludf.DUMMYFUNCTION("""COMPUTED_VALUE"""),45581.6458333333)</f>
        <v>45581.645833333299</v>
      </c>
      <c r="B1187" s="14">
        <f ca="1">IFERROR(__xludf.DUMMYFUNCTION("""COMPUTED_VALUE"""),1354.08)</f>
        <v>1354.08</v>
      </c>
      <c r="C1187" s="15">
        <f t="shared" ca="1" si="8"/>
        <v>7.477511662686176E-3</v>
      </c>
      <c r="D1187" s="14">
        <f t="shared" ca="1" si="9"/>
        <v>1462.2452000000003</v>
      </c>
      <c r="E1187" s="3"/>
      <c r="F1187" s="3"/>
    </row>
    <row r="1188" spans="1:6" ht="14.25" x14ac:dyDescent="0.2">
      <c r="A1188" s="13">
        <f ca="1">IFERROR(__xludf.DUMMYFUNCTION("""COMPUTED_VALUE"""),45582.6458333333)</f>
        <v>45582.645833333299</v>
      </c>
      <c r="B1188" s="14">
        <f ca="1">IFERROR(__xludf.DUMMYFUNCTION("""COMPUTED_VALUE"""),1356.43)</f>
        <v>1356.43</v>
      </c>
      <c r="C1188" s="15">
        <f t="shared" ca="1" si="8"/>
        <v>1.7354956871087346E-3</v>
      </c>
      <c r="D1188" s="14">
        <f t="shared" ca="1" si="9"/>
        <v>1460.2527999999998</v>
      </c>
      <c r="E1188" s="3"/>
      <c r="F1188" s="3"/>
    </row>
    <row r="1189" spans="1:6" ht="14.25" x14ac:dyDescent="0.2">
      <c r="A1189" s="13">
        <f ca="1">IFERROR(__xludf.DUMMYFUNCTION("""COMPUTED_VALUE"""),45583.6458333333)</f>
        <v>45583.645833333299</v>
      </c>
      <c r="B1189" s="14">
        <f ca="1">IFERROR(__xludf.DUMMYFUNCTION("""COMPUTED_VALUE"""),1359.3)</f>
        <v>1359.3</v>
      </c>
      <c r="C1189" s="15">
        <f t="shared" ca="1" si="8"/>
        <v>2.1158482192225048E-3</v>
      </c>
      <c r="D1189" s="14">
        <f t="shared" ca="1" si="9"/>
        <v>1458.1421999999998</v>
      </c>
      <c r="E1189" s="3"/>
      <c r="F1189" s="3"/>
    </row>
    <row r="1190" spans="1:6" ht="14.25" x14ac:dyDescent="0.2">
      <c r="A1190" s="13">
        <f ca="1">IFERROR(__xludf.DUMMYFUNCTION("""COMPUTED_VALUE"""),45586.6458333333)</f>
        <v>45586.645833333299</v>
      </c>
      <c r="B1190" s="14">
        <f ca="1">IFERROR(__xludf.DUMMYFUNCTION("""COMPUTED_VALUE"""),1369.2)</f>
        <v>1369.2</v>
      </c>
      <c r="C1190" s="15">
        <f t="shared" ca="1" si="8"/>
        <v>7.283160450231696E-3</v>
      </c>
      <c r="D1190" s="14">
        <f t="shared" ca="1" si="9"/>
        <v>1456.5436</v>
      </c>
      <c r="E1190" s="3"/>
      <c r="F1190" s="3"/>
    </row>
    <row r="1191" spans="1:6" ht="14.25" x14ac:dyDescent="0.2">
      <c r="A1191" s="13">
        <f ca="1">IFERROR(__xludf.DUMMYFUNCTION("""COMPUTED_VALUE"""),45587.6458333333)</f>
        <v>45587.645833333299</v>
      </c>
      <c r="B1191" s="14">
        <f ca="1">IFERROR(__xludf.DUMMYFUNCTION("""COMPUTED_VALUE"""),1343.35)</f>
        <v>1343.35</v>
      </c>
      <c r="C1191" s="15">
        <f t="shared" ca="1" si="8"/>
        <v>-1.8879637744668498E-2</v>
      </c>
      <c r="D1191" s="14">
        <f t="shared" ca="1" si="9"/>
        <v>1453.9245999999998</v>
      </c>
      <c r="E1191" s="3"/>
      <c r="F1191" s="3"/>
    </row>
    <row r="1192" spans="1:6" ht="14.25" x14ac:dyDescent="0.2">
      <c r="A1192" s="13">
        <f ca="1">IFERROR(__xludf.DUMMYFUNCTION("""COMPUTED_VALUE"""),45588.6458333333)</f>
        <v>45588.645833333299</v>
      </c>
      <c r="B1192" s="14">
        <f ca="1">IFERROR(__xludf.DUMMYFUNCTION("""COMPUTED_VALUE"""),1338.53)</f>
        <v>1338.53</v>
      </c>
      <c r="C1192" s="15">
        <f t="shared" ca="1" si="8"/>
        <v>-3.5880448133397413E-3</v>
      </c>
      <c r="D1192" s="14">
        <f t="shared" ca="1" si="9"/>
        <v>1451.4825999999998</v>
      </c>
      <c r="E1192" s="3"/>
      <c r="F1192" s="3"/>
    </row>
    <row r="1193" spans="1:6" ht="14.25" x14ac:dyDescent="0.2">
      <c r="A1193" s="13">
        <f ca="1">IFERROR(__xludf.DUMMYFUNCTION("""COMPUTED_VALUE"""),45589.6458333333)</f>
        <v>45589.645833333299</v>
      </c>
      <c r="B1193" s="14">
        <f ca="1">IFERROR(__xludf.DUMMYFUNCTION("""COMPUTED_VALUE"""),1339.8)</f>
        <v>1339.8</v>
      </c>
      <c r="C1193" s="15">
        <f t="shared" ca="1" si="8"/>
        <v>9.4880204403335888E-4</v>
      </c>
      <c r="D1193" s="14">
        <f t="shared" ca="1" si="9"/>
        <v>1449.0060000000001</v>
      </c>
      <c r="E1193" s="3"/>
      <c r="F1193" s="3"/>
    </row>
    <row r="1194" spans="1:6" ht="14.25" x14ac:dyDescent="0.2">
      <c r="A1194" s="13">
        <f ca="1">IFERROR(__xludf.DUMMYFUNCTION("""COMPUTED_VALUE"""),45590.6458333333)</f>
        <v>45590.645833333299</v>
      </c>
      <c r="B1194" s="14">
        <f ca="1">IFERROR(__xludf.DUMMYFUNCTION("""COMPUTED_VALUE"""),1327.85)</f>
        <v>1327.85</v>
      </c>
      <c r="C1194" s="15">
        <f t="shared" ca="1" si="8"/>
        <v>-8.9192416778623995E-3</v>
      </c>
      <c r="D1194" s="14">
        <f t="shared" ca="1" si="9"/>
        <v>1446.326</v>
      </c>
      <c r="E1194" s="3"/>
      <c r="F1194" s="3"/>
    </row>
    <row r="1195" spans="1:6" ht="14.25" x14ac:dyDescent="0.2">
      <c r="A1195" s="13">
        <f ca="1">IFERROR(__xludf.DUMMYFUNCTION("""COMPUTED_VALUE"""),45593.6458333333)</f>
        <v>45593.645833333299</v>
      </c>
      <c r="B1195" s="14">
        <f ca="1">IFERROR(__xludf.DUMMYFUNCTION("""COMPUTED_VALUE"""),1334.35)</f>
        <v>1334.35</v>
      </c>
      <c r="C1195" s="15">
        <f t="shared" ca="1" si="8"/>
        <v>4.8951312271716674E-3</v>
      </c>
      <c r="D1195" s="14">
        <f t="shared" ca="1" si="9"/>
        <v>1443.4490000000003</v>
      </c>
      <c r="E1195" s="3"/>
      <c r="F1195" s="3"/>
    </row>
    <row r="1196" spans="1:6" ht="14.25" x14ac:dyDescent="0.2">
      <c r="A1196" s="13">
        <f ca="1">IFERROR(__xludf.DUMMYFUNCTION("""COMPUTED_VALUE"""),45594.6458333333)</f>
        <v>45594.645833333299</v>
      </c>
      <c r="B1196" s="14">
        <f ca="1">IFERROR(__xludf.DUMMYFUNCTION("""COMPUTED_VALUE"""),1340)</f>
        <v>1340</v>
      </c>
      <c r="C1196" s="15">
        <f t="shared" ca="1" si="8"/>
        <v>4.2342713680818544E-3</v>
      </c>
      <c r="D1196" s="14">
        <f t="shared" ca="1" si="9"/>
        <v>1440.481</v>
      </c>
      <c r="E1196" s="3"/>
      <c r="F1196" s="3"/>
    </row>
    <row r="1197" spans="1:6" ht="14.25" x14ac:dyDescent="0.2">
      <c r="A1197" s="13">
        <f ca="1">IFERROR(__xludf.DUMMYFUNCTION("""COMPUTED_VALUE"""),45595.6458333333)</f>
        <v>45595.645833333299</v>
      </c>
      <c r="B1197" s="14">
        <f ca="1">IFERROR(__xludf.DUMMYFUNCTION("""COMPUTED_VALUE"""),1343.9)</f>
        <v>1343.9</v>
      </c>
      <c r="C1197" s="15">
        <f t="shared" ca="1" si="8"/>
        <v>2.9104477611940904E-3</v>
      </c>
      <c r="D1197" s="14">
        <f t="shared" ca="1" si="9"/>
        <v>1437.44</v>
      </c>
      <c r="E1197" s="3"/>
      <c r="F1197" s="3"/>
    </row>
    <row r="1198" spans="1:6" ht="14.25" x14ac:dyDescent="0.2">
      <c r="A1198" s="13">
        <f ca="1">IFERROR(__xludf.DUMMYFUNCTION("""COMPUTED_VALUE"""),45596.6458333333)</f>
        <v>45596.645833333299</v>
      </c>
      <c r="B1198" s="14">
        <f ca="1">IFERROR(__xludf.DUMMYFUNCTION("""COMPUTED_VALUE"""),1332.05)</f>
        <v>1332.05</v>
      </c>
      <c r="C1198" s="15">
        <f t="shared" ca="1" si="8"/>
        <v>-8.8176203586577406E-3</v>
      </c>
      <c r="D1198" s="14">
        <f t="shared" ca="1" si="9"/>
        <v>1434.1074000000001</v>
      </c>
      <c r="E1198" s="3"/>
      <c r="F1198" s="3"/>
    </row>
    <row r="1199" spans="1:6" ht="14.25" x14ac:dyDescent="0.2">
      <c r="A1199" s="13">
        <f ca="1">IFERROR(__xludf.DUMMYFUNCTION("""COMPUTED_VALUE"""),45600.6458333333)</f>
        <v>45600.645833333299</v>
      </c>
      <c r="B1199" s="14">
        <f ca="1">IFERROR(__xludf.DUMMYFUNCTION("""COMPUTED_VALUE"""),1302.15)</f>
        <v>1302.1500000000001</v>
      </c>
      <c r="C1199" s="15">
        <f t="shared" ca="1" si="8"/>
        <v>-2.2446604857174979E-2</v>
      </c>
      <c r="D1199" s="14">
        <f t="shared" ca="1" si="9"/>
        <v>1430.1877999999997</v>
      </c>
      <c r="E1199" s="3"/>
      <c r="F1199" s="3"/>
    </row>
    <row r="1200" spans="1:6" ht="14.25" x14ac:dyDescent="0.2">
      <c r="A1200" s="13">
        <f ca="1">IFERROR(__xludf.DUMMYFUNCTION("""COMPUTED_VALUE"""),45601.6458333333)</f>
        <v>45601.645833333299</v>
      </c>
      <c r="B1200" s="14">
        <f ca="1">IFERROR(__xludf.DUMMYFUNCTION("""COMPUTED_VALUE"""),1305.3)</f>
        <v>1305.3</v>
      </c>
      <c r="C1200" s="15">
        <f t="shared" ca="1" si="8"/>
        <v>2.4190761433013908E-3</v>
      </c>
      <c r="D1200" s="14">
        <f t="shared" ca="1" si="9"/>
        <v>1426.2941999999998</v>
      </c>
      <c r="E1200" s="3"/>
      <c r="F1200" s="3"/>
    </row>
    <row r="1201" spans="1:6" ht="14.25" x14ac:dyDescent="0.2">
      <c r="A1201" s="13">
        <f ca="1">IFERROR(__xludf.DUMMYFUNCTION("""COMPUTED_VALUE"""),45602.6458333333)</f>
        <v>45602.645833333299</v>
      </c>
      <c r="B1201" s="14">
        <f ca="1">IFERROR(__xludf.DUMMYFUNCTION("""COMPUTED_VALUE"""),1325.35)</f>
        <v>1325.35</v>
      </c>
      <c r="C1201" s="15">
        <f t="shared" ca="1" si="8"/>
        <v>1.5360453535585572E-2</v>
      </c>
      <c r="D1201" s="14">
        <f t="shared" ca="1" si="9"/>
        <v>1422.5492000000002</v>
      </c>
      <c r="E1201" s="3"/>
      <c r="F1201" s="3"/>
    </row>
    <row r="1202" spans="1:6" ht="14.25" x14ac:dyDescent="0.2">
      <c r="A1202" s="13">
        <f ca="1">IFERROR(__xludf.DUMMYFUNCTION("""COMPUTED_VALUE"""),45603.6458333333)</f>
        <v>45603.645833333299</v>
      </c>
      <c r="B1202" s="14">
        <f ca="1">IFERROR(__xludf.DUMMYFUNCTION("""COMPUTED_VALUE"""),1305.65)</f>
        <v>1305.6500000000001</v>
      </c>
      <c r="C1202" s="15">
        <f t="shared" ca="1" si="8"/>
        <v>-1.4863998189157401E-2</v>
      </c>
      <c r="D1202" s="14">
        <f t="shared" ca="1" si="9"/>
        <v>1418.6532</v>
      </c>
      <c r="E1202" s="3"/>
      <c r="F1202" s="3"/>
    </row>
    <row r="1203" spans="1:6" ht="14.25" x14ac:dyDescent="0.2">
      <c r="A1203" s="13">
        <f ca="1">IFERROR(__xludf.DUMMYFUNCTION("""COMPUTED_VALUE"""),45604.6458333333)</f>
        <v>45604.645833333299</v>
      </c>
      <c r="B1203" s="14">
        <f ca="1">IFERROR(__xludf.DUMMYFUNCTION("""COMPUTED_VALUE"""),1283.75)</f>
        <v>1283.75</v>
      </c>
      <c r="C1203" s="15">
        <f t="shared" ca="1" si="8"/>
        <v>-1.6773254700723883E-2</v>
      </c>
      <c r="D1203" s="14">
        <f t="shared" ca="1" si="9"/>
        <v>1414.3622000000003</v>
      </c>
      <c r="E1203" s="3"/>
      <c r="F1203" s="3"/>
    </row>
    <row r="1204" spans="1:6" ht="14.25" x14ac:dyDescent="0.2">
      <c r="A1204" s="13">
        <f ca="1">IFERROR(__xludf.DUMMYFUNCTION("""COMPUTED_VALUE"""),45607.6458333333)</f>
        <v>45607.645833333299</v>
      </c>
      <c r="B1204" s="14">
        <f ca="1">IFERROR(__xludf.DUMMYFUNCTION("""COMPUTED_VALUE"""),1272.7)</f>
        <v>1272.7</v>
      </c>
      <c r="C1204" s="15">
        <f t="shared" ca="1" si="8"/>
        <v>-8.6075949367088178E-3</v>
      </c>
      <c r="D1204" s="14">
        <f t="shared" ca="1" si="9"/>
        <v>1409.3976</v>
      </c>
      <c r="E1204" s="3"/>
      <c r="F1204" s="3"/>
    </row>
    <row r="1205" spans="1:6" ht="14.25" x14ac:dyDescent="0.2">
      <c r="A1205" s="13">
        <f ca="1">IFERROR(__xludf.DUMMYFUNCTION("""COMPUTED_VALUE"""),45608.6458333333)</f>
        <v>45608.645833333299</v>
      </c>
      <c r="B1205" s="14">
        <f ca="1">IFERROR(__xludf.DUMMYFUNCTION("""COMPUTED_VALUE"""),1274.25)</f>
        <v>1274.25</v>
      </c>
      <c r="C1205" s="15">
        <f t="shared" ca="1" si="8"/>
        <v>1.2178832403550999E-3</v>
      </c>
      <c r="D1205" s="14">
        <f t="shared" ca="1" si="9"/>
        <v>1404.6900000000003</v>
      </c>
      <c r="E1205" s="3"/>
      <c r="F1205" s="3"/>
    </row>
    <row r="1206" spans="1:6" ht="14.25" x14ac:dyDescent="0.2">
      <c r="A1206" s="13">
        <f ca="1">IFERROR(__xludf.DUMMYFUNCTION("""COMPUTED_VALUE"""),45609.6458333333)</f>
        <v>45609.645833333299</v>
      </c>
      <c r="B1206" s="14">
        <f ca="1">IFERROR(__xludf.DUMMYFUNCTION("""COMPUTED_VALUE"""),1252.05)</f>
        <v>1252.05</v>
      </c>
      <c r="C1206" s="15">
        <f t="shared" ca="1" si="8"/>
        <v>-1.7422012948793419E-2</v>
      </c>
      <c r="D1206" s="14">
        <f t="shared" ca="1" si="9"/>
        <v>1399.4060000000004</v>
      </c>
      <c r="E1206" s="3"/>
      <c r="F1206" s="3"/>
    </row>
    <row r="1207" spans="1:6" ht="14.25" x14ac:dyDescent="0.2">
      <c r="A1207" s="13">
        <f ca="1">IFERROR(__xludf.DUMMYFUNCTION("""COMPUTED_VALUE"""),45610.6458333333)</f>
        <v>45610.645833333299</v>
      </c>
      <c r="B1207" s="14">
        <f ca="1">IFERROR(__xludf.DUMMYFUNCTION("""COMPUTED_VALUE"""),1267.6)</f>
        <v>1267.5999999999999</v>
      </c>
      <c r="C1207" s="15">
        <f t="shared" ca="1" si="8"/>
        <v>1.2419631803841646E-2</v>
      </c>
      <c r="D1207" s="14">
        <f t="shared" ca="1" si="9"/>
        <v>1394.5754000000004</v>
      </c>
      <c r="E1207" s="3"/>
      <c r="F1207" s="3"/>
    </row>
    <row r="1208" spans="1:6" ht="14.25" x14ac:dyDescent="0.2">
      <c r="A1208" s="13">
        <f ca="1">IFERROR(__xludf.DUMMYFUNCTION("""COMPUTED_VALUE"""),45614.6458333333)</f>
        <v>45614.645833333299</v>
      </c>
      <c r="B1208" s="14">
        <f ca="1">IFERROR(__xludf.DUMMYFUNCTION("""COMPUTED_VALUE"""),1260.75)</f>
        <v>1260.75</v>
      </c>
      <c r="C1208" s="15">
        <f t="shared" ca="1" si="8"/>
        <v>-5.4039129062795066E-3</v>
      </c>
      <c r="D1208" s="14">
        <f t="shared" ca="1" si="9"/>
        <v>1389.4994000000004</v>
      </c>
      <c r="E1208" s="3"/>
      <c r="F1208" s="3"/>
    </row>
    <row r="1209" spans="1:6" ht="14.25" x14ac:dyDescent="0.2">
      <c r="A1209" s="13">
        <f ca="1">IFERROR(__xludf.DUMMYFUNCTION("""COMPUTED_VALUE"""),45615.6458333333)</f>
        <v>45615.645833333299</v>
      </c>
      <c r="B1209" s="14">
        <f ca="1">IFERROR(__xludf.DUMMYFUNCTION("""COMPUTED_VALUE"""),1241.65)</f>
        <v>1241.6500000000001</v>
      </c>
      <c r="C1209" s="15">
        <f t="shared" ca="1" si="8"/>
        <v>-1.5149712472734445E-2</v>
      </c>
      <c r="D1209" s="14">
        <f t="shared" ca="1" si="9"/>
        <v>1384.4728</v>
      </c>
      <c r="E1209" s="3"/>
      <c r="F1209" s="3"/>
    </row>
    <row r="1210" spans="1:6" ht="14.25" x14ac:dyDescent="0.2">
      <c r="A1210" s="13">
        <f ca="1">IFERROR(__xludf.DUMMYFUNCTION("""COMPUTED_VALUE"""),45617.6458333333)</f>
        <v>45617.645833333299</v>
      </c>
      <c r="B1210" s="14">
        <f ca="1">IFERROR(__xludf.DUMMYFUNCTION("""COMPUTED_VALUE"""),1223)</f>
        <v>1223</v>
      </c>
      <c r="C1210" s="15">
        <f t="shared" ca="1" si="8"/>
        <v>-1.5020335843434207E-2</v>
      </c>
      <c r="D1210" s="14">
        <f t="shared" ca="1" si="9"/>
        <v>1379.6361999999999</v>
      </c>
      <c r="E1210" s="3"/>
      <c r="F1210" s="3"/>
    </row>
    <row r="1211" spans="1:6" ht="14.25" x14ac:dyDescent="0.2">
      <c r="A1211" s="13">
        <f ca="1">IFERROR(__xludf.DUMMYFUNCTION("""COMPUTED_VALUE"""),45618.6458333333)</f>
        <v>45618.645833333299</v>
      </c>
      <c r="B1211" s="14">
        <f ca="1">IFERROR(__xludf.DUMMYFUNCTION("""COMPUTED_VALUE"""),1265.4)</f>
        <v>1265.4000000000001</v>
      </c>
      <c r="C1211" s="15">
        <f t="shared" ca="1" si="8"/>
        <v>3.466884709730178E-2</v>
      </c>
      <c r="D1211" s="14">
        <f t="shared" ca="1" si="9"/>
        <v>1375.6951999999999</v>
      </c>
      <c r="E1211" s="3"/>
      <c r="F1211" s="3"/>
    </row>
    <row r="1212" spans="1:6" ht="14.25" x14ac:dyDescent="0.2">
      <c r="A1212" s="13">
        <f ca="1">IFERROR(__xludf.DUMMYFUNCTION("""COMPUTED_VALUE"""),45621.6458333333)</f>
        <v>45621.645833333299</v>
      </c>
      <c r="B1212" s="14">
        <f ca="1">IFERROR(__xludf.DUMMYFUNCTION("""COMPUTED_VALUE"""),1287)</f>
        <v>1287</v>
      </c>
      <c r="C1212" s="15">
        <f t="shared" ca="1" si="8"/>
        <v>1.7069701280227445E-2</v>
      </c>
      <c r="D1212" s="14">
        <f t="shared" ca="1" si="9"/>
        <v>1372.2046000000003</v>
      </c>
      <c r="E1212" s="3"/>
      <c r="F1212" s="3"/>
    </row>
    <row r="1213" spans="1:6" ht="14.25" x14ac:dyDescent="0.2">
      <c r="A1213" s="13">
        <f ca="1">IFERROR(__xludf.DUMMYFUNCTION("""COMPUTED_VALUE"""),45622.6458333333)</f>
        <v>45622.645833333299</v>
      </c>
      <c r="B1213" s="14">
        <f ca="1">IFERROR(__xludf.DUMMYFUNCTION("""COMPUTED_VALUE"""),1295.7)</f>
        <v>1295.7</v>
      </c>
      <c r="C1213" s="15">
        <f t="shared" ca="1" si="8"/>
        <v>6.7599067599068974E-3</v>
      </c>
      <c r="D1213" s="14">
        <f t="shared" ca="1" si="9"/>
        <v>1369.0886</v>
      </c>
      <c r="E1213" s="3"/>
      <c r="F1213" s="3"/>
    </row>
    <row r="1214" spans="1:6" ht="14.25" x14ac:dyDescent="0.2">
      <c r="A1214" s="13">
        <f ca="1">IFERROR(__xludf.DUMMYFUNCTION("""COMPUTED_VALUE"""),45623.6458333333)</f>
        <v>45623.645833333299</v>
      </c>
      <c r="B1214" s="14">
        <f ca="1">IFERROR(__xludf.DUMMYFUNCTION("""COMPUTED_VALUE"""),1293.2)</f>
        <v>1293.2</v>
      </c>
      <c r="C1214" s="15">
        <f t="shared" ca="1" si="8"/>
        <v>-1.9294589797020922E-3</v>
      </c>
      <c r="D1214" s="14">
        <f t="shared" ca="1" si="9"/>
        <v>1365.3565999999998</v>
      </c>
      <c r="E1214" s="3"/>
      <c r="F1214" s="3"/>
    </row>
    <row r="1215" spans="1:6" ht="14.25" x14ac:dyDescent="0.2">
      <c r="A1215" s="13">
        <f ca="1">IFERROR(__xludf.DUMMYFUNCTION("""COMPUTED_VALUE"""),45624.6458333333)</f>
        <v>45624.645833333299</v>
      </c>
      <c r="B1215" s="14">
        <f ca="1">IFERROR(__xludf.DUMMYFUNCTION("""COMPUTED_VALUE"""),1270.8)</f>
        <v>1270.8</v>
      </c>
      <c r="C1215" s="15">
        <f t="shared" ca="1" si="8"/>
        <v>-1.7321373337457535E-2</v>
      </c>
      <c r="D1215" s="14">
        <f t="shared" ca="1" si="9"/>
        <v>1361.32</v>
      </c>
      <c r="E1215" s="3"/>
      <c r="F1215" s="3"/>
    </row>
    <row r="1216" spans="1:6" ht="14.25" x14ac:dyDescent="0.2">
      <c r="A1216" s="13">
        <f ca="1">IFERROR(__xludf.DUMMYFUNCTION("""COMPUTED_VALUE"""),45625.6458333333)</f>
        <v>45625.645833333299</v>
      </c>
      <c r="B1216" s="14">
        <f ca="1">IFERROR(__xludf.DUMMYFUNCTION("""COMPUTED_VALUE"""),1292.2)</f>
        <v>1292.2</v>
      </c>
      <c r="C1216" s="15">
        <f t="shared" ca="1" si="8"/>
        <v>1.6839785961598963E-2</v>
      </c>
      <c r="D1216" s="14">
        <f t="shared" ca="1" si="9"/>
        <v>1357.7369999999999</v>
      </c>
      <c r="E1216" s="3"/>
      <c r="F1216" s="3"/>
    </row>
    <row r="1217" spans="1:6" ht="14.25" x14ac:dyDescent="0.2">
      <c r="A1217" s="13">
        <f ca="1">IFERROR(__xludf.DUMMYFUNCTION("""COMPUTED_VALUE"""),45628.6458333333)</f>
        <v>45628.645833333299</v>
      </c>
      <c r="B1217" s="14">
        <f ca="1">IFERROR(__xludf.DUMMYFUNCTION("""COMPUTED_VALUE"""),1309.15)</f>
        <v>1309.1500000000001</v>
      </c>
      <c r="C1217" s="15">
        <f t="shared" ca="1" si="8"/>
        <v>1.3117164525615177E-2</v>
      </c>
      <c r="D1217" s="14">
        <f t="shared" ca="1" si="9"/>
        <v>1354.4739999999999</v>
      </c>
      <c r="E1217" s="3"/>
      <c r="F1217" s="3"/>
    </row>
    <row r="1218" spans="1:6" ht="14.25" x14ac:dyDescent="0.2">
      <c r="A1218" s="13">
        <f ca="1">IFERROR(__xludf.DUMMYFUNCTION("""COMPUTED_VALUE"""),45629.6458333333)</f>
        <v>45629.645833333299</v>
      </c>
      <c r="B1218" s="14">
        <f ca="1">IFERROR(__xludf.DUMMYFUNCTION("""COMPUTED_VALUE"""),1323.3)</f>
        <v>1323.3</v>
      </c>
      <c r="C1218" s="15">
        <f t="shared" ca="1" si="8"/>
        <v>1.0808539892296354E-2</v>
      </c>
      <c r="D1218" s="14">
        <f t="shared" ca="1" si="9"/>
        <v>1351.671</v>
      </c>
      <c r="E1218" s="3"/>
      <c r="F1218" s="3"/>
    </row>
    <row r="1219" spans="1:6" ht="14.25" x14ac:dyDescent="0.2">
      <c r="A1219" s="13">
        <f ca="1">IFERROR(__xludf.DUMMYFUNCTION("""COMPUTED_VALUE"""),45630.6458333333)</f>
        <v>45630.645833333299</v>
      </c>
      <c r="B1219" s="14">
        <f ca="1">IFERROR(__xludf.DUMMYFUNCTION("""COMPUTED_VALUE"""),1308.95)</f>
        <v>1308.95</v>
      </c>
      <c r="C1219" s="15">
        <f t="shared" ca="1" si="8"/>
        <v>-1.0844101866545719E-2</v>
      </c>
      <c r="D1219" s="14">
        <f t="shared" ca="1" si="9"/>
        <v>1348.4563999999998</v>
      </c>
      <c r="E1219" s="3"/>
      <c r="F1219" s="3"/>
    </row>
    <row r="1220" spans="1:6" ht="14.25" x14ac:dyDescent="0.2">
      <c r="A1220" s="13">
        <f ca="1">IFERROR(__xludf.DUMMYFUNCTION("""COMPUTED_VALUE"""),45631.6458333333)</f>
        <v>45631.645833333299</v>
      </c>
      <c r="B1220" s="14">
        <f ca="1">IFERROR(__xludf.DUMMYFUNCTION("""COMPUTED_VALUE"""),1322.05)</f>
        <v>1322.05</v>
      </c>
      <c r="C1220" s="15">
        <f t="shared" ca="1" si="8"/>
        <v>1.0008021696779723E-2</v>
      </c>
      <c r="D1220" s="14">
        <f t="shared" ca="1" si="9"/>
        <v>1345.1788000000001</v>
      </c>
      <c r="E1220" s="3"/>
      <c r="F1220" s="3"/>
    </row>
    <row r="1221" spans="1:6" ht="14.25" x14ac:dyDescent="0.2">
      <c r="A1221" s="13">
        <f ca="1">IFERROR(__xludf.DUMMYFUNCTION("""COMPUTED_VALUE"""),45632.6458333333)</f>
        <v>45632.645833333299</v>
      </c>
      <c r="B1221" s="14">
        <f ca="1">IFERROR(__xludf.DUMMYFUNCTION("""COMPUTED_VALUE"""),1311.55)</f>
        <v>1311.55</v>
      </c>
      <c r="C1221" s="15">
        <f t="shared" ca="1" si="8"/>
        <v>-7.9422109602511615E-3</v>
      </c>
      <c r="D1221" s="14">
        <f t="shared" ca="1" si="9"/>
        <v>1341.5422000000001</v>
      </c>
      <c r="E1221" s="3"/>
      <c r="F1221" s="3"/>
    </row>
    <row r="1222" spans="1:6" ht="14.25" x14ac:dyDescent="0.2">
      <c r="A1222" s="13">
        <f ca="1">IFERROR(__xludf.DUMMYFUNCTION("""COMPUTED_VALUE"""),45635.6458333333)</f>
        <v>45635.645833333299</v>
      </c>
      <c r="B1222" s="14">
        <f ca="1">IFERROR(__xludf.DUMMYFUNCTION("""COMPUTED_VALUE"""),1295.15)</f>
        <v>1295.1500000000001</v>
      </c>
      <c r="C1222" s="15">
        <f t="shared" ca="1" si="8"/>
        <v>-1.250428881857335E-2</v>
      </c>
      <c r="D1222" s="14">
        <f t="shared" ca="1" si="9"/>
        <v>1337.6575999999998</v>
      </c>
      <c r="E1222" s="3"/>
      <c r="F1222" s="3"/>
    </row>
    <row r="1223" spans="1:6" ht="14.25" x14ac:dyDescent="0.2">
      <c r="A1223" s="13">
        <f ca="1">IFERROR(__xludf.DUMMYFUNCTION("""COMPUTED_VALUE"""),45636.6458333333)</f>
        <v>45636.645833333299</v>
      </c>
      <c r="B1223" s="14">
        <f ca="1">IFERROR(__xludf.DUMMYFUNCTION("""COMPUTED_VALUE"""),1284.85)</f>
        <v>1284.8499999999999</v>
      </c>
      <c r="C1223" s="15">
        <f t="shared" ca="1" si="8"/>
        <v>-7.9527467860867063E-3</v>
      </c>
      <c r="D1223" s="14">
        <f t="shared" ca="1" si="9"/>
        <v>1333.4756</v>
      </c>
      <c r="E1223" s="3"/>
      <c r="F1223" s="3"/>
    </row>
    <row r="1224" spans="1:6" ht="14.25" x14ac:dyDescent="0.2">
      <c r="A1224" s="13">
        <f ca="1">IFERROR(__xludf.DUMMYFUNCTION("""COMPUTED_VALUE"""),45637.6458333333)</f>
        <v>45637.645833333299</v>
      </c>
      <c r="B1224" s="14">
        <f ca="1">IFERROR(__xludf.DUMMYFUNCTION("""COMPUTED_VALUE"""),1278.2)</f>
        <v>1278.2</v>
      </c>
      <c r="C1224" s="15">
        <f t="shared" ca="1" si="8"/>
        <v>-5.1757014437482374E-3</v>
      </c>
      <c r="D1224" s="14">
        <f t="shared" ca="1" si="9"/>
        <v>1329.0806</v>
      </c>
      <c r="E1224" s="3"/>
      <c r="F1224" s="3"/>
    </row>
    <row r="1225" spans="1:6" ht="14.25" x14ac:dyDescent="0.2">
      <c r="A1225" s="13">
        <f ca="1">IFERROR(__xludf.DUMMYFUNCTION("""COMPUTED_VALUE"""),45638.6458333333)</f>
        <v>45638.645833333299</v>
      </c>
      <c r="B1225" s="14">
        <f ca="1">IFERROR(__xludf.DUMMYFUNCTION("""COMPUTED_VALUE"""),1262.9)</f>
        <v>1262.9000000000001</v>
      </c>
      <c r="C1225" s="15">
        <f t="shared" ca="1" si="8"/>
        <v>-1.1969957753090288E-2</v>
      </c>
      <c r="D1225" s="14">
        <f t="shared" ca="1" si="9"/>
        <v>1323.8150000000001</v>
      </c>
      <c r="E1225" s="3"/>
      <c r="F1225" s="3"/>
    </row>
    <row r="1226" spans="1:6" ht="14.25" x14ac:dyDescent="0.2">
      <c r="A1226" s="13">
        <f ca="1">IFERROR(__xludf.DUMMYFUNCTION("""COMPUTED_VALUE"""),45639.6458333333)</f>
        <v>45639.645833333299</v>
      </c>
      <c r="B1226" s="14">
        <f ca="1">IFERROR(__xludf.DUMMYFUNCTION("""COMPUTED_VALUE"""),1272.85)</f>
        <v>1272.8499999999999</v>
      </c>
      <c r="C1226" s="15">
        <f t="shared" ca="1" si="8"/>
        <v>7.878691899596113E-3</v>
      </c>
      <c r="D1226" s="14">
        <f t="shared" ca="1" si="9"/>
        <v>1319.7404000000001</v>
      </c>
      <c r="E1226" s="3"/>
      <c r="F1226" s="3"/>
    </row>
    <row r="1227" spans="1:6" ht="14.25" x14ac:dyDescent="0.2">
      <c r="A1227" s="13">
        <f ca="1">IFERROR(__xludf.DUMMYFUNCTION("""COMPUTED_VALUE"""),45642.6458333333)</f>
        <v>45642.645833333299</v>
      </c>
      <c r="B1227" s="14">
        <f ca="1">IFERROR(__xludf.DUMMYFUNCTION("""COMPUTED_VALUE"""),1268.3)</f>
        <v>1268.3</v>
      </c>
      <c r="C1227" s="15">
        <f t="shared" ca="1" si="8"/>
        <v>-3.5746553010959081E-3</v>
      </c>
      <c r="D1227" s="14">
        <f t="shared" ca="1" si="9"/>
        <v>1315.8097999999998</v>
      </c>
      <c r="E1227" s="3"/>
      <c r="F1227" s="3"/>
    </row>
    <row r="1228" spans="1:6" ht="14.25" x14ac:dyDescent="0.2">
      <c r="A1228" s="13">
        <f ca="1">IFERROR(__xludf.DUMMYFUNCTION("""COMPUTED_VALUE"""),45643.6458333333)</f>
        <v>45643.645833333299</v>
      </c>
      <c r="B1228" s="14">
        <f ca="1">IFERROR(__xludf.DUMMYFUNCTION("""COMPUTED_VALUE"""),1245.3)</f>
        <v>1245.3</v>
      </c>
      <c r="C1228" s="15">
        <f t="shared" ca="1" si="8"/>
        <v>-1.8134510762437883E-2</v>
      </c>
      <c r="D1228" s="14">
        <f t="shared" ca="1" si="9"/>
        <v>1312.5762</v>
      </c>
      <c r="E1228" s="3"/>
      <c r="F1228" s="3"/>
    </row>
    <row r="1229" spans="1:6" ht="14.25" x14ac:dyDescent="0.2">
      <c r="A1229" s="13">
        <f ca="1">IFERROR(__xludf.DUMMYFUNCTION("""COMPUTED_VALUE"""),45644.6458333333)</f>
        <v>45644.645833333299</v>
      </c>
      <c r="B1229" s="14">
        <f ca="1">IFERROR(__xludf.DUMMYFUNCTION("""COMPUTED_VALUE"""),1253.25)</f>
        <v>1253.25</v>
      </c>
      <c r="C1229" s="15">
        <f t="shared" ca="1" si="8"/>
        <v>6.3840038544928923E-3</v>
      </c>
      <c r="D1229" s="14">
        <f t="shared" ca="1" si="9"/>
        <v>1309.9106000000002</v>
      </c>
      <c r="E1229" s="3"/>
      <c r="F1229" s="3"/>
    </row>
    <row r="1230" spans="1:6" ht="14.25" x14ac:dyDescent="0.2">
      <c r="A1230" s="13">
        <f ca="1">IFERROR(__xludf.DUMMYFUNCTION("""COMPUTED_VALUE"""),45645.6458333333)</f>
        <v>45645.645833333299</v>
      </c>
      <c r="B1230" s="14">
        <f ca="1">IFERROR(__xludf.DUMMYFUNCTION("""COMPUTED_VALUE"""),1230.45)</f>
        <v>1230.45</v>
      </c>
      <c r="C1230" s="15">
        <f t="shared" ca="1" si="8"/>
        <v>-1.8192698982645084E-2</v>
      </c>
      <c r="D1230" s="14">
        <f t="shared" ca="1" si="9"/>
        <v>1307.1050000000002</v>
      </c>
      <c r="E1230" s="3"/>
      <c r="F1230" s="3"/>
    </row>
    <row r="1231" spans="1:6" ht="14.25" x14ac:dyDescent="0.2">
      <c r="A1231" s="13">
        <f ca="1">IFERROR(__xludf.DUMMYFUNCTION("""COMPUTED_VALUE"""),45646.6458333333)</f>
        <v>45646.645833333299</v>
      </c>
      <c r="B1231" s="14">
        <f ca="1">IFERROR(__xludf.DUMMYFUNCTION("""COMPUTED_VALUE"""),1205.3)</f>
        <v>1205.3</v>
      </c>
      <c r="C1231" s="15">
        <f t="shared" ca="1" si="8"/>
        <v>-2.0439676541102902E-2</v>
      </c>
      <c r="D1231" s="14">
        <f t="shared" ca="1" si="9"/>
        <v>1303.2640000000001</v>
      </c>
      <c r="E1231" s="3"/>
      <c r="F1231" s="3"/>
    </row>
    <row r="1232" spans="1:6" ht="14.25" x14ac:dyDescent="0.2">
      <c r="A1232" s="13">
        <f ca="1">IFERROR(__xludf.DUMMYFUNCTION("""COMPUTED_VALUE"""),45649.6458333333)</f>
        <v>45649.645833333299</v>
      </c>
      <c r="B1232" s="14">
        <f ca="1">IFERROR(__xludf.DUMMYFUNCTION("""COMPUTED_VALUE"""),1222.3)</f>
        <v>1222.3</v>
      </c>
      <c r="C1232" s="15">
        <f t="shared" ca="1" si="8"/>
        <v>1.4104372355430161E-2</v>
      </c>
      <c r="D1232" s="14">
        <f t="shared" ca="1" si="9"/>
        <v>1300.2180000000001</v>
      </c>
      <c r="E1232" s="3"/>
      <c r="F1232" s="3"/>
    </row>
    <row r="1233" spans="1:6" ht="14.25" x14ac:dyDescent="0.2">
      <c r="A1233" s="13">
        <f ca="1">IFERROR(__xludf.DUMMYFUNCTION("""COMPUTED_VALUE"""),45650.6458333333)</f>
        <v>45650.645833333299</v>
      </c>
      <c r="B1233" s="14">
        <f ca="1">IFERROR(__xludf.DUMMYFUNCTION("""COMPUTED_VALUE"""),1222.75)</f>
        <v>1222.75</v>
      </c>
      <c r="C1233" s="15">
        <f t="shared" ca="1" si="8"/>
        <v>3.6815838992065864E-4</v>
      </c>
      <c r="D1233" s="14">
        <f t="shared" ca="1" si="9"/>
        <v>1297.2520000000002</v>
      </c>
      <c r="E1233" s="3"/>
      <c r="F1233" s="3"/>
    </row>
    <row r="1234" spans="1:6" ht="14.25" x14ac:dyDescent="0.2">
      <c r="A1234" s="13">
        <f ca="1">IFERROR(__xludf.DUMMYFUNCTION("""COMPUTED_VALUE"""),45652.6458333333)</f>
        <v>45652.645833333299</v>
      </c>
      <c r="B1234" s="14">
        <f ca="1">IFERROR(__xludf.DUMMYFUNCTION("""COMPUTED_VALUE"""),1216.55)</f>
        <v>1216.55</v>
      </c>
      <c r="C1234" s="15">
        <f t="shared" ca="1" si="8"/>
        <v>-5.0705377223472237E-3</v>
      </c>
      <c r="D1234" s="14">
        <f t="shared" ca="1" si="9"/>
        <v>1294.1410000000003</v>
      </c>
      <c r="E1234" s="3"/>
      <c r="F1234" s="3"/>
    </row>
    <row r="1235" spans="1:6" ht="14.25" x14ac:dyDescent="0.2">
      <c r="A1235" s="13">
        <f ca="1">IFERROR(__xludf.DUMMYFUNCTION("""COMPUTED_VALUE"""),45653.6458333333)</f>
        <v>45653.645833333299</v>
      </c>
      <c r="B1235" s="14">
        <f ca="1">IFERROR(__xludf.DUMMYFUNCTION("""COMPUTED_VALUE"""),1221.05)</f>
        <v>1221.05</v>
      </c>
      <c r="C1235" s="15">
        <f t="shared" ca="1" si="8"/>
        <v>3.6989848341622E-3</v>
      </c>
      <c r="D1235" s="14">
        <f t="shared" ca="1" si="9"/>
        <v>1291.1114000000002</v>
      </c>
      <c r="E1235" s="3"/>
      <c r="F1235" s="3"/>
    </row>
    <row r="1236" spans="1:6" ht="14.25" x14ac:dyDescent="0.2">
      <c r="A1236" s="13">
        <f ca="1">IFERROR(__xludf.DUMMYFUNCTION("""COMPUTED_VALUE"""),45656.6458333333)</f>
        <v>45656.645833333299</v>
      </c>
      <c r="B1236" s="14">
        <f ca="1">IFERROR(__xludf.DUMMYFUNCTION("""COMPUTED_VALUE"""),1210.7)</f>
        <v>1210.7</v>
      </c>
      <c r="C1236" s="15">
        <f t="shared" ca="1" si="8"/>
        <v>-8.4763113713606231E-3</v>
      </c>
      <c r="D1236" s="14">
        <f t="shared" ca="1" si="9"/>
        <v>1288.4448000000002</v>
      </c>
      <c r="E1236" s="3"/>
      <c r="F1236" s="3"/>
    </row>
    <row r="1237" spans="1:6" ht="14.25" x14ac:dyDescent="0.2">
      <c r="A1237" s="13">
        <f ca="1">IFERROR(__xludf.DUMMYFUNCTION("""COMPUTED_VALUE"""),45657.6458333333)</f>
        <v>45657.645833333299</v>
      </c>
      <c r="B1237" s="14">
        <f ca="1">IFERROR(__xludf.DUMMYFUNCTION("""COMPUTED_VALUE"""),1215.45)</f>
        <v>1215.45</v>
      </c>
      <c r="C1237" s="15">
        <f t="shared" ca="1" si="8"/>
        <v>3.9233501280251382E-3</v>
      </c>
      <c r="D1237" s="14">
        <f t="shared" ca="1" si="9"/>
        <v>1285.6722000000002</v>
      </c>
      <c r="E1237" s="3"/>
      <c r="F1237" s="3"/>
    </row>
    <row r="1238" spans="1:6" ht="14.25" x14ac:dyDescent="0.2">
      <c r="A1238" s="13">
        <f ca="1">IFERROR(__xludf.DUMMYFUNCTION("""COMPUTED_VALUE"""),45658.6458333333)</f>
        <v>45658.645833333299</v>
      </c>
      <c r="B1238" s="14">
        <f ca="1">IFERROR(__xludf.DUMMYFUNCTION("""COMPUTED_VALUE"""),1221.25)</f>
        <v>1221.25</v>
      </c>
      <c r="C1238" s="15">
        <f t="shared" ca="1" si="8"/>
        <v>4.7718951828541467E-3</v>
      </c>
      <c r="D1238" s="14">
        <f t="shared" ca="1" si="9"/>
        <v>1282.9686000000004</v>
      </c>
      <c r="E1238" s="3"/>
      <c r="F1238" s="3"/>
    </row>
    <row r="1239" spans="1:6" ht="14.25" x14ac:dyDescent="0.2">
      <c r="A1239" s="13">
        <f ca="1">IFERROR(__xludf.DUMMYFUNCTION("""COMPUTED_VALUE"""),45659.6458333333)</f>
        <v>45659.645833333299</v>
      </c>
      <c r="B1239" s="14">
        <f ca="1">IFERROR(__xludf.DUMMYFUNCTION("""COMPUTED_VALUE"""),1241.8)</f>
        <v>1241.8</v>
      </c>
      <c r="C1239" s="15">
        <f t="shared" ca="1" si="8"/>
        <v>1.6827021494370431E-2</v>
      </c>
      <c r="D1239" s="14">
        <f t="shared" ca="1" si="9"/>
        <v>1280.6186000000002</v>
      </c>
      <c r="E1239" s="3"/>
      <c r="F1239" s="3"/>
    </row>
    <row r="1240" spans="1:6" ht="14.25" x14ac:dyDescent="0.2">
      <c r="A1240" s="13">
        <f ca="1">IFERROR(__xludf.DUMMYFUNCTION("""COMPUTED_VALUE"""),45660.6458333333)</f>
        <v>45660.645833333299</v>
      </c>
      <c r="B1240" s="14">
        <f ca="1">IFERROR(__xludf.DUMMYFUNCTION("""COMPUTED_VALUE"""),1251.15)</f>
        <v>1251.1500000000001</v>
      </c>
      <c r="C1240" s="15">
        <f t="shared" ca="1" si="8"/>
        <v>7.5293928168789215E-3</v>
      </c>
      <c r="D1240" s="14">
        <f t="shared" ca="1" si="9"/>
        <v>1278.2576000000004</v>
      </c>
      <c r="E1240" s="3"/>
      <c r="F1240" s="3"/>
    </row>
    <row r="1241" spans="1:6" ht="14.25" x14ac:dyDescent="0.2">
      <c r="A1241" s="13">
        <f ca="1">IFERROR(__xludf.DUMMYFUNCTION("""COMPUTED_VALUE"""),45663.6458333333)</f>
        <v>45663.645833333299</v>
      </c>
      <c r="B1241" s="14">
        <f ca="1">IFERROR(__xludf.DUMMYFUNCTION("""COMPUTED_VALUE"""),1218)</f>
        <v>1218</v>
      </c>
      <c r="C1241" s="15">
        <f t="shared" ca="1" si="8"/>
        <v>-2.6495624025896225E-2</v>
      </c>
      <c r="D1241" s="14">
        <f t="shared" ca="1" si="9"/>
        <v>1275.7506000000003</v>
      </c>
      <c r="E1241" s="3"/>
      <c r="F1241" s="3"/>
    </row>
    <row r="1242" spans="1:6" ht="14.25" x14ac:dyDescent="0.2">
      <c r="A1242" s="13">
        <f ca="1">IFERROR(__xludf.DUMMYFUNCTION("""COMPUTED_VALUE"""),45664.6458333333)</f>
        <v>45664.645833333299</v>
      </c>
      <c r="B1242" s="14">
        <f ca="1">IFERROR(__xludf.DUMMYFUNCTION("""COMPUTED_VALUE"""),1240.85)</f>
        <v>1240.8499999999999</v>
      </c>
      <c r="C1242" s="15">
        <f t="shared" ca="1" si="8"/>
        <v>1.8760262725779908E-2</v>
      </c>
      <c r="D1242" s="14">
        <f t="shared" ca="1" si="9"/>
        <v>1273.7970000000003</v>
      </c>
      <c r="E1242" s="3"/>
      <c r="F1242" s="3"/>
    </row>
    <row r="1243" spans="1:6" ht="14.25" x14ac:dyDescent="0.2">
      <c r="A1243" s="13">
        <f ca="1">IFERROR(__xludf.DUMMYFUNCTION("""COMPUTED_VALUE"""),45665.6458333333)</f>
        <v>45665.645833333299</v>
      </c>
      <c r="B1243" s="14">
        <f ca="1">IFERROR(__xludf.DUMMYFUNCTION("""COMPUTED_VALUE"""),1265.5)</f>
        <v>1265.5</v>
      </c>
      <c r="C1243" s="15">
        <f t="shared" ca="1" si="8"/>
        <v>1.9865414836603978E-2</v>
      </c>
      <c r="D1243" s="14">
        <f t="shared" ca="1" si="9"/>
        <v>1272.3110000000004</v>
      </c>
      <c r="E1243" s="3"/>
      <c r="F1243" s="3"/>
    </row>
    <row r="1244" spans="1:6" ht="14.25" x14ac:dyDescent="0.2">
      <c r="A1244" s="13">
        <f ca="1">IFERROR(__xludf.DUMMYFUNCTION("""COMPUTED_VALUE"""),45666.6458333333)</f>
        <v>45666.645833333299</v>
      </c>
      <c r="B1244" s="14">
        <f ca="1">IFERROR(__xludf.DUMMYFUNCTION("""COMPUTED_VALUE"""),1254.75)</f>
        <v>1254.75</v>
      </c>
      <c r="C1244" s="15">
        <f t="shared" ca="1" si="8"/>
        <v>-8.4946661398657142E-3</v>
      </c>
      <c r="D1244" s="14">
        <f t="shared" ca="1" si="9"/>
        <v>1270.8490000000004</v>
      </c>
      <c r="E1244" s="3"/>
      <c r="F1244" s="3"/>
    </row>
    <row r="1245" spans="1:6" ht="14.25" x14ac:dyDescent="0.2">
      <c r="A1245" s="13">
        <f ca="1">IFERROR(__xludf.DUMMYFUNCTION("""COMPUTED_VALUE"""),45667.6458333333)</f>
        <v>45667.645833333299</v>
      </c>
      <c r="B1245" s="14">
        <f ca="1">IFERROR(__xludf.DUMMYFUNCTION("""COMPUTED_VALUE"""),1241.9)</f>
        <v>1241.9000000000001</v>
      </c>
      <c r="C1245" s="15">
        <f t="shared" ca="1" si="8"/>
        <v>-1.0241083881251223E-2</v>
      </c>
      <c r="D1245" s="14">
        <f t="shared" ca="1" si="9"/>
        <v>1269.0000000000002</v>
      </c>
      <c r="E1245" s="3"/>
      <c r="F1245" s="3"/>
    </row>
    <row r="1246" spans="1:6" ht="14.25" x14ac:dyDescent="0.2">
      <c r="A1246" s="13">
        <f ca="1">IFERROR(__xludf.DUMMYFUNCTION("""COMPUTED_VALUE"""),45670.6458333333)</f>
        <v>45670.645833333299</v>
      </c>
      <c r="B1246" s="14">
        <f ca="1">IFERROR(__xludf.DUMMYFUNCTION("""COMPUTED_VALUE"""),1239.85)</f>
        <v>1239.8499999999999</v>
      </c>
      <c r="C1246" s="15">
        <f t="shared" ca="1" si="8"/>
        <v>-1.6506965134069906E-3</v>
      </c>
      <c r="D1246" s="14">
        <f t="shared" ca="1" si="9"/>
        <v>1266.9970000000003</v>
      </c>
      <c r="E1246" s="3"/>
      <c r="F1246" s="3"/>
    </row>
    <row r="1247" spans="1:6" ht="14.25" x14ac:dyDescent="0.2">
      <c r="A1247" s="13">
        <f ca="1">IFERROR(__xludf.DUMMYFUNCTION("""COMPUTED_VALUE"""),45671.6458333333)</f>
        <v>45671.645833333299</v>
      </c>
      <c r="B1247" s="14">
        <f ca="1">IFERROR(__xludf.DUMMYFUNCTION("""COMPUTED_VALUE"""),1238.75)</f>
        <v>1238.75</v>
      </c>
      <c r="C1247" s="15">
        <f t="shared" ca="1" si="8"/>
        <v>-8.872040972697226E-4</v>
      </c>
      <c r="D1247" s="14">
        <f t="shared" ca="1" si="9"/>
        <v>1264.8940000000002</v>
      </c>
      <c r="E1247" s="3"/>
      <c r="F1247" s="3"/>
    </row>
    <row r="1248" spans="1:6" ht="14.25" x14ac:dyDescent="0.2">
      <c r="A1248" s="13">
        <f ca="1">IFERROR(__xludf.DUMMYFUNCTION("""COMPUTED_VALUE"""),45672.6458333333)</f>
        <v>45672.645833333299</v>
      </c>
      <c r="B1248" s="14">
        <f ca="1">IFERROR(__xludf.DUMMYFUNCTION("""COMPUTED_VALUE"""),1252.2)</f>
        <v>1252.2</v>
      </c>
      <c r="C1248" s="15">
        <f t="shared" ca="1" si="8"/>
        <v>1.0857719475277472E-2</v>
      </c>
      <c r="D1248" s="14">
        <f t="shared" ca="1" si="9"/>
        <v>1263.297</v>
      </c>
      <c r="E1248" s="3"/>
      <c r="F1248" s="3"/>
    </row>
    <row r="1249" spans="1:6" ht="14.25" x14ac:dyDescent="0.2">
      <c r="A1249" s="13">
        <f ca="1">IFERROR(__xludf.DUMMYFUNCTION("""COMPUTED_VALUE"""),45673.6458333333)</f>
        <v>45673.645833333299</v>
      </c>
      <c r="B1249" s="14">
        <f ca="1">IFERROR(__xludf.DUMMYFUNCTION("""COMPUTED_VALUE"""),1266.45)</f>
        <v>1266.45</v>
      </c>
      <c r="C1249" s="15">
        <f t="shared" ca="1" si="8"/>
        <v>1.1379971250598864E-2</v>
      </c>
      <c r="D1249" s="14">
        <f t="shared" ca="1" si="9"/>
        <v>1262.5830000000001</v>
      </c>
      <c r="E1249" s="3"/>
      <c r="F1249" s="3"/>
    </row>
    <row r="1250" spans="1:6" ht="14.25" x14ac:dyDescent="0.2">
      <c r="A1250" s="13">
        <f ca="1">IFERROR(__xludf.DUMMYFUNCTION("""COMPUTED_VALUE"""),45674.6458333333)</f>
        <v>45674.645833333299</v>
      </c>
      <c r="B1250" s="14">
        <f ca="1">IFERROR(__xludf.DUMMYFUNCTION("""COMPUTED_VALUE"""),1302.35)</f>
        <v>1302.3499999999999</v>
      </c>
      <c r="C1250" s="15">
        <f t="shared" ca="1" si="8"/>
        <v>2.8346954084251141E-2</v>
      </c>
      <c r="D1250" s="14">
        <f t="shared" ca="1" si="9"/>
        <v>1262.5240000000001</v>
      </c>
      <c r="E1250" s="3"/>
      <c r="F1250" s="3"/>
    </row>
    <row r="1251" spans="1:6" ht="14.25" x14ac:dyDescent="0.2">
      <c r="A1251" s="13">
        <f ca="1">IFERROR(__xludf.DUMMYFUNCTION("""COMPUTED_VALUE"""),45677.6458333333)</f>
        <v>45677.645833333299</v>
      </c>
      <c r="B1251" s="14">
        <f ca="1">IFERROR(__xludf.DUMMYFUNCTION("""COMPUTED_VALUE"""),1305.45)</f>
        <v>1305.45</v>
      </c>
      <c r="C1251" s="15">
        <f t="shared" ca="1" si="8"/>
        <v>2.380312511997662E-3</v>
      </c>
      <c r="D1251" s="14">
        <f t="shared" ca="1" si="9"/>
        <v>1262.126</v>
      </c>
      <c r="E1251" s="3"/>
      <c r="F1251" s="3"/>
    </row>
    <row r="1252" spans="1:6" ht="14.25" x14ac:dyDescent="0.2">
      <c r="A1252" s="13">
        <f ca="1">IFERROR(__xludf.DUMMYFUNCTION("""COMPUTED_VALUE"""),45678.6458333333)</f>
        <v>45678.645833333299</v>
      </c>
      <c r="B1252" s="14">
        <f ca="1">IFERROR(__xludf.DUMMYFUNCTION("""COMPUTED_VALUE"""),1273.7)</f>
        <v>1273.7</v>
      </c>
      <c r="C1252" s="15">
        <f t="shared" ca="1" si="8"/>
        <v>-2.4321115324217657E-2</v>
      </c>
      <c r="D1252" s="14">
        <f t="shared" ca="1" si="9"/>
        <v>1261.4870000000001</v>
      </c>
      <c r="E1252" s="3"/>
      <c r="F1252" s="3"/>
    </row>
    <row r="1253" spans="1:6" ht="14.25" x14ac:dyDescent="0.2">
      <c r="A1253" s="13">
        <f ca="1">IFERROR(__xludf.DUMMYFUNCTION("""COMPUTED_VALUE"""),45679.6458333333)</f>
        <v>45679.645833333299</v>
      </c>
      <c r="B1253" s="14">
        <f ca="1">IFERROR(__xludf.DUMMYFUNCTION("""COMPUTED_VALUE"""),1277.1)</f>
        <v>1277.0999999999999</v>
      </c>
      <c r="C1253" s="15">
        <f t="shared" ca="1" si="8"/>
        <v>2.6693883960116072E-3</v>
      </c>
      <c r="D1253" s="14">
        <f t="shared" ca="1" si="9"/>
        <v>1261.3539999999998</v>
      </c>
      <c r="E1253" s="3"/>
      <c r="F1253" s="3"/>
    </row>
    <row r="1254" spans="1:6" ht="14.25" x14ac:dyDescent="0.2">
      <c r="A1254" s="13">
        <f ca="1">IFERROR(__xludf.DUMMYFUNCTION("""COMPUTED_VALUE"""),45680.6458333333)</f>
        <v>45680.645833333299</v>
      </c>
      <c r="B1254" s="14">
        <f ca="1">IFERROR(__xludf.DUMMYFUNCTION("""COMPUTED_VALUE"""),1263.65)</f>
        <v>1263.6500000000001</v>
      </c>
      <c r="C1254" s="15">
        <f t="shared" ca="1" si="8"/>
        <v>-1.0531673322370816E-2</v>
      </c>
      <c r="D1254" s="14">
        <f t="shared" ca="1" si="9"/>
        <v>1261.1729999999998</v>
      </c>
      <c r="E1254" s="3"/>
      <c r="F1254" s="3"/>
    </row>
    <row r="1255" spans="1:6" ht="14.25" x14ac:dyDescent="0.2">
      <c r="A1255" s="13">
        <f ca="1">IFERROR(__xludf.DUMMYFUNCTION("""COMPUTED_VALUE"""),45681.6458333333)</f>
        <v>45681.645833333299</v>
      </c>
      <c r="B1255" s="14">
        <f ca="1">IFERROR(__xludf.DUMMYFUNCTION("""COMPUTED_VALUE"""),1246.3)</f>
        <v>1246.3</v>
      </c>
      <c r="C1255" s="15">
        <f t="shared" ca="1" si="8"/>
        <v>-1.3730067661140488E-2</v>
      </c>
      <c r="D1255" s="14">
        <f t="shared" ca="1" si="9"/>
        <v>1260.614</v>
      </c>
      <c r="E1255" s="3"/>
      <c r="F1255" s="3"/>
    </row>
    <row r="1256" spans="1:6" ht="14.25" x14ac:dyDescent="0.2">
      <c r="A1256" s="13">
        <f ca="1">IFERROR(__xludf.DUMMYFUNCTION("""COMPUTED_VALUE"""),45684.6458333333)</f>
        <v>45684.645833333299</v>
      </c>
      <c r="B1256" s="14">
        <f ca="1">IFERROR(__xludf.DUMMYFUNCTION("""COMPUTED_VALUE"""),1229.35)</f>
        <v>1229.3499999999999</v>
      </c>
      <c r="C1256" s="15">
        <f t="shared" ca="1" si="8"/>
        <v>-1.3600256760009644E-2</v>
      </c>
      <c r="D1256" s="14">
        <f t="shared" ca="1" si="9"/>
        <v>1260.1599999999999</v>
      </c>
      <c r="E1256" s="3"/>
      <c r="F1256" s="3"/>
    </row>
    <row r="1257" spans="1:6" ht="14.25" x14ac:dyDescent="0.2">
      <c r="A1257" s="13">
        <f ca="1">IFERROR(__xludf.DUMMYFUNCTION("""COMPUTED_VALUE"""),45685.6458333333)</f>
        <v>45685.645833333299</v>
      </c>
      <c r="B1257" s="14">
        <f ca="1">IFERROR(__xludf.DUMMYFUNCTION("""COMPUTED_VALUE"""),1234.4)</f>
        <v>1234.4000000000001</v>
      </c>
      <c r="C1257" s="15">
        <f t="shared" ca="1" si="8"/>
        <v>4.1078618782284249E-3</v>
      </c>
      <c r="D1257" s="14">
        <f t="shared" ca="1" si="9"/>
        <v>1259.4959999999999</v>
      </c>
      <c r="E1257" s="3"/>
      <c r="F1257" s="3"/>
    </row>
    <row r="1258" spans="1:6" ht="14.25" x14ac:dyDescent="0.2">
      <c r="A1258" s="13">
        <f ca="1">IFERROR(__xludf.DUMMYFUNCTION("""COMPUTED_VALUE"""),45686.6458333333)</f>
        <v>45686.645833333299</v>
      </c>
      <c r="B1258" s="14">
        <f ca="1">IFERROR(__xludf.DUMMYFUNCTION("""COMPUTED_VALUE"""),1235.5)</f>
        <v>1235.5</v>
      </c>
      <c r="C1258" s="15">
        <f t="shared" ca="1" si="8"/>
        <v>8.9112119248202504E-4</v>
      </c>
      <c r="D1258" s="14">
        <f t="shared" ca="1" si="9"/>
        <v>1258.9909999999998</v>
      </c>
      <c r="E1258" s="3"/>
      <c r="F1258" s="3"/>
    </row>
    <row r="1259" spans="1:6" ht="14.25" x14ac:dyDescent="0.2">
      <c r="A1259" s="13">
        <f ca="1">IFERROR(__xludf.DUMMYFUNCTION("""COMPUTED_VALUE"""),45687.6458333333)</f>
        <v>45687.645833333299</v>
      </c>
      <c r="B1259" s="14">
        <f ca="1">IFERROR(__xludf.DUMMYFUNCTION("""COMPUTED_VALUE"""),1253.05)</f>
        <v>1253.05</v>
      </c>
      <c r="C1259" s="15">
        <f t="shared" ca="1" si="8"/>
        <v>1.4204775394577096E-2</v>
      </c>
      <c r="D1259" s="14">
        <f t="shared" ca="1" si="9"/>
        <v>1259.2189999999998</v>
      </c>
      <c r="E1259" s="3"/>
      <c r="F1259" s="3"/>
    </row>
    <row r="1260" spans="1:6" ht="14.25" x14ac:dyDescent="0.2">
      <c r="A1260" s="13">
        <f ca="1">IFERROR(__xludf.DUMMYFUNCTION("""COMPUTED_VALUE"""),45688.6458333333)</f>
        <v>45688.645833333299</v>
      </c>
      <c r="B1260" s="14">
        <f ca="1">IFERROR(__xludf.DUMMYFUNCTION("""COMPUTED_VALUE"""),1265.1)</f>
        <v>1265.0999999999999</v>
      </c>
      <c r="C1260" s="15">
        <f t="shared" ca="1" si="8"/>
        <v>9.6165356530066859E-3</v>
      </c>
      <c r="D1260" s="14">
        <f t="shared" ca="1" si="9"/>
        <v>1260.0609999999997</v>
      </c>
      <c r="E1260" s="3"/>
      <c r="F1260" s="3"/>
    </row>
    <row r="1261" spans="1:6" ht="14.25" x14ac:dyDescent="0.2">
      <c r="A1261" s="13">
        <f ca="1">IFERROR(__xludf.DUMMYFUNCTION("""COMPUTED_VALUE"""),45691.6458333333)</f>
        <v>45691.645833333299</v>
      </c>
      <c r="B1261" s="14">
        <f ca="1">IFERROR(__xludf.DUMMYFUNCTION("""COMPUTED_VALUE"""),1245.9)</f>
        <v>1245.9000000000001</v>
      </c>
      <c r="C1261" s="15">
        <f t="shared" ca="1" si="8"/>
        <v>-1.5176665876215134E-2</v>
      </c>
      <c r="D1261" s="14">
        <f t="shared" ca="1" si="9"/>
        <v>1259.6709999999998</v>
      </c>
      <c r="E1261" s="3"/>
      <c r="F1261" s="3"/>
    </row>
    <row r="1262" spans="1:6" ht="14.25" x14ac:dyDescent="0.2">
      <c r="A1262" s="13">
        <f ca="1">IFERROR(__xludf.DUMMYFUNCTION("""COMPUTED_VALUE"""),45692.6458333333)</f>
        <v>45692.645833333299</v>
      </c>
      <c r="B1262" s="14">
        <f ca="1">IFERROR(__xludf.DUMMYFUNCTION("""COMPUTED_VALUE"""),1285.2)</f>
        <v>1285.2</v>
      </c>
      <c r="C1262" s="15">
        <f t="shared" ca="1" si="8"/>
        <v>3.154346255718754E-2</v>
      </c>
      <c r="D1262" s="14">
        <f t="shared" ca="1" si="9"/>
        <v>1259.6349999999998</v>
      </c>
      <c r="E1262" s="3"/>
      <c r="F1262" s="3"/>
    </row>
    <row r="1263" spans="1:6" ht="14.25" x14ac:dyDescent="0.2">
      <c r="A1263" s="13">
        <f ca="1">IFERROR(__xludf.DUMMYFUNCTION("""COMPUTED_VALUE"""),45693.6458333333)</f>
        <v>45693.645833333299</v>
      </c>
      <c r="B1263" s="14">
        <f ca="1">IFERROR(__xludf.DUMMYFUNCTION("""COMPUTED_VALUE"""),1278.2)</f>
        <v>1278.2</v>
      </c>
      <c r="C1263" s="15">
        <f t="shared" ca="1" si="8"/>
        <v>-5.4466230936819349E-3</v>
      </c>
      <c r="D1263" s="14">
        <f t="shared" ca="1" si="9"/>
        <v>1259.2849999999996</v>
      </c>
      <c r="E1263" s="3"/>
      <c r="F1263" s="3"/>
    </row>
    <row r="1264" spans="1:6" ht="14.25" x14ac:dyDescent="0.2">
      <c r="A1264" s="13">
        <f ca="1">IFERROR(__xludf.DUMMYFUNCTION("""COMPUTED_VALUE"""),45694.6458333333)</f>
        <v>45694.645833333299</v>
      </c>
      <c r="B1264" s="14">
        <f ca="1">IFERROR(__xludf.DUMMYFUNCTION("""COMPUTED_VALUE"""),1281.55)</f>
        <v>1281.55</v>
      </c>
      <c r="C1264" s="15">
        <f t="shared" ca="1" si="8"/>
        <v>2.6208731028007914E-3</v>
      </c>
      <c r="D1264" s="14">
        <f t="shared" ca="1" si="9"/>
        <v>1259.0519999999999</v>
      </c>
      <c r="E1264" s="3"/>
      <c r="F1264" s="3"/>
    </row>
    <row r="1265" spans="1:6" ht="14.25" x14ac:dyDescent="0.2">
      <c r="A1265" s="13">
        <f ca="1">IFERROR(__xludf.DUMMYFUNCTION("""COMPUTED_VALUE"""),45695.6458333333)</f>
        <v>45695.645833333299</v>
      </c>
      <c r="B1265" s="14">
        <f ca="1">IFERROR(__xludf.DUMMYFUNCTION("""COMPUTED_VALUE"""),1266.7)</f>
        <v>1266.7</v>
      </c>
      <c r="C1265" s="15">
        <f t="shared" ca="1" si="8"/>
        <v>-1.158753072451324E-2</v>
      </c>
      <c r="D1265" s="14">
        <f t="shared" ca="1" si="9"/>
        <v>1258.9699999999998</v>
      </c>
      <c r="E1265" s="3"/>
      <c r="F1265" s="3"/>
    </row>
    <row r="1266" spans="1:6" ht="14.25" x14ac:dyDescent="0.2">
      <c r="A1266" s="13">
        <f ca="1">IFERROR(__xludf.DUMMYFUNCTION("""COMPUTED_VALUE"""),45698.6458333333)</f>
        <v>45698.645833333299</v>
      </c>
      <c r="B1266" s="14">
        <f ca="1">IFERROR(__xludf.DUMMYFUNCTION("""COMPUTED_VALUE"""),1253.65)</f>
        <v>1253.6500000000001</v>
      </c>
      <c r="C1266" s="15">
        <f t="shared" ca="1" si="8"/>
        <v>-1.0302360464198301E-2</v>
      </c>
      <c r="D1266" s="14">
        <f t="shared" ca="1" si="9"/>
        <v>1258.1989999999996</v>
      </c>
      <c r="E1266" s="3"/>
      <c r="F1266" s="3"/>
    </row>
    <row r="1267" spans="1:6" ht="14.25" x14ac:dyDescent="0.2">
      <c r="A1267" s="13">
        <f ca="1">IFERROR(__xludf.DUMMYFUNCTION("""COMPUTED_VALUE"""),45699.6458333333)</f>
        <v>45699.645833333299</v>
      </c>
      <c r="B1267" s="14">
        <f ca="1">IFERROR(__xludf.DUMMYFUNCTION("""COMPUTED_VALUE"""),1234.85)</f>
        <v>1234.8499999999999</v>
      </c>
      <c r="C1267" s="15">
        <f t="shared" ca="1" si="8"/>
        <v>-1.4996211063694198E-2</v>
      </c>
      <c r="D1267" s="14">
        <f t="shared" ca="1" si="9"/>
        <v>1256.7129999999997</v>
      </c>
      <c r="E1267" s="3"/>
      <c r="F1267" s="3"/>
    </row>
    <row r="1268" spans="1:6" ht="14.25" x14ac:dyDescent="0.2">
      <c r="A1268" s="13">
        <f ca="1">IFERROR(__xludf.DUMMYFUNCTION("""COMPUTED_VALUE"""),45700.6458333333)</f>
        <v>45700.645833333299</v>
      </c>
      <c r="B1268" s="14">
        <f ca="1">IFERROR(__xludf.DUMMYFUNCTION("""COMPUTED_VALUE"""),1216.55)</f>
        <v>1216.55</v>
      </c>
      <c r="C1268" s="15">
        <f t="shared" ca="1" si="8"/>
        <v>-1.4819613718265345E-2</v>
      </c>
      <c r="D1268" s="14">
        <f t="shared" ca="1" si="9"/>
        <v>1254.5779999999997</v>
      </c>
      <c r="E1268" s="3"/>
      <c r="F1268" s="3"/>
    </row>
    <row r="1269" spans="1:6" ht="14.25" x14ac:dyDescent="0.2">
      <c r="A1269" s="13">
        <f ca="1">IFERROR(__xludf.DUMMYFUNCTION("""COMPUTED_VALUE"""),45701.6458333333)</f>
        <v>45701.645833333299</v>
      </c>
      <c r="B1269" s="14">
        <f ca="1">IFERROR(__xludf.DUMMYFUNCTION("""COMPUTED_VALUE"""),1216.1)</f>
        <v>1216.0999999999999</v>
      </c>
      <c r="C1269" s="15">
        <f t="shared" ca="1" si="8"/>
        <v>-3.6989848341628662E-4</v>
      </c>
      <c r="D1269" s="14">
        <f t="shared" ca="1" si="9"/>
        <v>1252.7209999999998</v>
      </c>
      <c r="E1269" s="3"/>
      <c r="F1269" s="3"/>
    </row>
    <row r="1270" spans="1:6" ht="14.25" x14ac:dyDescent="0.2">
      <c r="A1270" s="13">
        <f ca="1">IFERROR(__xludf.DUMMYFUNCTION("""COMPUTED_VALUE"""),45702.6458333333)</f>
        <v>45702.645833333299</v>
      </c>
      <c r="B1270" s="14">
        <f ca="1">IFERROR(__xludf.DUMMYFUNCTION("""COMPUTED_VALUE"""),1217.25)</f>
        <v>1217.25</v>
      </c>
      <c r="C1270" s="15">
        <f t="shared" ca="1" si="8"/>
        <v>9.4564591727652747E-4</v>
      </c>
      <c r="D1270" s="14">
        <f t="shared" ca="1" si="9"/>
        <v>1250.6249999999998</v>
      </c>
      <c r="E1270" s="3"/>
      <c r="F1270" s="3"/>
    </row>
    <row r="1271" spans="1:6" ht="14.25" x14ac:dyDescent="0.2">
      <c r="A1271" s="13">
        <f ca="1">IFERROR(__xludf.DUMMYFUNCTION("""COMPUTED_VALUE"""),45705.6458333333)</f>
        <v>45705.645833333299</v>
      </c>
      <c r="B1271" s="14">
        <f ca="1">IFERROR(__xludf.DUMMYFUNCTION("""COMPUTED_VALUE"""),1224.9)</f>
        <v>1224.9000000000001</v>
      </c>
      <c r="C1271" s="15">
        <f t="shared" ca="1" si="8"/>
        <v>6.2846580406654695E-3</v>
      </c>
      <c r="D1271" s="14">
        <f t="shared" ca="1" si="9"/>
        <v>1248.8919999999998</v>
      </c>
      <c r="E1271" s="3"/>
      <c r="F1271" s="3"/>
    </row>
    <row r="1272" spans="1:6" ht="14.25" x14ac:dyDescent="0.2">
      <c r="A1272" s="13">
        <f ca="1">IFERROR(__xludf.DUMMYFUNCTION("""COMPUTED_VALUE"""),45706.6458333333)</f>
        <v>45706.645833333299</v>
      </c>
      <c r="B1272" s="14">
        <f ca="1">IFERROR(__xludf.DUMMYFUNCTION("""COMPUTED_VALUE"""),1225.4)</f>
        <v>1225.4000000000001</v>
      </c>
      <c r="C1272" s="15">
        <f t="shared" ca="1" si="8"/>
        <v>4.0819658747648369E-4</v>
      </c>
      <c r="D1272" s="14">
        <f t="shared" ca="1" si="9"/>
        <v>1247.4970000000001</v>
      </c>
      <c r="E1272" s="3"/>
      <c r="F1272" s="3"/>
    </row>
    <row r="1273" spans="1:6" ht="14.25" x14ac:dyDescent="0.2">
      <c r="A1273" s="13">
        <f ca="1">IFERROR(__xludf.DUMMYFUNCTION("""COMPUTED_VALUE"""),45707.6458333333)</f>
        <v>45707.645833333299</v>
      </c>
      <c r="B1273" s="14">
        <f ca="1">IFERROR(__xludf.DUMMYFUNCTION("""COMPUTED_VALUE"""),1227.45)</f>
        <v>1227.45</v>
      </c>
      <c r="C1273" s="15">
        <f t="shared" ca="1" si="8"/>
        <v>1.6729231271421785E-3</v>
      </c>
      <c r="D1273" s="14">
        <f t="shared" ca="1" si="9"/>
        <v>1246.3489999999999</v>
      </c>
      <c r="E1273" s="3"/>
      <c r="F1273" s="3"/>
    </row>
    <row r="1274" spans="1:6" ht="14.25" x14ac:dyDescent="0.2">
      <c r="A1274" s="13">
        <f ca="1">IFERROR(__xludf.DUMMYFUNCTION("""COMPUTED_VALUE"""),45708.6458333333)</f>
        <v>45708.645833333299</v>
      </c>
      <c r="B1274" s="14">
        <f ca="1">IFERROR(__xludf.DUMMYFUNCTION("""COMPUTED_VALUE"""),1233)</f>
        <v>1233</v>
      </c>
      <c r="C1274" s="15">
        <f t="shared" ca="1" si="8"/>
        <v>4.5215691066844421E-3</v>
      </c>
      <c r="D1274" s="14">
        <f t="shared" ca="1" si="9"/>
        <v>1245.4449999999999</v>
      </c>
      <c r="E1274" s="3"/>
      <c r="F1274" s="3"/>
    </row>
    <row r="1275" spans="1:6" ht="14.25" x14ac:dyDescent="0.2">
      <c r="A1275" s="13">
        <f ca="1">IFERROR(__xludf.DUMMYFUNCTION("""COMPUTED_VALUE"""),45709.6458333333)</f>
        <v>45709.645833333299</v>
      </c>
      <c r="B1275" s="14">
        <f ca="1">IFERROR(__xludf.DUMMYFUNCTION("""COMPUTED_VALUE"""),1228.15)</f>
        <v>1228.1500000000001</v>
      </c>
      <c r="C1275" s="15">
        <f t="shared" ca="1" si="8"/>
        <v>-3.9334955393348636E-3</v>
      </c>
      <c r="D1275" s="14">
        <f t="shared" ca="1" si="9"/>
        <v>1244.75</v>
      </c>
      <c r="E1275" s="3"/>
      <c r="F1275" s="3"/>
    </row>
    <row r="1276" spans="1:6" ht="14.25" x14ac:dyDescent="0.2">
      <c r="A1276" s="13">
        <f ca="1">IFERROR(__xludf.DUMMYFUNCTION("""COMPUTED_VALUE"""),45712.6458333333)</f>
        <v>45712.645833333299</v>
      </c>
      <c r="B1276" s="14">
        <f ca="1">IFERROR(__xludf.DUMMYFUNCTION("""COMPUTED_VALUE"""),1214.55)</f>
        <v>1214.55</v>
      </c>
      <c r="C1276" s="15">
        <f t="shared" ca="1" si="8"/>
        <v>-1.1073565932500196E-2</v>
      </c>
      <c r="D1276" s="14">
        <f t="shared" ca="1" si="9"/>
        <v>1243.5840000000003</v>
      </c>
      <c r="E1276" s="3"/>
      <c r="F1276" s="3"/>
    </row>
    <row r="1277" spans="1:6" ht="14.25" x14ac:dyDescent="0.2">
      <c r="A1277" s="13">
        <f ca="1">IFERROR(__xludf.DUMMYFUNCTION("""COMPUTED_VALUE"""),45713.6458333333)</f>
        <v>45713.645833333299</v>
      </c>
      <c r="B1277" s="14">
        <f ca="1">IFERROR(__xludf.DUMMYFUNCTION("""COMPUTED_VALUE"""),1204)</f>
        <v>1204</v>
      </c>
      <c r="C1277" s="15">
        <f t="shared" ca="1" si="8"/>
        <v>-8.6863447367336866E-3</v>
      </c>
      <c r="D1277" s="14">
        <f t="shared" ca="1" si="9"/>
        <v>1242.298</v>
      </c>
      <c r="E1277" s="3"/>
      <c r="F1277" s="3"/>
    </row>
    <row r="1278" spans="1:6" ht="14.25" x14ac:dyDescent="0.2">
      <c r="A1278" s="13">
        <f ca="1">IFERROR(__xludf.DUMMYFUNCTION("""COMPUTED_VALUE"""),45715.6458333333)</f>
        <v>45715.645833333299</v>
      </c>
      <c r="B1278" s="14">
        <f ca="1">IFERROR(__xludf.DUMMYFUNCTION("""COMPUTED_VALUE"""),1207.1)</f>
        <v>1207.0999999999999</v>
      </c>
      <c r="C1278" s="15">
        <f t="shared" ref="C1278:C1485" ca="1" si="10">(B1278/B1277)-1</f>
        <v>2.5747508305646871E-3</v>
      </c>
      <c r="D1278" s="14">
        <f t="shared" ca="1" si="9"/>
        <v>1241.5340000000001</v>
      </c>
      <c r="E1278" s="3"/>
      <c r="F1278" s="3"/>
    </row>
    <row r="1279" spans="1:6" ht="14.25" x14ac:dyDescent="0.2">
      <c r="A1279" s="13">
        <f ca="1">IFERROR(__xludf.DUMMYFUNCTION("""COMPUTED_VALUE"""),45716.6458333333)</f>
        <v>45716.645833333299</v>
      </c>
      <c r="B1279" s="14">
        <f ca="1">IFERROR(__xludf.DUMMYFUNCTION("""COMPUTED_VALUE"""),1200.1)</f>
        <v>1200.0999999999999</v>
      </c>
      <c r="C1279" s="15">
        <f t="shared" ca="1" si="10"/>
        <v>-5.7990224505012344E-3</v>
      </c>
      <c r="D1279" s="14">
        <f t="shared" ca="1" si="9"/>
        <v>1240.471</v>
      </c>
      <c r="E1279" s="3"/>
      <c r="F1279" s="3"/>
    </row>
    <row r="1280" spans="1:6" ht="14.25" x14ac:dyDescent="0.2">
      <c r="A1280" s="13">
        <f ca="1">IFERROR(__xludf.DUMMYFUNCTION("""COMPUTED_VALUE"""),45719.6458333333)</f>
        <v>45719.645833333299</v>
      </c>
      <c r="B1280" s="14">
        <f ca="1">IFERROR(__xludf.DUMMYFUNCTION("""COMPUTED_VALUE"""),1171.25)</f>
        <v>1171.25</v>
      </c>
      <c r="C1280" s="15">
        <f t="shared" ca="1" si="10"/>
        <v>-2.4039663361386521E-2</v>
      </c>
      <c r="D1280" s="14">
        <f t="shared" ca="1" si="9"/>
        <v>1239.287</v>
      </c>
      <c r="E1280" s="3"/>
      <c r="F1280" s="3"/>
    </row>
    <row r="1281" spans="1:6" ht="14.25" x14ac:dyDescent="0.2">
      <c r="A1281" s="13">
        <f ca="1">IFERROR(__xludf.DUMMYFUNCTION("""COMPUTED_VALUE"""),45720.6458333333)</f>
        <v>45720.645833333299</v>
      </c>
      <c r="B1281" s="14">
        <f ca="1">IFERROR(__xludf.DUMMYFUNCTION("""COMPUTED_VALUE"""),1161.9)</f>
        <v>1161.9000000000001</v>
      </c>
      <c r="C1281" s="15">
        <f t="shared" ca="1" si="10"/>
        <v>-7.9829242262539069E-3</v>
      </c>
      <c r="D1281" s="14">
        <f t="shared" ca="1" si="9"/>
        <v>1238.4190000000001</v>
      </c>
      <c r="E1281" s="3"/>
      <c r="F1281" s="3"/>
    </row>
    <row r="1282" spans="1:6" ht="14.25" x14ac:dyDescent="0.2">
      <c r="A1282" s="13">
        <f ca="1">IFERROR(__xludf.DUMMYFUNCTION("""COMPUTED_VALUE"""),45721.6458333333)</f>
        <v>45721.645833333299</v>
      </c>
      <c r="B1282" s="14">
        <f ca="1">IFERROR(__xludf.DUMMYFUNCTION("""COMPUTED_VALUE"""),1175.6)</f>
        <v>1175.5999999999999</v>
      </c>
      <c r="C1282" s="15">
        <f t="shared" ca="1" si="10"/>
        <v>1.1791031930458606E-2</v>
      </c>
      <c r="D1282" s="14">
        <f t="shared" ca="1" si="9"/>
        <v>1237.4849999999999</v>
      </c>
      <c r="E1282" s="3"/>
      <c r="F1282" s="3"/>
    </row>
    <row r="1283" spans="1:6" ht="14.25" x14ac:dyDescent="0.2">
      <c r="A1283" s="13">
        <f ca="1">IFERROR(__xludf.DUMMYFUNCTION("""COMPUTED_VALUE"""),45722.6458333333)</f>
        <v>45722.645833333299</v>
      </c>
      <c r="B1283" s="14">
        <f ca="1">IFERROR(__xludf.DUMMYFUNCTION("""COMPUTED_VALUE"""),1209.6)</f>
        <v>1209.5999999999999</v>
      </c>
      <c r="C1283" s="15">
        <f t="shared" ca="1" si="10"/>
        <v>2.8921401837359584E-2</v>
      </c>
      <c r="D1283" s="14">
        <f t="shared" ca="1" si="9"/>
        <v>1237.222</v>
      </c>
      <c r="E1283" s="3"/>
      <c r="F1283" s="3"/>
    </row>
    <row r="1284" spans="1:6" ht="14.25" x14ac:dyDescent="0.2">
      <c r="A1284" s="13">
        <f ca="1">IFERROR(__xludf.DUMMYFUNCTION("""COMPUTED_VALUE"""),45723.6458333333)</f>
        <v>45723.645833333299</v>
      </c>
      <c r="B1284" s="14">
        <f ca="1">IFERROR(__xludf.DUMMYFUNCTION("""COMPUTED_VALUE"""),1249.8)</f>
        <v>1249.8</v>
      </c>
      <c r="C1284" s="15">
        <f t="shared" ca="1" si="10"/>
        <v>3.3234126984126977E-2</v>
      </c>
      <c r="D1284" s="14">
        <f t="shared" ca="1" si="9"/>
        <v>1237.8869999999999</v>
      </c>
      <c r="E1284" s="3"/>
      <c r="F1284" s="3"/>
    </row>
    <row r="1285" spans="1:6" ht="14.25" x14ac:dyDescent="0.2">
      <c r="A1285" s="13">
        <f ca="1">IFERROR(__xludf.DUMMYFUNCTION("""COMPUTED_VALUE"""),45726.6458333333)</f>
        <v>45726.645833333299</v>
      </c>
      <c r="B1285" s="14">
        <f ca="1">IFERROR(__xludf.DUMMYFUNCTION("""COMPUTED_VALUE"""),1238.4)</f>
        <v>1238.4000000000001</v>
      </c>
      <c r="C1285" s="15">
        <f t="shared" ca="1" si="10"/>
        <v>-9.1214594335092825E-3</v>
      </c>
      <c r="D1285" s="14">
        <f t="shared" ca="1" si="9"/>
        <v>1238.2340000000002</v>
      </c>
      <c r="E1285" s="3"/>
      <c r="F1285" s="3"/>
    </row>
    <row r="1286" spans="1:6" ht="14.25" x14ac:dyDescent="0.2">
      <c r="A1286" s="13">
        <f ca="1">IFERROR(__xludf.DUMMYFUNCTION("""COMPUTED_VALUE"""),45727.6458333333)</f>
        <v>45727.645833333299</v>
      </c>
      <c r="B1286" s="14">
        <f ca="1">IFERROR(__xludf.DUMMYFUNCTION("""COMPUTED_VALUE"""),1247.3)</f>
        <v>1247.3</v>
      </c>
      <c r="C1286" s="15">
        <f t="shared" ca="1" si="10"/>
        <v>7.1866925064598686E-3</v>
      </c>
      <c r="D1286" s="14">
        <f t="shared" ca="1" si="9"/>
        <v>1238.9660000000001</v>
      </c>
      <c r="E1286" s="3"/>
      <c r="F1286" s="3"/>
    </row>
    <row r="1287" spans="1:6" ht="14.25" x14ac:dyDescent="0.2">
      <c r="A1287" s="13">
        <f ca="1">IFERROR(__xludf.DUMMYFUNCTION("""COMPUTED_VALUE"""),45728.6458333333)</f>
        <v>45728.645833333299</v>
      </c>
      <c r="B1287" s="14">
        <f ca="1">IFERROR(__xludf.DUMMYFUNCTION("""COMPUTED_VALUE"""),1257.05)</f>
        <v>1257.05</v>
      </c>
      <c r="C1287" s="15">
        <f t="shared" ca="1" si="10"/>
        <v>7.8168844704562535E-3</v>
      </c>
      <c r="D1287" s="14">
        <f t="shared" ca="1" si="9"/>
        <v>1239.7980000000002</v>
      </c>
      <c r="E1287" s="3"/>
      <c r="F1287" s="3"/>
    </row>
    <row r="1288" spans="1:6" ht="14.25" x14ac:dyDescent="0.2">
      <c r="A1288" s="13">
        <f ca="1">IFERROR(__xludf.DUMMYFUNCTION("""COMPUTED_VALUE"""),45729.6458333333)</f>
        <v>45729.645833333299</v>
      </c>
      <c r="B1288" s="14">
        <f ca="1">IFERROR(__xludf.DUMMYFUNCTION("""COMPUTED_VALUE"""),1247.9)</f>
        <v>1247.9000000000001</v>
      </c>
      <c r="C1288" s="15">
        <f t="shared" ca="1" si="10"/>
        <v>-7.2789467403840957E-3</v>
      </c>
      <c r="D1288" s="14">
        <f t="shared" ca="1" si="9"/>
        <v>1240.3310000000001</v>
      </c>
      <c r="E1288" s="3"/>
      <c r="F1288" s="3"/>
    </row>
    <row r="1289" spans="1:6" ht="14.25" x14ac:dyDescent="0.2">
      <c r="A1289" s="13">
        <f ca="1">IFERROR(__xludf.DUMMYFUNCTION("""COMPUTED_VALUE"""),45733.6458333333)</f>
        <v>45733.645833333299</v>
      </c>
      <c r="B1289" s="14">
        <f ca="1">IFERROR(__xludf.DUMMYFUNCTION("""COMPUTED_VALUE"""),1238.85)</f>
        <v>1238.8499999999999</v>
      </c>
      <c r="C1289" s="15">
        <f t="shared" ca="1" si="10"/>
        <v>-7.2521836685632834E-3</v>
      </c>
      <c r="D1289" s="14">
        <f t="shared" ca="1" si="9"/>
        <v>1240.2720000000002</v>
      </c>
      <c r="E1289" s="3"/>
      <c r="F1289" s="3"/>
    </row>
    <row r="1290" spans="1:6" ht="14.25" x14ac:dyDescent="0.2">
      <c r="A1290" s="13">
        <f ca="1">IFERROR(__xludf.DUMMYFUNCTION("""COMPUTED_VALUE"""),45734.6458333333)</f>
        <v>45734.645833333299</v>
      </c>
      <c r="B1290" s="14">
        <f ca="1">IFERROR(__xludf.DUMMYFUNCTION("""COMPUTED_VALUE"""),1238.8)</f>
        <v>1238.8</v>
      </c>
      <c r="C1290" s="15">
        <f t="shared" ca="1" si="10"/>
        <v>-4.0360011300810683E-5</v>
      </c>
      <c r="D1290" s="14">
        <f t="shared" ca="1" si="9"/>
        <v>1240.0250000000005</v>
      </c>
      <c r="E1290" s="3"/>
      <c r="F1290" s="3"/>
    </row>
    <row r="1291" spans="1:6" ht="14.25" x14ac:dyDescent="0.2">
      <c r="A1291" s="13">
        <f ca="1">IFERROR(__xludf.DUMMYFUNCTION("""COMPUTED_VALUE"""),45735.6458333333)</f>
        <v>45735.645833333299</v>
      </c>
      <c r="B1291" s="14">
        <f ca="1">IFERROR(__xludf.DUMMYFUNCTION("""COMPUTED_VALUE"""),1247.15)</f>
        <v>1247.1500000000001</v>
      </c>
      <c r="C1291" s="15">
        <f t="shared" ca="1" si="10"/>
        <v>6.7403939296093451E-3</v>
      </c>
      <c r="D1291" s="14">
        <f t="shared" ca="1" si="9"/>
        <v>1240.6080000000004</v>
      </c>
      <c r="E1291" s="3"/>
      <c r="F1291" s="3"/>
    </row>
    <row r="1292" spans="1:6" ht="14.25" x14ac:dyDescent="0.2">
      <c r="A1292" s="13">
        <f ca="1">IFERROR(__xludf.DUMMYFUNCTION("""COMPUTED_VALUE"""),45736.6458333333)</f>
        <v>45736.645833333299</v>
      </c>
      <c r="B1292" s="14">
        <f ca="1">IFERROR(__xludf.DUMMYFUNCTION("""COMPUTED_VALUE"""),1269.15)</f>
        <v>1269.1500000000001</v>
      </c>
      <c r="C1292" s="15">
        <f t="shared" ca="1" si="10"/>
        <v>1.7640219700918003E-2</v>
      </c>
      <c r="D1292" s="14">
        <f t="shared" ca="1" si="9"/>
        <v>1241.1740000000004</v>
      </c>
      <c r="E1292" s="3"/>
      <c r="F1292" s="3"/>
    </row>
    <row r="1293" spans="1:6" ht="14.25" x14ac:dyDescent="0.2">
      <c r="A1293" s="13">
        <f ca="1">IFERROR(__xludf.DUMMYFUNCTION("""COMPUTED_VALUE"""),45737.6458333333)</f>
        <v>45737.645833333299</v>
      </c>
      <c r="B1293" s="14">
        <f ca="1">IFERROR(__xludf.DUMMYFUNCTION("""COMPUTED_VALUE"""),1276.35)</f>
        <v>1276.3499999999999</v>
      </c>
      <c r="C1293" s="15">
        <f t="shared" ca="1" si="10"/>
        <v>5.6730882874362898E-3</v>
      </c>
      <c r="D1293" s="14">
        <f t="shared" ca="1" si="9"/>
        <v>1241.3910000000003</v>
      </c>
      <c r="E1293" s="3"/>
      <c r="F1293" s="3"/>
    </row>
    <row r="1294" spans="1:6" ht="14.25" x14ac:dyDescent="0.2">
      <c r="A1294" s="13">
        <f ca="1">IFERROR(__xludf.DUMMYFUNCTION("""COMPUTED_VALUE"""),45740.6458333333)</f>
        <v>45740.645833333299</v>
      </c>
      <c r="B1294" s="14">
        <f ca="1">IFERROR(__xludf.DUMMYFUNCTION("""COMPUTED_VALUE"""),1302.1)</f>
        <v>1302.0999999999999</v>
      </c>
      <c r="C1294" s="15">
        <f t="shared" ca="1" si="10"/>
        <v>2.0174716966349315E-2</v>
      </c>
      <c r="D1294" s="14">
        <f t="shared" ca="1" si="9"/>
        <v>1242.3380000000002</v>
      </c>
      <c r="E1294" s="3"/>
      <c r="F1294" s="3"/>
    </row>
    <row r="1295" spans="1:6" ht="14.25" x14ac:dyDescent="0.2">
      <c r="A1295" s="13">
        <f ca="1">IFERROR(__xludf.DUMMYFUNCTION("""COMPUTED_VALUE"""),45741.6458333333)</f>
        <v>45741.645833333299</v>
      </c>
      <c r="B1295" s="14">
        <f ca="1">IFERROR(__xludf.DUMMYFUNCTION("""COMPUTED_VALUE"""),1285.45)</f>
        <v>1285.45</v>
      </c>
      <c r="C1295" s="15">
        <f t="shared" ca="1" si="10"/>
        <v>-1.278703632593492E-2</v>
      </c>
      <c r="D1295" s="14">
        <f t="shared" ca="1" si="9"/>
        <v>1243.2090000000001</v>
      </c>
      <c r="E1295" s="3"/>
      <c r="F1295" s="3"/>
    </row>
    <row r="1296" spans="1:6" ht="14.25" x14ac:dyDescent="0.2">
      <c r="A1296" s="13">
        <f ca="1">IFERROR(__xludf.DUMMYFUNCTION("""COMPUTED_VALUE"""),45742.6458333333)</f>
        <v>45742.645833333299</v>
      </c>
      <c r="B1296" s="14">
        <f ca="1">IFERROR(__xludf.DUMMYFUNCTION("""COMPUTED_VALUE"""),1273.05)</f>
        <v>1273.05</v>
      </c>
      <c r="C1296" s="15">
        <f t="shared" ca="1" si="10"/>
        <v>-9.6464273211716023E-3</v>
      </c>
      <c r="D1296" s="14">
        <f t="shared" ca="1" si="9"/>
        <v>1243.8730000000003</v>
      </c>
      <c r="E1296" s="3"/>
      <c r="F1296" s="3"/>
    </row>
    <row r="1297" spans="1:6" ht="14.25" x14ac:dyDescent="0.2">
      <c r="A1297" s="13">
        <f ca="1">IFERROR(__xludf.DUMMYFUNCTION("""COMPUTED_VALUE"""),45743.6458333333)</f>
        <v>45743.645833333299</v>
      </c>
      <c r="B1297" s="14">
        <f ca="1">IFERROR(__xludf.DUMMYFUNCTION("""COMPUTED_VALUE"""),1278.2)</f>
        <v>1278.2</v>
      </c>
      <c r="C1297" s="15">
        <f t="shared" ca="1" si="10"/>
        <v>4.0454027728684672E-3</v>
      </c>
      <c r="D1297" s="14">
        <f t="shared" ca="1" si="9"/>
        <v>1244.6620000000003</v>
      </c>
      <c r="E1297" s="3"/>
      <c r="F1297" s="3"/>
    </row>
    <row r="1298" spans="1:6" ht="14.25" x14ac:dyDescent="0.2">
      <c r="A1298" s="13">
        <f ca="1">IFERROR(__xludf.DUMMYFUNCTION("""COMPUTED_VALUE"""),45744.6458333333)</f>
        <v>45744.645833333299</v>
      </c>
      <c r="B1298" s="14">
        <f ca="1">IFERROR(__xludf.DUMMYFUNCTION("""COMPUTED_VALUE"""),1275.1)</f>
        <v>1275.0999999999999</v>
      </c>
      <c r="C1298" s="15">
        <f t="shared" ca="1" si="10"/>
        <v>-2.4252855578157373E-3</v>
      </c>
      <c r="D1298" s="14">
        <f t="shared" ca="1" si="9"/>
        <v>1245.1200000000001</v>
      </c>
      <c r="E1298" s="3"/>
      <c r="F1298" s="3"/>
    </row>
    <row r="1299" spans="1:6" ht="14.25" x14ac:dyDescent="0.2">
      <c r="A1299" s="13">
        <f ca="1">IFERROR(__xludf.DUMMYFUNCTION("""COMPUTED_VALUE"""),45748.6458333333)</f>
        <v>45748.645833333299</v>
      </c>
      <c r="B1299" s="14">
        <f ca="1">IFERROR(__xludf.DUMMYFUNCTION("""COMPUTED_VALUE"""),1252.6)</f>
        <v>1252.5999999999999</v>
      </c>
      <c r="C1299" s="15">
        <f t="shared" ca="1" si="10"/>
        <v>-1.7645674849031456E-2</v>
      </c>
      <c r="D1299" s="14">
        <f t="shared" ca="1" si="9"/>
        <v>1244.8430000000001</v>
      </c>
      <c r="E1299" s="3"/>
      <c r="F1299" s="3"/>
    </row>
    <row r="1300" spans="1:6" ht="14.25" x14ac:dyDescent="0.2">
      <c r="A1300" s="13">
        <f ca="1">IFERROR(__xludf.DUMMYFUNCTION("""COMPUTED_VALUE"""),45749.6458333333)</f>
        <v>45749.645833333299</v>
      </c>
      <c r="B1300" s="14">
        <f ca="1">IFERROR(__xludf.DUMMYFUNCTION("""COMPUTED_VALUE"""),1251.15)</f>
        <v>1251.1500000000001</v>
      </c>
      <c r="C1300" s="15">
        <f t="shared" ca="1" si="10"/>
        <v>-1.1575922082067702E-3</v>
      </c>
      <c r="D1300" s="14">
        <f t="shared" ca="1" si="9"/>
        <v>1243.8190000000002</v>
      </c>
      <c r="E1300" s="3"/>
      <c r="F1300" s="3"/>
    </row>
    <row r="1301" spans="1:6" ht="14.25" x14ac:dyDescent="0.2">
      <c r="A1301" s="13">
        <f ca="1">IFERROR(__xludf.DUMMYFUNCTION("""COMPUTED_VALUE"""),45750.6458333333)</f>
        <v>45750.645833333299</v>
      </c>
      <c r="B1301" s="14">
        <f ca="1">IFERROR(__xludf.DUMMYFUNCTION("""COMPUTED_VALUE"""),1248.7)</f>
        <v>1248.7</v>
      </c>
      <c r="C1301" s="15">
        <f t="shared" ca="1" si="10"/>
        <v>-1.9581984574191802E-3</v>
      </c>
      <c r="D1301" s="14">
        <f t="shared" ca="1" si="9"/>
        <v>1242.6840000000002</v>
      </c>
      <c r="E1301" s="3"/>
      <c r="F1301" s="3"/>
    </row>
    <row r="1302" spans="1:6" ht="14.25" x14ac:dyDescent="0.2">
      <c r="A1302" s="13">
        <f ca="1">IFERROR(__xludf.DUMMYFUNCTION("""COMPUTED_VALUE"""),45751.6458333333)</f>
        <v>45751.645833333299</v>
      </c>
      <c r="B1302" s="14">
        <f ca="1">IFERROR(__xludf.DUMMYFUNCTION("""COMPUTED_VALUE"""),1204.7)</f>
        <v>1204.7</v>
      </c>
      <c r="C1302" s="15">
        <f t="shared" ca="1" si="10"/>
        <v>-3.5236646111956427E-2</v>
      </c>
      <c r="D1302" s="14">
        <f t="shared" ca="1" si="9"/>
        <v>1241.3040000000001</v>
      </c>
      <c r="E1302" s="3"/>
      <c r="F1302" s="3"/>
    </row>
    <row r="1303" spans="1:6" ht="14.25" x14ac:dyDescent="0.2">
      <c r="A1303" s="13">
        <f ca="1">IFERROR(__xludf.DUMMYFUNCTION("""COMPUTED_VALUE"""),45754.6458333333)</f>
        <v>45754.645833333299</v>
      </c>
      <c r="B1303" s="14">
        <f ca="1">IFERROR(__xludf.DUMMYFUNCTION("""COMPUTED_VALUE"""),1165.7)</f>
        <v>1165.7</v>
      </c>
      <c r="C1303" s="15">
        <f t="shared" ca="1" si="10"/>
        <v>-3.2373204947289791E-2</v>
      </c>
      <c r="D1303" s="14">
        <f t="shared" ca="1" si="9"/>
        <v>1239.076</v>
      </c>
      <c r="E1303" s="3"/>
      <c r="F1303" s="3"/>
    </row>
    <row r="1304" spans="1:6" ht="14.25" x14ac:dyDescent="0.2">
      <c r="A1304" s="13">
        <f ca="1">IFERROR(__xludf.DUMMYFUNCTION("""COMPUTED_VALUE"""),45755.6458333333)</f>
        <v>45755.645833333299</v>
      </c>
      <c r="B1304" s="14">
        <f ca="1">IFERROR(__xludf.DUMMYFUNCTION("""COMPUTED_VALUE"""),1182.2)</f>
        <v>1182.2</v>
      </c>
      <c r="C1304" s="15">
        <f t="shared" ca="1" si="10"/>
        <v>1.4154585227760252E-2</v>
      </c>
      <c r="D1304" s="14">
        <f t="shared" ca="1" si="9"/>
        <v>1237.4469999999999</v>
      </c>
      <c r="E1304" s="3"/>
      <c r="F1304" s="3"/>
    </row>
    <row r="1305" spans="1:6" ht="14.25" x14ac:dyDescent="0.2">
      <c r="A1305" s="13">
        <f ca="1">IFERROR(__xludf.DUMMYFUNCTION("""COMPUTED_VALUE"""),45756.6458333333)</f>
        <v>45756.645833333299</v>
      </c>
      <c r="B1305" s="14">
        <f ca="1">IFERROR(__xludf.DUMMYFUNCTION("""COMPUTED_VALUE"""),1185.35)</f>
        <v>1185.3499999999999</v>
      </c>
      <c r="C1305" s="15">
        <f t="shared" ca="1" si="10"/>
        <v>2.664523769243754E-3</v>
      </c>
      <c r="D1305" s="14">
        <f t="shared" ca="1" si="9"/>
        <v>1236.2279999999998</v>
      </c>
      <c r="E1305" s="3"/>
      <c r="F1305" s="3"/>
    </row>
    <row r="1306" spans="1:6" ht="14.25" x14ac:dyDescent="0.2">
      <c r="A1306" s="13">
        <f ca="1">IFERROR(__xludf.DUMMYFUNCTION("""COMPUTED_VALUE"""),45758.6458333333)</f>
        <v>45758.645833333299</v>
      </c>
      <c r="B1306" s="14">
        <f ca="1">IFERROR(__xludf.DUMMYFUNCTION("""COMPUTED_VALUE"""),1218.95)</f>
        <v>1218.95</v>
      </c>
      <c r="C1306" s="15">
        <f t="shared" ca="1" si="10"/>
        <v>2.8346058126291984E-2</v>
      </c>
      <c r="D1306" s="14">
        <f t="shared" ca="1" si="9"/>
        <v>1236.0199999999998</v>
      </c>
      <c r="E1306" s="3"/>
      <c r="F1306" s="3"/>
    </row>
    <row r="1307" spans="1:6" ht="14.25" x14ac:dyDescent="0.2">
      <c r="A1307" s="13">
        <f ca="1">IFERROR(__xludf.DUMMYFUNCTION("""COMPUTED_VALUE"""),45762.6458333333)</f>
        <v>45762.645833333299</v>
      </c>
      <c r="B1307" s="14">
        <f ca="1">IFERROR(__xludf.DUMMYFUNCTION("""COMPUTED_VALUE"""),1240.1)</f>
        <v>1240.0999999999999</v>
      </c>
      <c r="C1307" s="15">
        <f t="shared" ca="1" si="10"/>
        <v>1.7350998810451435E-2</v>
      </c>
      <c r="D1307" s="14">
        <f t="shared" ca="1" si="9"/>
        <v>1236.1339999999998</v>
      </c>
      <c r="E1307" s="3"/>
      <c r="F1307" s="3"/>
    </row>
    <row r="1308" spans="1:6" ht="14.25" x14ac:dyDescent="0.2">
      <c r="A1308" s="13">
        <f ca="1">IFERROR(__xludf.DUMMYFUNCTION("""COMPUTED_VALUE"""),45763.6458333333)</f>
        <v>45763.645833333299</v>
      </c>
      <c r="B1308" s="14">
        <f ca="1">IFERROR(__xludf.DUMMYFUNCTION("""COMPUTED_VALUE"""),1239.3)</f>
        <v>1239.3</v>
      </c>
      <c r="C1308" s="15">
        <f t="shared" ca="1" si="10"/>
        <v>-6.4510926538174918E-4</v>
      </c>
      <c r="D1308" s="14">
        <f t="shared" ca="1" si="9"/>
        <v>1236.2099999999998</v>
      </c>
      <c r="E1308" s="3"/>
      <c r="F1308" s="3"/>
    </row>
    <row r="1309" spans="1:6" ht="14.25" x14ac:dyDescent="0.2">
      <c r="A1309" s="13">
        <f ca="1">IFERROR(__xludf.DUMMYFUNCTION("""COMPUTED_VALUE"""),45764.6458333333)</f>
        <v>45764.645833333299</v>
      </c>
      <c r="B1309" s="14">
        <f ca="1">IFERROR(__xludf.DUMMYFUNCTION("""COMPUTED_VALUE"""),1274.5)</f>
        <v>1274.5</v>
      </c>
      <c r="C1309" s="15">
        <f t="shared" ca="1" si="10"/>
        <v>2.8403130799645071E-2</v>
      </c>
      <c r="D1309" s="14">
        <f t="shared" ca="1" si="9"/>
        <v>1236.6389999999997</v>
      </c>
      <c r="E1309" s="3"/>
      <c r="F1309" s="3"/>
    </row>
    <row r="1310" spans="1:6" ht="14.25" x14ac:dyDescent="0.2">
      <c r="A1310" s="13">
        <f ca="1">IFERROR(__xludf.DUMMYFUNCTION("""COMPUTED_VALUE"""),45768.6458333333)</f>
        <v>45768.645833333299</v>
      </c>
      <c r="B1310" s="14">
        <f ca="1">IFERROR(__xludf.DUMMYFUNCTION("""COMPUTED_VALUE"""),1295.5)</f>
        <v>1295.5</v>
      </c>
      <c r="C1310" s="15">
        <f t="shared" ca="1" si="10"/>
        <v>1.6477049823460099E-2</v>
      </c>
      <c r="D1310" s="14">
        <f t="shared" ca="1" si="9"/>
        <v>1237.2469999999996</v>
      </c>
      <c r="E1310" s="3"/>
      <c r="F1310" s="3"/>
    </row>
    <row r="1311" spans="1:6" ht="14.25" x14ac:dyDescent="0.2">
      <c r="A1311" s="13">
        <f ca="1">IFERROR(__xludf.DUMMYFUNCTION("""COMPUTED_VALUE"""),45769.6458333333)</f>
        <v>45769.645833333299</v>
      </c>
      <c r="B1311" s="14">
        <f ca="1">IFERROR(__xludf.DUMMYFUNCTION("""COMPUTED_VALUE"""),1291.2)</f>
        <v>1291.2</v>
      </c>
      <c r="C1311" s="15">
        <f t="shared" ca="1" si="10"/>
        <v>-3.3191817830953152E-3</v>
      </c>
      <c r="D1311" s="14">
        <f t="shared" ca="1" si="9"/>
        <v>1238.1529999999993</v>
      </c>
      <c r="E1311" s="3"/>
      <c r="F1311" s="3"/>
    </row>
    <row r="1312" spans="1:6" ht="14.25" x14ac:dyDescent="0.2">
      <c r="A1312" s="13">
        <f ca="1">IFERROR(__xludf.DUMMYFUNCTION("""COMPUTED_VALUE"""),45770.6458333333)</f>
        <v>45770.645833333299</v>
      </c>
      <c r="B1312" s="14">
        <f ca="1">IFERROR(__xludf.DUMMYFUNCTION("""COMPUTED_VALUE"""),1300)</f>
        <v>1300</v>
      </c>
      <c r="C1312" s="15">
        <f t="shared" ca="1" si="10"/>
        <v>6.8153655514249234E-3</v>
      </c>
      <c r="D1312" s="14">
        <f t="shared" ca="1" si="9"/>
        <v>1238.4489999999996</v>
      </c>
      <c r="E1312" s="3"/>
      <c r="F1312" s="3"/>
    </row>
    <row r="1313" spans="1:6" ht="14.25" x14ac:dyDescent="0.2">
      <c r="A1313" s="13">
        <f ca="1">IFERROR(__xludf.DUMMYFUNCTION("""COMPUTED_VALUE"""),45771.6458333333)</f>
        <v>45771.645833333299</v>
      </c>
      <c r="B1313" s="14">
        <f ca="1">IFERROR(__xludf.DUMMYFUNCTION("""COMPUTED_VALUE"""),1301.6)</f>
        <v>1301.5999999999999</v>
      </c>
      <c r="C1313" s="15">
        <f t="shared" ca="1" si="10"/>
        <v>1.2307692307691465E-3</v>
      </c>
      <c r="D1313" s="14">
        <f t="shared" ca="1" si="9"/>
        <v>1238.9169999999995</v>
      </c>
      <c r="E1313" s="3"/>
      <c r="F1313" s="3"/>
    </row>
    <row r="1314" spans="1:6" ht="14.25" x14ac:dyDescent="0.2">
      <c r="A1314" s="13">
        <f ca="1">IFERROR(__xludf.DUMMYFUNCTION("""COMPUTED_VALUE"""),45772.6458333333)</f>
        <v>45772.645833333299</v>
      </c>
      <c r="B1314" s="14">
        <f ca="1">IFERROR(__xludf.DUMMYFUNCTION("""COMPUTED_VALUE"""),1300.4)</f>
        <v>1300.4000000000001</v>
      </c>
      <c r="C1314" s="15">
        <f t="shared" ca="1" si="10"/>
        <v>-9.2194222495378675E-4</v>
      </c>
      <c r="D1314" s="14">
        <f t="shared" ca="1" si="9"/>
        <v>1239.2939999999994</v>
      </c>
      <c r="E1314" s="3"/>
      <c r="F1314" s="3"/>
    </row>
    <row r="1315" spans="1:6" ht="14.25" x14ac:dyDescent="0.2">
      <c r="A1315" s="13">
        <f ca="1">IFERROR(__xludf.DUMMYFUNCTION("""COMPUTED_VALUE"""),45775.6458333333)</f>
        <v>45775.645833333299</v>
      </c>
      <c r="B1315" s="14">
        <f ca="1">IFERROR(__xludf.DUMMYFUNCTION("""COMPUTED_VALUE"""),1368.8)</f>
        <v>1368.8</v>
      </c>
      <c r="C1315" s="15">
        <f t="shared" ca="1" si="10"/>
        <v>5.2599200246078004E-2</v>
      </c>
      <c r="D1315" s="14">
        <f t="shared" ca="1" si="9"/>
        <v>1241.3359999999996</v>
      </c>
      <c r="E1315" s="3"/>
      <c r="F1315" s="3"/>
    </row>
    <row r="1316" spans="1:6" ht="14.25" x14ac:dyDescent="0.2">
      <c r="A1316" s="13">
        <f ca="1">IFERROR(__xludf.DUMMYFUNCTION("""COMPUTED_VALUE"""),45776.6458333333)</f>
        <v>45776.645833333299</v>
      </c>
      <c r="B1316" s="14">
        <f ca="1">IFERROR(__xludf.DUMMYFUNCTION("""COMPUTED_VALUE"""),1399.7)</f>
        <v>1399.7</v>
      </c>
      <c r="C1316" s="15">
        <f t="shared" ca="1" si="10"/>
        <v>2.2574517825832974E-2</v>
      </c>
      <c r="D1316" s="14">
        <f t="shared" ca="1" si="9"/>
        <v>1244.2569999999996</v>
      </c>
      <c r="E1316" s="3"/>
      <c r="F1316" s="3"/>
    </row>
    <row r="1317" spans="1:6" ht="14.25" x14ac:dyDescent="0.2">
      <c r="A1317" s="13">
        <f ca="1">IFERROR(__xludf.DUMMYFUNCTION("""COMPUTED_VALUE"""),45777.6458333333)</f>
        <v>45777.645833333299</v>
      </c>
      <c r="B1317" s="14">
        <f ca="1">IFERROR(__xludf.DUMMYFUNCTION("""COMPUTED_VALUE"""),1405)</f>
        <v>1405</v>
      </c>
      <c r="C1317" s="15">
        <f t="shared" ca="1" si="10"/>
        <v>3.7865256840752259E-3</v>
      </c>
      <c r="D1317" s="14">
        <f t="shared" ca="1" si="9"/>
        <v>1247.6599999999994</v>
      </c>
      <c r="E1317" s="3"/>
      <c r="F1317" s="3"/>
    </row>
    <row r="1318" spans="1:6" ht="14.25" x14ac:dyDescent="0.2">
      <c r="A1318" s="13">
        <f ca="1">IFERROR(__xludf.DUMMYFUNCTION("""COMPUTED_VALUE"""),45779.6458333333)</f>
        <v>45779.645833333299</v>
      </c>
      <c r="B1318" s="14">
        <f ca="1">IFERROR(__xludf.DUMMYFUNCTION("""COMPUTED_VALUE"""),1422.4)</f>
        <v>1422.4</v>
      </c>
      <c r="C1318" s="15">
        <f t="shared" ca="1" si="10"/>
        <v>1.2384341637010632E-2</v>
      </c>
      <c r="D1318" s="14">
        <f t="shared" ca="1" si="9"/>
        <v>1251.7769999999996</v>
      </c>
      <c r="E1318" s="3"/>
      <c r="F1318" s="3"/>
    </row>
    <row r="1319" spans="1:6" ht="14.25" x14ac:dyDescent="0.2">
      <c r="A1319" s="13">
        <f ca="1">IFERROR(__xludf.DUMMYFUNCTION("""COMPUTED_VALUE"""),45782.6458333333)</f>
        <v>45782.645833333299</v>
      </c>
      <c r="B1319" s="14">
        <f ca="1">IFERROR(__xludf.DUMMYFUNCTION("""COMPUTED_VALUE"""),1431.3)</f>
        <v>1431.3</v>
      </c>
      <c r="C1319" s="15">
        <f t="shared" ca="1" si="10"/>
        <v>6.2570303712035091E-3</v>
      </c>
      <c r="D1319" s="14">
        <f t="shared" ca="1" si="9"/>
        <v>1256.0809999999997</v>
      </c>
      <c r="E1319" s="3"/>
      <c r="F1319" s="3"/>
    </row>
    <row r="1320" spans="1:6" ht="14.25" x14ac:dyDescent="0.2">
      <c r="A1320" s="13">
        <f ca="1">IFERROR(__xludf.DUMMYFUNCTION("""COMPUTED_VALUE"""),45783.6458333333)</f>
        <v>45783.645833333299</v>
      </c>
      <c r="B1320" s="14">
        <f ca="1">IFERROR(__xludf.DUMMYFUNCTION("""COMPUTED_VALUE"""),1420.9)</f>
        <v>1420.9</v>
      </c>
      <c r="C1320" s="15">
        <f t="shared" ca="1" si="10"/>
        <v>-7.2661217075384865E-3</v>
      </c>
      <c r="D1320" s="14">
        <f t="shared" ca="1" si="9"/>
        <v>1260.1539999999998</v>
      </c>
      <c r="E1320" s="3"/>
      <c r="F1320" s="3"/>
    </row>
    <row r="1321" spans="1:6" ht="14.25" x14ac:dyDescent="0.2">
      <c r="A1321" s="13">
        <f ca="1">IFERROR(__xludf.DUMMYFUNCTION("""COMPUTED_VALUE"""),45784.6458333333)</f>
        <v>45784.645833333299</v>
      </c>
      <c r="B1321" s="14">
        <f ca="1">IFERROR(__xludf.DUMMYFUNCTION("""COMPUTED_VALUE"""),1406)</f>
        <v>1406</v>
      </c>
      <c r="C1321" s="15">
        <f t="shared" ca="1" si="10"/>
        <v>-1.048631149271595E-2</v>
      </c>
      <c r="D1321" s="14">
        <f t="shared" ca="1" si="9"/>
        <v>1263.7759999999998</v>
      </c>
      <c r="E1321" s="3"/>
      <c r="F1321" s="3"/>
    </row>
    <row r="1322" spans="1:6" ht="14.25" x14ac:dyDescent="0.2">
      <c r="A1322" s="13">
        <f ca="1">IFERROR(__xludf.DUMMYFUNCTION("""COMPUTED_VALUE"""),45785.6458333333)</f>
        <v>45785.645833333299</v>
      </c>
      <c r="B1322" s="14">
        <f ca="1">IFERROR(__xludf.DUMMYFUNCTION("""COMPUTED_VALUE"""),1407)</f>
        <v>1407</v>
      </c>
      <c r="C1322" s="15">
        <f t="shared" ca="1" si="10"/>
        <v>7.1123755334290273E-4</v>
      </c>
      <c r="D1322" s="14">
        <f t="shared" ca="1" si="9"/>
        <v>1267.4079999999997</v>
      </c>
      <c r="E1322" s="3"/>
      <c r="F1322" s="3"/>
    </row>
    <row r="1323" spans="1:6" ht="14.25" x14ac:dyDescent="0.2">
      <c r="A1323" s="13">
        <f ca="1">IFERROR(__xludf.DUMMYFUNCTION("""COMPUTED_VALUE"""),45786.6458333333)</f>
        <v>45786.645833333299</v>
      </c>
      <c r="B1323" s="14">
        <f ca="1">IFERROR(__xludf.DUMMYFUNCTION("""COMPUTED_VALUE"""),1377.2)</f>
        <v>1377.2</v>
      </c>
      <c r="C1323" s="15">
        <f t="shared" ca="1" si="10"/>
        <v>-2.1179815209665942E-2</v>
      </c>
      <c r="D1323" s="14">
        <f t="shared" ca="1" si="9"/>
        <v>1270.4029999999996</v>
      </c>
      <c r="E1323" s="3"/>
      <c r="F1323" s="3"/>
    </row>
    <row r="1324" spans="1:6" ht="14.25" x14ac:dyDescent="0.2">
      <c r="A1324" s="13">
        <f ca="1">IFERROR(__xludf.DUMMYFUNCTION("""COMPUTED_VALUE"""),45789.6458333333)</f>
        <v>45789.645833333299</v>
      </c>
      <c r="B1324" s="14">
        <f ca="1">IFERROR(__xludf.DUMMYFUNCTION("""COMPUTED_VALUE"""),1436.5)</f>
        <v>1436.5</v>
      </c>
      <c r="C1324" s="15">
        <f t="shared" ca="1" si="10"/>
        <v>4.3058379320360052E-2</v>
      </c>
      <c r="D1324" s="14">
        <f t="shared" ca="1" si="9"/>
        <v>1274.4729999999995</v>
      </c>
      <c r="E1324" s="3"/>
      <c r="F1324" s="3"/>
    </row>
    <row r="1325" spans="1:6" ht="14.25" x14ac:dyDescent="0.2">
      <c r="A1325" s="13">
        <f ca="1">IFERROR(__xludf.DUMMYFUNCTION("""COMPUTED_VALUE"""),45790.6458333333)</f>
        <v>45790.645833333299</v>
      </c>
      <c r="B1325" s="14">
        <f ca="1">IFERROR(__xludf.DUMMYFUNCTION("""COMPUTED_VALUE"""),1415.7)</f>
        <v>1415.7</v>
      </c>
      <c r="C1325" s="15">
        <f t="shared" ca="1" si="10"/>
        <v>-1.4479638009049722E-2</v>
      </c>
      <c r="D1325" s="14">
        <f t="shared" ca="1" si="9"/>
        <v>1278.2239999999997</v>
      </c>
      <c r="E1325" s="3"/>
      <c r="F1325" s="3"/>
    </row>
    <row r="1326" spans="1:6" ht="14.25" x14ac:dyDescent="0.2">
      <c r="A1326" s="13">
        <f ca="1">IFERROR(__xludf.DUMMYFUNCTION("""COMPUTED_VALUE"""),45791.6458333333)</f>
        <v>45791.645833333299</v>
      </c>
      <c r="B1326" s="14">
        <f ca="1">IFERROR(__xludf.DUMMYFUNCTION("""COMPUTED_VALUE"""),1424.4)</f>
        <v>1424.4</v>
      </c>
      <c r="C1326" s="15">
        <f t="shared" ca="1" si="10"/>
        <v>6.1453697817335229E-3</v>
      </c>
      <c r="D1326" s="14">
        <f t="shared" ref="D1326:D1485" ca="1" si="11">AVERAGE(B1277:B1326)</f>
        <v>1282.4209999999998</v>
      </c>
      <c r="E1326" s="3"/>
      <c r="F1326" s="3"/>
    </row>
    <row r="1327" spans="1:6" ht="14.25" x14ac:dyDescent="0.2">
      <c r="A1327" s="13">
        <f ca="1">IFERROR(__xludf.DUMMYFUNCTION("""COMPUTED_VALUE"""),45792.6458333333)</f>
        <v>45792.645833333299</v>
      </c>
      <c r="B1327" s="14">
        <f ca="1">IFERROR(__xludf.DUMMYFUNCTION("""COMPUTED_VALUE"""),1454.2)</f>
        <v>1454.2</v>
      </c>
      <c r="C1327" s="15">
        <f t="shared" ca="1" si="10"/>
        <v>2.0921089581578123E-2</v>
      </c>
      <c r="D1327" s="14">
        <f t="shared" ca="1" si="11"/>
        <v>1287.425</v>
      </c>
      <c r="E1327" s="3"/>
      <c r="F1327" s="3"/>
    </row>
    <row r="1328" spans="1:6" ht="14.25" x14ac:dyDescent="0.2">
      <c r="A1328" s="13">
        <f ca="1">IFERROR(__xludf.DUMMYFUNCTION("""COMPUTED_VALUE"""),45793.6458333333)</f>
        <v>45793.645833333299</v>
      </c>
      <c r="B1328" s="14">
        <f ca="1">IFERROR(__xludf.DUMMYFUNCTION("""COMPUTED_VALUE"""),1456.4)</f>
        <v>1456.4</v>
      </c>
      <c r="C1328" s="15">
        <f t="shared" ca="1" si="10"/>
        <v>1.5128593040847349E-3</v>
      </c>
      <c r="D1328" s="14">
        <f t="shared" ca="1" si="11"/>
        <v>1292.4109999999998</v>
      </c>
      <c r="E1328" s="3"/>
      <c r="F1328" s="3"/>
    </row>
    <row r="1329" spans="1:6" ht="14.25" x14ac:dyDescent="0.2">
      <c r="A1329" s="13">
        <f ca="1">IFERROR(__xludf.DUMMYFUNCTION("""COMPUTED_VALUE"""),45796.6458333333)</f>
        <v>45796.645833333299</v>
      </c>
      <c r="B1329" s="14">
        <f ca="1">IFERROR(__xludf.DUMMYFUNCTION("""COMPUTED_VALUE"""),1440.8)</f>
        <v>1440.8</v>
      </c>
      <c r="C1329" s="15">
        <f t="shared" ca="1" si="10"/>
        <v>-1.0711343037627108E-2</v>
      </c>
      <c r="D1329" s="14">
        <f t="shared" ca="1" si="11"/>
        <v>1297.2249999999999</v>
      </c>
      <c r="E1329" s="3"/>
      <c r="F1329" s="3"/>
    </row>
    <row r="1330" spans="1:6" ht="14.25" x14ac:dyDescent="0.2">
      <c r="A1330" s="13">
        <f ca="1">IFERROR(__xludf.DUMMYFUNCTION("""COMPUTED_VALUE"""),45797.6458333333)</f>
        <v>45797.645833333299</v>
      </c>
      <c r="B1330" s="14">
        <f ca="1">IFERROR(__xludf.DUMMYFUNCTION("""COMPUTED_VALUE"""),1424.6)</f>
        <v>1424.6</v>
      </c>
      <c r="C1330" s="15">
        <f t="shared" ca="1" si="10"/>
        <v>-1.1243753470294271E-2</v>
      </c>
      <c r="D1330" s="14">
        <f t="shared" ca="1" si="11"/>
        <v>1302.2919999999999</v>
      </c>
      <c r="E1330" s="3"/>
      <c r="F1330" s="3"/>
    </row>
    <row r="1331" spans="1:6" ht="14.25" x14ac:dyDescent="0.2">
      <c r="A1331" s="13">
        <f ca="1">IFERROR(__xludf.DUMMYFUNCTION("""COMPUTED_VALUE"""),45798.6458333333)</f>
        <v>45798.645833333299</v>
      </c>
      <c r="B1331" s="14">
        <f ca="1">IFERROR(__xludf.DUMMYFUNCTION("""COMPUTED_VALUE"""),1429.2)</f>
        <v>1429.2</v>
      </c>
      <c r="C1331" s="15">
        <f t="shared" ca="1" si="10"/>
        <v>3.2289765548225713E-3</v>
      </c>
      <c r="D1331" s="14">
        <f t="shared" ca="1" si="11"/>
        <v>1307.6379999999999</v>
      </c>
      <c r="E1331" s="3"/>
      <c r="F1331" s="3"/>
    </row>
    <row r="1332" spans="1:6" ht="14.25" x14ac:dyDescent="0.2">
      <c r="A1332" s="13">
        <f ca="1">IFERROR(__xludf.DUMMYFUNCTION("""COMPUTED_VALUE"""),45799.6458333333)</f>
        <v>45799.645833333299</v>
      </c>
      <c r="B1332" s="14">
        <f ca="1">IFERROR(__xludf.DUMMYFUNCTION("""COMPUTED_VALUE"""),1409.4)</f>
        <v>1409.4</v>
      </c>
      <c r="C1332" s="15">
        <f t="shared" ca="1" si="10"/>
        <v>-1.3853904282115859E-2</v>
      </c>
      <c r="D1332" s="14">
        <f t="shared" ca="1" si="11"/>
        <v>1312.3139999999999</v>
      </c>
      <c r="E1332" s="3"/>
      <c r="F1332" s="3"/>
    </row>
    <row r="1333" spans="1:6" ht="14.25" x14ac:dyDescent="0.2">
      <c r="A1333" s="13">
        <f ca="1">IFERROR(__xludf.DUMMYFUNCTION("""COMPUTED_VALUE"""),45800.6458333333)</f>
        <v>45800.645833333299</v>
      </c>
      <c r="B1333" s="14">
        <f ca="1">IFERROR(__xludf.DUMMYFUNCTION("""COMPUTED_VALUE"""),1426.8)</f>
        <v>1426.8</v>
      </c>
      <c r="C1333" s="15">
        <f t="shared" ca="1" si="10"/>
        <v>1.2345679012345512E-2</v>
      </c>
      <c r="D1333" s="14">
        <f t="shared" ca="1" si="11"/>
        <v>1316.6579999999999</v>
      </c>
      <c r="E1333" s="3"/>
      <c r="F1333" s="3"/>
    </row>
    <row r="1334" spans="1:6" ht="14.25" x14ac:dyDescent="0.2">
      <c r="A1334" s="13">
        <f ca="1">IFERROR(__xludf.DUMMYFUNCTION("""COMPUTED_VALUE"""),45803.6458333333)</f>
        <v>45803.645833333299</v>
      </c>
      <c r="B1334" s="14">
        <f ca="1">IFERROR(__xludf.DUMMYFUNCTION("""COMPUTED_VALUE"""),1434.8)</f>
        <v>1434.8</v>
      </c>
      <c r="C1334" s="15">
        <f t="shared" ca="1" si="10"/>
        <v>5.6069526212503273E-3</v>
      </c>
      <c r="D1334" s="14">
        <f t="shared" ca="1" si="11"/>
        <v>1320.3579999999999</v>
      </c>
      <c r="E1334" s="3"/>
      <c r="F1334" s="3"/>
    </row>
    <row r="1335" spans="1:6" ht="14.25" x14ac:dyDescent="0.2">
      <c r="A1335" s="13">
        <f ca="1">IFERROR(__xludf.DUMMYFUNCTION("""COMPUTED_VALUE"""),45804.6458333333)</f>
        <v>45804.645833333299</v>
      </c>
      <c r="B1335" s="14">
        <f ca="1">IFERROR(__xludf.DUMMYFUNCTION("""COMPUTED_VALUE"""),1422.1)</f>
        <v>1422.1</v>
      </c>
      <c r="C1335" s="15">
        <f t="shared" ca="1" si="10"/>
        <v>-8.8514078617228931E-3</v>
      </c>
      <c r="D1335" s="14">
        <f t="shared" ca="1" si="11"/>
        <v>1324.0320000000002</v>
      </c>
      <c r="E1335" s="3"/>
      <c r="F1335" s="3"/>
    </row>
    <row r="1336" spans="1:6" ht="14.25" x14ac:dyDescent="0.2">
      <c r="A1336" s="13">
        <f ca="1">IFERROR(__xludf.DUMMYFUNCTION("""COMPUTED_VALUE"""),45805.6458333333)</f>
        <v>45805.645833333299</v>
      </c>
      <c r="B1336" s="14">
        <f ca="1">IFERROR(__xludf.DUMMYFUNCTION("""COMPUTED_VALUE"""),1412.9)</f>
        <v>1412.9</v>
      </c>
      <c r="C1336" s="15">
        <f t="shared" ca="1" si="10"/>
        <v>-6.4693059559804977E-3</v>
      </c>
      <c r="D1336" s="14">
        <f t="shared" ca="1" si="11"/>
        <v>1327.3440000000003</v>
      </c>
      <c r="E1336" s="3"/>
      <c r="F1336" s="3"/>
    </row>
    <row r="1337" spans="1:6" ht="14.25" x14ac:dyDescent="0.2">
      <c r="A1337" s="13">
        <f ca="1">IFERROR(__xludf.DUMMYFUNCTION("""COMPUTED_VALUE"""),45806.6458333333)</f>
        <v>45806.645833333299</v>
      </c>
      <c r="B1337" s="14">
        <f ca="1">IFERROR(__xludf.DUMMYFUNCTION("""COMPUTED_VALUE"""),1417.8)</f>
        <v>1417.8</v>
      </c>
      <c r="C1337" s="15">
        <f t="shared" ca="1" si="10"/>
        <v>3.4680444475898575E-3</v>
      </c>
      <c r="D1337" s="14">
        <f t="shared" ca="1" si="11"/>
        <v>1330.5590000000002</v>
      </c>
      <c r="E1337" s="3"/>
      <c r="F1337" s="3"/>
    </row>
    <row r="1338" spans="1:6" ht="14.25" x14ac:dyDescent="0.2">
      <c r="A1338" s="13">
        <f ca="1">IFERROR(__xludf.DUMMYFUNCTION("""COMPUTED_VALUE"""),45807.6458333333)</f>
        <v>45807.645833333299</v>
      </c>
      <c r="B1338" s="14">
        <f ca="1">IFERROR(__xludf.DUMMYFUNCTION("""COMPUTED_VALUE"""),1420.9)</f>
        <v>1420.9</v>
      </c>
      <c r="C1338" s="15">
        <f t="shared" ca="1" si="10"/>
        <v>2.1864861052336426E-3</v>
      </c>
      <c r="D1338" s="14">
        <f t="shared" ca="1" si="11"/>
        <v>1334.0190000000002</v>
      </c>
      <c r="E1338" s="3"/>
      <c r="F1338" s="3"/>
    </row>
    <row r="1339" spans="1:6" ht="14.25" x14ac:dyDescent="0.2">
      <c r="A1339" s="13">
        <f ca="1">IFERROR(__xludf.DUMMYFUNCTION("""COMPUTED_VALUE"""),45810.6458333333)</f>
        <v>45810.645833333299</v>
      </c>
      <c r="B1339" s="14">
        <f ca="1">IFERROR(__xludf.DUMMYFUNCTION("""COMPUTED_VALUE"""),1413.7)</f>
        <v>1413.7</v>
      </c>
      <c r="C1339" s="15">
        <f t="shared" ca="1" si="10"/>
        <v>-5.0672109226547191E-3</v>
      </c>
      <c r="D1339" s="14">
        <f t="shared" ca="1" si="11"/>
        <v>1337.5160000000001</v>
      </c>
      <c r="E1339" s="3"/>
      <c r="F1339" s="3"/>
    </row>
    <row r="1340" spans="1:6" ht="14.25" x14ac:dyDescent="0.2">
      <c r="A1340" s="13">
        <f ca="1">IFERROR(__xludf.DUMMYFUNCTION("""COMPUTED_VALUE"""),45811.6458333333)</f>
        <v>45811.645833333299</v>
      </c>
      <c r="B1340" s="14">
        <f ca="1">IFERROR(__xludf.DUMMYFUNCTION("""COMPUTED_VALUE"""),1405.5)</f>
        <v>1405.5</v>
      </c>
      <c r="C1340" s="15">
        <f t="shared" ca="1" si="10"/>
        <v>-5.8003819763741138E-3</v>
      </c>
      <c r="D1340" s="14">
        <f t="shared" ca="1" si="11"/>
        <v>1340.8500000000004</v>
      </c>
      <c r="E1340" s="3"/>
      <c r="F1340" s="3"/>
    </row>
    <row r="1341" spans="1:6" ht="14.25" x14ac:dyDescent="0.2">
      <c r="A1341" s="13">
        <f ca="1">IFERROR(__xludf.DUMMYFUNCTION("""COMPUTED_VALUE"""),45812.6458333333)</f>
        <v>45812.645833333299</v>
      </c>
      <c r="B1341" s="14">
        <f ca="1">IFERROR(__xludf.DUMMYFUNCTION("""COMPUTED_VALUE"""),1423.5)</f>
        <v>1423.5</v>
      </c>
      <c r="C1341" s="15">
        <f t="shared" ca="1" si="10"/>
        <v>1.2806830309498363E-2</v>
      </c>
      <c r="D1341" s="14">
        <f t="shared" ca="1" si="11"/>
        <v>1344.3770000000002</v>
      </c>
      <c r="E1341" s="3"/>
      <c r="F1341" s="3"/>
    </row>
    <row r="1342" spans="1:6" ht="14.25" x14ac:dyDescent="0.2">
      <c r="A1342" s="13">
        <f ca="1">IFERROR(__xludf.DUMMYFUNCTION("""COMPUTED_VALUE"""),45813.6458333333)</f>
        <v>45813.645833333299</v>
      </c>
      <c r="B1342" s="14">
        <f ca="1">IFERROR(__xludf.DUMMYFUNCTION("""COMPUTED_VALUE"""),1442.4)</f>
        <v>1442.4</v>
      </c>
      <c r="C1342" s="15">
        <f t="shared" ca="1" si="10"/>
        <v>1.3277133825079002E-2</v>
      </c>
      <c r="D1342" s="14">
        <f t="shared" ca="1" si="11"/>
        <v>1347.8420000000001</v>
      </c>
      <c r="E1342" s="3"/>
      <c r="F1342" s="3"/>
    </row>
    <row r="1343" spans="1:6" ht="14.25" x14ac:dyDescent="0.2">
      <c r="A1343" s="13">
        <f ca="1">IFERROR(__xludf.DUMMYFUNCTION("""COMPUTED_VALUE"""),45814.6458333333)</f>
        <v>45814.645833333299</v>
      </c>
      <c r="B1343" s="14">
        <f ca="1">IFERROR(__xludf.DUMMYFUNCTION("""COMPUTED_VALUE"""),1443.5)</f>
        <v>1443.5</v>
      </c>
      <c r="C1343" s="15">
        <f t="shared" ca="1" si="10"/>
        <v>7.6261785912357105E-4</v>
      </c>
      <c r="D1343" s="14">
        <f t="shared" ca="1" si="11"/>
        <v>1351.1849999999999</v>
      </c>
      <c r="E1343" s="3"/>
      <c r="F1343" s="3"/>
    </row>
    <row r="1344" spans="1:6" ht="14.25" x14ac:dyDescent="0.2">
      <c r="A1344" s="13">
        <f ca="1">IFERROR(__xludf.DUMMYFUNCTION("""COMPUTED_VALUE"""),45817.6458333333)</f>
        <v>45817.645833333299</v>
      </c>
      <c r="B1344" s="14">
        <f ca="1">IFERROR(__xludf.DUMMYFUNCTION("""COMPUTED_VALUE"""),1448.8)</f>
        <v>1448.8</v>
      </c>
      <c r="C1344" s="15">
        <f t="shared" ca="1" si="10"/>
        <v>3.6716314513334236E-3</v>
      </c>
      <c r="D1344" s="14">
        <f t="shared" ca="1" si="11"/>
        <v>1354.1190000000001</v>
      </c>
      <c r="E1344" s="3"/>
      <c r="F1344" s="3"/>
    </row>
    <row r="1345" spans="1:6" ht="14.25" x14ac:dyDescent="0.2">
      <c r="A1345" s="13">
        <f ca="1">IFERROR(__xludf.DUMMYFUNCTION("""COMPUTED_VALUE"""),45818.6458333333)</f>
        <v>45818.645833333299</v>
      </c>
      <c r="B1345" s="14">
        <f ca="1">IFERROR(__xludf.DUMMYFUNCTION("""COMPUTED_VALUE"""),1438.5)</f>
        <v>1438.5</v>
      </c>
      <c r="C1345" s="15">
        <f t="shared" ca="1" si="10"/>
        <v>-7.1093318608502765E-3</v>
      </c>
      <c r="D1345" s="14">
        <f t="shared" ca="1" si="11"/>
        <v>1357.1800000000003</v>
      </c>
      <c r="E1345" s="3"/>
      <c r="F1345" s="3"/>
    </row>
    <row r="1346" spans="1:6" ht="14.25" x14ac:dyDescent="0.2">
      <c r="A1346" s="13">
        <f ca="1">IFERROR(__xludf.DUMMYFUNCTION("""COMPUTED_VALUE"""),45819.6458333333)</f>
        <v>45819.645833333299</v>
      </c>
      <c r="B1346" s="14">
        <f ca="1">IFERROR(__xludf.DUMMYFUNCTION("""COMPUTED_VALUE"""),1448.9)</f>
        <v>1448.9</v>
      </c>
      <c r="C1346" s="15">
        <f t="shared" ca="1" si="10"/>
        <v>7.2297532151548438E-3</v>
      </c>
      <c r="D1346" s="14">
        <f t="shared" ca="1" si="11"/>
        <v>1360.6970000000001</v>
      </c>
      <c r="E1346" s="3"/>
      <c r="F1346" s="3"/>
    </row>
    <row r="1347" spans="1:6" ht="14.25" x14ac:dyDescent="0.2">
      <c r="A1347" s="13">
        <f ca="1">IFERROR(__xludf.DUMMYFUNCTION("""COMPUTED_VALUE"""),45820.6458333333)</f>
        <v>45820.645833333299</v>
      </c>
      <c r="B1347" s="14">
        <f ca="1">IFERROR(__xludf.DUMMYFUNCTION("""COMPUTED_VALUE"""),1441.6)</f>
        <v>1441.6</v>
      </c>
      <c r="C1347" s="15">
        <f t="shared" ca="1" si="10"/>
        <v>-5.0383049209746789E-3</v>
      </c>
      <c r="D1347" s="14">
        <f t="shared" ca="1" si="11"/>
        <v>1363.9650000000004</v>
      </c>
      <c r="E1347" s="3"/>
      <c r="F1347" s="3"/>
    </row>
    <row r="1348" spans="1:6" ht="14.25" x14ac:dyDescent="0.2">
      <c r="A1348" s="13">
        <f ca="1">IFERROR(__xludf.DUMMYFUNCTION("""COMPUTED_VALUE"""),45821.6458333333)</f>
        <v>45821.645833333299</v>
      </c>
      <c r="B1348" s="14">
        <f ca="1">IFERROR(__xludf.DUMMYFUNCTION("""COMPUTED_VALUE"""),1427.9)</f>
        <v>1427.9</v>
      </c>
      <c r="C1348" s="15">
        <f t="shared" ca="1" si="10"/>
        <v>-9.5033296337401207E-3</v>
      </c>
      <c r="D1348" s="14">
        <f t="shared" ca="1" si="11"/>
        <v>1367.021</v>
      </c>
      <c r="E1348" s="3"/>
      <c r="F1348" s="3"/>
    </row>
    <row r="1349" spans="1:6" ht="14.25" x14ac:dyDescent="0.2">
      <c r="A1349" s="13">
        <f ca="1">IFERROR(__xludf.DUMMYFUNCTION("""COMPUTED_VALUE"""),45824.6458333333)</f>
        <v>45824.645833333299</v>
      </c>
      <c r="B1349" s="14">
        <f ca="1">IFERROR(__xludf.DUMMYFUNCTION("""COMPUTED_VALUE"""),1437.8)</f>
        <v>1437.8</v>
      </c>
      <c r="C1349" s="15">
        <f t="shared" ca="1" si="10"/>
        <v>6.9332586315566935E-3</v>
      </c>
      <c r="D1349" s="14">
        <f t="shared" ca="1" si="11"/>
        <v>1370.7250000000004</v>
      </c>
      <c r="E1349" s="3"/>
      <c r="F1349" s="3"/>
    </row>
    <row r="1350" spans="1:6" ht="14.25" x14ac:dyDescent="0.2">
      <c r="A1350" s="13">
        <f ca="1">IFERROR(__xludf.DUMMYFUNCTION("""COMPUTED_VALUE"""),45825.6458333333)</f>
        <v>45825.645833333299</v>
      </c>
      <c r="B1350" s="14">
        <f ca="1">IFERROR(__xludf.DUMMYFUNCTION("""COMPUTED_VALUE"""),1431.2)</f>
        <v>1431.2</v>
      </c>
      <c r="C1350" s="15">
        <f t="shared" ca="1" si="10"/>
        <v>-4.590346362498221E-3</v>
      </c>
      <c r="D1350" s="14">
        <f t="shared" ca="1" si="11"/>
        <v>1374.3260000000002</v>
      </c>
      <c r="E1350" s="3"/>
      <c r="F1350" s="3"/>
    </row>
    <row r="1351" spans="1:6" ht="14.25" x14ac:dyDescent="0.2">
      <c r="A1351" s="13">
        <f ca="1">IFERROR(__xludf.DUMMYFUNCTION("""COMPUTED_VALUE"""),45826.6458333333)</f>
        <v>45826.645833333299</v>
      </c>
      <c r="B1351" s="14">
        <f ca="1">IFERROR(__xludf.DUMMYFUNCTION("""COMPUTED_VALUE"""),1430.1)</f>
        <v>1430.1</v>
      </c>
      <c r="C1351" s="15">
        <f t="shared" ca="1" si="10"/>
        <v>-7.6858580212413319E-4</v>
      </c>
      <c r="D1351" s="14">
        <f t="shared" ca="1" si="11"/>
        <v>1377.9540000000002</v>
      </c>
      <c r="E1351" s="3"/>
      <c r="F1351" s="3"/>
    </row>
    <row r="1352" spans="1:6" ht="14.25" x14ac:dyDescent="0.2">
      <c r="A1352" s="13">
        <f ca="1">IFERROR(__xludf.DUMMYFUNCTION("""COMPUTED_VALUE"""),45827.6458333333)</f>
        <v>45827.645833333299</v>
      </c>
      <c r="B1352" s="14">
        <f ca="1">IFERROR(__xludf.DUMMYFUNCTION("""COMPUTED_VALUE"""),1433.3)</f>
        <v>1433.3</v>
      </c>
      <c r="C1352" s="15">
        <f t="shared" ca="1" si="10"/>
        <v>2.2376057618349598E-3</v>
      </c>
      <c r="D1352" s="14">
        <f t="shared" ca="1" si="11"/>
        <v>1382.5260000000007</v>
      </c>
      <c r="E1352" s="3"/>
      <c r="F1352" s="3"/>
    </row>
    <row r="1353" spans="1:6" ht="14.25" x14ac:dyDescent="0.2">
      <c r="A1353" s="13">
        <f ca="1">IFERROR(__xludf.DUMMYFUNCTION("""COMPUTED_VALUE"""),45828.6458333333)</f>
        <v>45828.645833333299</v>
      </c>
      <c r="B1353" s="14">
        <f ca="1">IFERROR(__xludf.DUMMYFUNCTION("""COMPUTED_VALUE"""),1466.2)</f>
        <v>1466.2</v>
      </c>
      <c r="C1353" s="15">
        <f t="shared" ca="1" si="10"/>
        <v>2.2954022186562506E-2</v>
      </c>
      <c r="D1353" s="14">
        <f t="shared" ca="1" si="11"/>
        <v>1388.5360000000003</v>
      </c>
      <c r="E1353" s="3"/>
      <c r="F1353" s="3"/>
    </row>
    <row r="1354" spans="1:6" ht="14.25" x14ac:dyDescent="0.2">
      <c r="A1354" s="13">
        <f ca="1">IFERROR(__xludf.DUMMYFUNCTION("""COMPUTED_VALUE"""),45831.6458333333)</f>
        <v>45831.645833333299</v>
      </c>
      <c r="B1354" s="14">
        <f ca="1">IFERROR(__xludf.DUMMYFUNCTION("""COMPUTED_VALUE"""),1456.8)</f>
        <v>1456.8</v>
      </c>
      <c r="C1354" s="15">
        <f t="shared" ca="1" si="10"/>
        <v>-6.4111308143500745E-3</v>
      </c>
      <c r="D1354" s="14">
        <f t="shared" ca="1" si="11"/>
        <v>1394.0280000000005</v>
      </c>
      <c r="E1354" s="3"/>
      <c r="F1354" s="3"/>
    </row>
    <row r="1355" spans="1:6" ht="14.25" x14ac:dyDescent="0.2">
      <c r="A1355" s="13">
        <f ca="1">IFERROR(__xludf.DUMMYFUNCTION("""COMPUTED_VALUE"""),45832.6458333333)</f>
        <v>45832.645833333299</v>
      </c>
      <c r="B1355" s="14">
        <f ca="1">IFERROR(__xludf.DUMMYFUNCTION("""COMPUTED_VALUE"""),1450.8)</f>
        <v>1450.8</v>
      </c>
      <c r="C1355" s="15">
        <f t="shared" ca="1" si="10"/>
        <v>-4.1186161449753289E-3</v>
      </c>
      <c r="D1355" s="14">
        <f t="shared" ca="1" si="11"/>
        <v>1399.3370000000004</v>
      </c>
      <c r="E1355" s="3"/>
      <c r="F1355" s="3"/>
    </row>
    <row r="1356" spans="1:6" ht="14.25" x14ac:dyDescent="0.2">
      <c r="A1356" s="13">
        <f ca="1">IFERROR(__xludf.DUMMYFUNCTION("""COMPUTED_VALUE"""),45833.6458333333)</f>
        <v>45833.645833333299</v>
      </c>
      <c r="B1356" s="14">
        <f ca="1">IFERROR(__xludf.DUMMYFUNCTION("""COMPUTED_VALUE"""),1467.3)</f>
        <v>1467.3</v>
      </c>
      <c r="C1356" s="15">
        <f t="shared" ca="1" si="10"/>
        <v>1.1373035566583978E-2</v>
      </c>
      <c r="D1356" s="14">
        <f t="shared" ca="1" si="11"/>
        <v>1404.3040000000005</v>
      </c>
      <c r="E1356" s="3"/>
      <c r="F1356" s="3"/>
    </row>
    <row r="1357" spans="1:6" ht="14.25" x14ac:dyDescent="0.2">
      <c r="A1357" s="13">
        <f ca="1">IFERROR(__xludf.DUMMYFUNCTION("""COMPUTED_VALUE"""),45834.6458333333)</f>
        <v>45834.645833333299</v>
      </c>
      <c r="B1357" s="14">
        <f ca="1">IFERROR(__xludf.DUMMYFUNCTION("""COMPUTED_VALUE"""),1495.3)</f>
        <v>1495.3</v>
      </c>
      <c r="C1357" s="15">
        <f t="shared" ca="1" si="10"/>
        <v>1.9082668847543172E-2</v>
      </c>
      <c r="D1357" s="14">
        <f t="shared" ca="1" si="11"/>
        <v>1409.4080000000004</v>
      </c>
      <c r="E1357" s="3"/>
      <c r="F1357" s="3"/>
    </row>
    <row r="1358" spans="1:6" ht="14.25" x14ac:dyDescent="0.2">
      <c r="A1358" s="13">
        <f ca="1">IFERROR(__xludf.DUMMYFUNCTION("""COMPUTED_VALUE"""),45835.6458333333)</f>
        <v>45835.645833333299</v>
      </c>
      <c r="B1358" s="14">
        <f ca="1">IFERROR(__xludf.DUMMYFUNCTION("""COMPUTED_VALUE"""),1515.4)</f>
        <v>1515.4</v>
      </c>
      <c r="C1358" s="15">
        <f t="shared" ca="1" si="10"/>
        <v>1.3442118638400391E-2</v>
      </c>
      <c r="D1358" s="14">
        <f t="shared" ca="1" si="11"/>
        <v>1414.9300000000003</v>
      </c>
      <c r="E1358" s="3"/>
      <c r="F1358" s="3"/>
    </row>
    <row r="1359" spans="1:6" ht="14.25" x14ac:dyDescent="0.2">
      <c r="A1359" s="13">
        <f ca="1">IFERROR(__xludf.DUMMYFUNCTION("""COMPUTED_VALUE"""),45838.6458333333)</f>
        <v>45838.645833333299</v>
      </c>
      <c r="B1359" s="14">
        <f ca="1">IFERROR(__xludf.DUMMYFUNCTION("""COMPUTED_VALUE"""),1500.6)</f>
        <v>1500.6</v>
      </c>
      <c r="C1359" s="15">
        <f t="shared" ca="1" si="10"/>
        <v>-9.7663983106771601E-3</v>
      </c>
      <c r="D1359" s="14">
        <f t="shared" ca="1" si="11"/>
        <v>1419.4520000000005</v>
      </c>
      <c r="E1359" s="3"/>
      <c r="F1359" s="3"/>
    </row>
    <row r="1360" spans="1:6" ht="14.25" x14ac:dyDescent="0.2">
      <c r="A1360" s="13">
        <f ca="1">IFERROR(__xludf.DUMMYFUNCTION("""COMPUTED_VALUE"""),45839.6458333333)</f>
        <v>45839.645833333299</v>
      </c>
      <c r="B1360" s="14">
        <f ca="1">IFERROR(__xludf.DUMMYFUNCTION("""COMPUTED_VALUE"""),1528.4)</f>
        <v>1528.4</v>
      </c>
      <c r="C1360" s="15">
        <f t="shared" ca="1" si="10"/>
        <v>1.8525922964147901E-2</v>
      </c>
      <c r="D1360" s="14">
        <f t="shared" ca="1" si="11"/>
        <v>1424.1100000000004</v>
      </c>
      <c r="E1360" s="3"/>
      <c r="F1360" s="3"/>
    </row>
    <row r="1361" spans="1:6" ht="14.25" x14ac:dyDescent="0.2">
      <c r="A1361" s="13">
        <f ca="1">IFERROR(__xludf.DUMMYFUNCTION("""COMPUTED_VALUE"""),45840.6458333333)</f>
        <v>45840.645833333299</v>
      </c>
      <c r="B1361" s="14">
        <f ca="1">IFERROR(__xludf.DUMMYFUNCTION("""COMPUTED_VALUE"""),1518.8)</f>
        <v>1518.8</v>
      </c>
      <c r="C1361" s="15">
        <f t="shared" ca="1" si="10"/>
        <v>-6.2810782517666031E-3</v>
      </c>
      <c r="D1361" s="14">
        <f t="shared" ca="1" si="11"/>
        <v>1428.6620000000005</v>
      </c>
      <c r="E1361" s="3"/>
      <c r="F1361" s="3"/>
    </row>
    <row r="1362" spans="1:6" ht="14.25" x14ac:dyDescent="0.2">
      <c r="A1362" s="13">
        <f ca="1">IFERROR(__xludf.DUMMYFUNCTION("""COMPUTED_VALUE"""),45841.6458333333)</f>
        <v>45841.645833333299</v>
      </c>
      <c r="B1362" s="14">
        <f ca="1">IFERROR(__xludf.DUMMYFUNCTION("""COMPUTED_VALUE"""),1517.8)</f>
        <v>1517.8</v>
      </c>
      <c r="C1362" s="15">
        <f t="shared" ca="1" si="10"/>
        <v>-6.5841453779302839E-4</v>
      </c>
      <c r="D1362" s="14">
        <f t="shared" ca="1" si="11"/>
        <v>1433.0180000000005</v>
      </c>
      <c r="E1362" s="3"/>
      <c r="F1362" s="3"/>
    </row>
    <row r="1363" spans="1:6" ht="14.25" x14ac:dyDescent="0.2">
      <c r="A1363" s="13">
        <f ca="1">IFERROR(__xludf.DUMMYFUNCTION("""COMPUTED_VALUE"""),45842.6458333333)</f>
        <v>45842.645833333299</v>
      </c>
      <c r="B1363" s="14">
        <f ca="1">IFERROR(__xludf.DUMMYFUNCTION("""COMPUTED_VALUE"""),1527.3)</f>
        <v>1527.3</v>
      </c>
      <c r="C1363" s="15">
        <f t="shared" ca="1" si="10"/>
        <v>6.2590591645803606E-3</v>
      </c>
      <c r="D1363" s="14">
        <f t="shared" ca="1" si="11"/>
        <v>1437.5320000000004</v>
      </c>
      <c r="E1363" s="3"/>
      <c r="F1363" s="3"/>
    </row>
    <row r="1364" spans="1:6" ht="14.25" x14ac:dyDescent="0.2">
      <c r="A1364" s="13">
        <f ca="1">IFERROR(__xludf.DUMMYFUNCTION("""COMPUTED_VALUE"""),45845.6458333333)</f>
        <v>45845.645833333299</v>
      </c>
      <c r="B1364" s="14">
        <f ca="1">IFERROR(__xludf.DUMMYFUNCTION("""COMPUTED_VALUE"""),1541.5)</f>
        <v>1541.5</v>
      </c>
      <c r="C1364" s="15">
        <f t="shared" ca="1" si="10"/>
        <v>9.2974530216722862E-3</v>
      </c>
      <c r="D1364" s="14">
        <f t="shared" ca="1" si="11"/>
        <v>1442.3540000000005</v>
      </c>
      <c r="E1364" s="3"/>
      <c r="F1364" s="3"/>
    </row>
    <row r="1365" spans="1:6" ht="14.25" x14ac:dyDescent="0.2">
      <c r="A1365" s="13">
        <f ca="1">IFERROR(__xludf.DUMMYFUNCTION("""COMPUTED_VALUE"""),45846.6458333333)</f>
        <v>45846.645833333299</v>
      </c>
      <c r="B1365" s="14">
        <f ca="1">IFERROR(__xludf.DUMMYFUNCTION("""COMPUTED_VALUE"""),1537.6)</f>
        <v>1537.6</v>
      </c>
      <c r="C1365" s="15">
        <f t="shared" ca="1" si="10"/>
        <v>-2.5300032435939812E-3</v>
      </c>
      <c r="D1365" s="14">
        <f t="shared" ca="1" si="11"/>
        <v>1445.7300000000005</v>
      </c>
      <c r="E1365" s="3"/>
      <c r="F1365" s="3"/>
    </row>
    <row r="1366" spans="1:6" ht="14.25" x14ac:dyDescent="0.2">
      <c r="A1366" s="13">
        <f ca="1">IFERROR(__xludf.DUMMYFUNCTION("""COMPUTED_VALUE"""),45847.6458333333)</f>
        <v>45847.645833333299</v>
      </c>
      <c r="B1366" s="14">
        <f ca="1">IFERROR(__xludf.DUMMYFUNCTION("""COMPUTED_VALUE"""),1519)</f>
        <v>1519</v>
      </c>
      <c r="C1366" s="15">
        <f t="shared" ca="1" si="10"/>
        <v>-1.2096774193548376E-2</v>
      </c>
      <c r="D1366" s="14">
        <f t="shared" ca="1" si="11"/>
        <v>1448.1160000000007</v>
      </c>
      <c r="E1366" s="3"/>
      <c r="F1366" s="3"/>
    </row>
    <row r="1367" spans="1:6" ht="14.25" x14ac:dyDescent="0.2">
      <c r="A1367" s="13">
        <f ca="1">IFERROR(__xludf.DUMMYFUNCTION("""COMPUTED_VALUE"""),45848.6458333333)</f>
        <v>45848.645833333299</v>
      </c>
      <c r="B1367" s="14">
        <f ca="1">IFERROR(__xludf.DUMMYFUNCTION("""COMPUTED_VALUE"""),1517.2)</f>
        <v>1517.2</v>
      </c>
      <c r="C1367" s="15">
        <f t="shared" ca="1" si="10"/>
        <v>-1.1849901250822192E-3</v>
      </c>
      <c r="D1367" s="14">
        <f t="shared" ca="1" si="11"/>
        <v>1450.3600000000006</v>
      </c>
      <c r="E1367" s="3"/>
      <c r="F1367" s="3"/>
    </row>
    <row r="1368" spans="1:6" ht="14.25" x14ac:dyDescent="0.2">
      <c r="A1368" s="13">
        <f ca="1">IFERROR(__xludf.DUMMYFUNCTION("""COMPUTED_VALUE"""),45849.6458333333)</f>
        <v>45849.645833333299</v>
      </c>
      <c r="B1368" s="14">
        <f ca="1">IFERROR(__xludf.DUMMYFUNCTION("""COMPUTED_VALUE"""),1495.2)</f>
        <v>1495.2</v>
      </c>
      <c r="C1368" s="15">
        <f t="shared" ca="1" si="10"/>
        <v>-1.4500395465330884E-2</v>
      </c>
      <c r="D1368" s="14">
        <f t="shared" ca="1" si="11"/>
        <v>1451.8160000000003</v>
      </c>
      <c r="E1368" s="3"/>
      <c r="F1368" s="3"/>
    </row>
    <row r="1369" spans="1:6" ht="14.25" x14ac:dyDescent="0.2">
      <c r="A1369" s="13">
        <f ca="1">IFERROR(__xludf.DUMMYFUNCTION("""COMPUTED_VALUE"""),45852.6458333333)</f>
        <v>45852.645833333299</v>
      </c>
      <c r="B1369" s="14">
        <f ca="1">IFERROR(__xludf.DUMMYFUNCTION("""COMPUTED_VALUE"""),1483.7)</f>
        <v>1483.7</v>
      </c>
      <c r="C1369" s="15">
        <f t="shared" ca="1" si="10"/>
        <v>-7.6912787586944642E-3</v>
      </c>
      <c r="D1369" s="14">
        <f t="shared" ca="1" si="11"/>
        <v>1452.8640000000003</v>
      </c>
      <c r="E1369" s="3"/>
      <c r="F1369" s="3"/>
    </row>
    <row r="1370" spans="1:6" ht="14.25" x14ac:dyDescent="0.2">
      <c r="A1370" s="13">
        <f ca="1">IFERROR(__xludf.DUMMYFUNCTION("""COMPUTED_VALUE"""),45853.6458333333)</f>
        <v>45853.645833333299</v>
      </c>
      <c r="B1370" s="14">
        <f ca="1">IFERROR(__xludf.DUMMYFUNCTION("""COMPUTED_VALUE"""),1485.4)</f>
        <v>1485.4</v>
      </c>
      <c r="C1370" s="15">
        <f t="shared" ca="1" si="10"/>
        <v>1.1457841881781228E-3</v>
      </c>
      <c r="D1370" s="14">
        <f t="shared" ca="1" si="11"/>
        <v>1454.1540000000002</v>
      </c>
      <c r="E1370" s="3"/>
      <c r="F1370" s="3"/>
    </row>
    <row r="1371" spans="1:6" ht="14.25" x14ac:dyDescent="0.2">
      <c r="A1371" s="13">
        <f ca="1">IFERROR(__xludf.DUMMYFUNCTION("""COMPUTED_VALUE"""),45854.6458333333)</f>
        <v>45854.645833333299</v>
      </c>
      <c r="B1371" s="14">
        <f ca="1">IFERROR(__xludf.DUMMYFUNCTION("""COMPUTED_VALUE"""),1485.6)</f>
        <v>1485.6</v>
      </c>
      <c r="C1371" s="15">
        <f t="shared" ca="1" si="10"/>
        <v>1.3464386697181752E-4</v>
      </c>
      <c r="D1371" s="14">
        <f t="shared" ca="1" si="11"/>
        <v>1455.7460000000003</v>
      </c>
      <c r="E1371" s="3"/>
      <c r="F1371" s="3"/>
    </row>
    <row r="1372" spans="1:6" ht="14.25" x14ac:dyDescent="0.2">
      <c r="A1372" s="13">
        <f ca="1">IFERROR(__xludf.DUMMYFUNCTION("""COMPUTED_VALUE"""),45855.6458333333)</f>
        <v>45855.645833333299</v>
      </c>
      <c r="B1372" s="14">
        <f ca="1">IFERROR(__xludf.DUMMYFUNCTION("""COMPUTED_VALUE"""),1476.4)</f>
        <v>1476.4</v>
      </c>
      <c r="C1372" s="15">
        <f t="shared" ca="1" si="10"/>
        <v>-6.1927840603122064E-3</v>
      </c>
      <c r="D1372" s="14">
        <f t="shared" ca="1" si="11"/>
        <v>1457.1340000000002</v>
      </c>
      <c r="E1372" s="3"/>
      <c r="F1372" s="3"/>
    </row>
    <row r="1373" spans="1:6" ht="14.25" x14ac:dyDescent="0.2">
      <c r="A1373" s="13">
        <f ca="1">IFERROR(__xludf.DUMMYFUNCTION("""COMPUTED_VALUE"""),45856.6458333333)</f>
        <v>45856.645833333299</v>
      </c>
      <c r="B1373" s="14">
        <f ca="1">IFERROR(__xludf.DUMMYFUNCTION("""COMPUTED_VALUE"""),1476)</f>
        <v>1476</v>
      </c>
      <c r="C1373" s="15">
        <f t="shared" ca="1" si="10"/>
        <v>-2.709292874560898E-4</v>
      </c>
      <c r="D1373" s="14">
        <f t="shared" ca="1" si="11"/>
        <v>1459.1100000000004</v>
      </c>
      <c r="E1373" s="3"/>
      <c r="F1373" s="3"/>
    </row>
    <row r="1374" spans="1:6" ht="14.25" x14ac:dyDescent="0.2">
      <c r="A1374" s="13">
        <f ca="1">IFERROR(__xludf.DUMMYFUNCTION("""COMPUTED_VALUE"""),45859.6458333333)</f>
        <v>45859.645833333299</v>
      </c>
      <c r="B1374" s="14">
        <f ca="1">IFERROR(__xludf.DUMMYFUNCTION("""COMPUTED_VALUE"""),1428.6)</f>
        <v>1428.6</v>
      </c>
      <c r="C1374" s="15">
        <f t="shared" ca="1" si="10"/>
        <v>-3.2113821138211485E-2</v>
      </c>
      <c r="D1374" s="14">
        <f t="shared" ca="1" si="11"/>
        <v>1458.9520000000005</v>
      </c>
      <c r="E1374" s="3"/>
      <c r="F1374" s="3"/>
    </row>
    <row r="1375" spans="1:6" ht="14.25" x14ac:dyDescent="0.2">
      <c r="A1375" s="13">
        <f ca="1">IFERROR(__xludf.DUMMYFUNCTION("""COMPUTED_VALUE"""),45860.6458333333)</f>
        <v>45860.645833333299</v>
      </c>
      <c r="B1375" s="14">
        <f ca="1">IFERROR(__xludf.DUMMYFUNCTION("""COMPUTED_VALUE"""),1412.8)</f>
        <v>1412.8</v>
      </c>
      <c r="C1375" s="15">
        <f t="shared" ca="1" si="10"/>
        <v>-1.1059778804423881E-2</v>
      </c>
      <c r="D1375" s="14">
        <f t="shared" ca="1" si="11"/>
        <v>1458.8940000000002</v>
      </c>
      <c r="E1375" s="3"/>
      <c r="F1375" s="3"/>
    </row>
    <row r="1376" spans="1:6" ht="14.25" x14ac:dyDescent="0.2">
      <c r="A1376" s="13">
        <f ca="1">IFERROR(__xludf.DUMMYFUNCTION("""COMPUTED_VALUE"""),45861.6458333333)</f>
        <v>45861.645833333299</v>
      </c>
      <c r="B1376" s="14">
        <f ca="1">IFERROR(__xludf.DUMMYFUNCTION("""COMPUTED_VALUE"""),1424.6)</f>
        <v>1424.6</v>
      </c>
      <c r="C1376" s="15">
        <f t="shared" ca="1" si="10"/>
        <v>8.3522083805209757E-3</v>
      </c>
      <c r="D1376" s="14">
        <f t="shared" ca="1" si="11"/>
        <v>1458.8980000000004</v>
      </c>
      <c r="E1376" s="3"/>
      <c r="F1376" s="3"/>
    </row>
    <row r="1377" spans="1:6" ht="14.25" x14ac:dyDescent="0.2">
      <c r="A1377" s="13">
        <f ca="1">IFERROR(__xludf.DUMMYFUNCTION("""COMPUTED_VALUE"""),45862.6458333333)</f>
        <v>45862.645833333299</v>
      </c>
      <c r="B1377" s="14">
        <f ca="1">IFERROR(__xludf.DUMMYFUNCTION("""COMPUTED_VALUE"""),1402.9)</f>
        <v>1402.9</v>
      </c>
      <c r="C1377" s="15">
        <f t="shared" ca="1" si="10"/>
        <v>-1.5232345921662116E-2</v>
      </c>
      <c r="D1377" s="14">
        <f t="shared" ca="1" si="11"/>
        <v>1457.8720000000003</v>
      </c>
      <c r="E1377" s="3"/>
      <c r="F1377" s="3"/>
    </row>
    <row r="1378" spans="1:6" ht="14.25" x14ac:dyDescent="0.2">
      <c r="A1378" s="13">
        <f ca="1">IFERROR(__xludf.DUMMYFUNCTION("""COMPUTED_VALUE"""),45863.6458333333)</f>
        <v>45863.645833333299</v>
      </c>
      <c r="B1378" s="14">
        <f ca="1">IFERROR(__xludf.DUMMYFUNCTION("""COMPUTED_VALUE"""),1391.7)</f>
        <v>1391.7</v>
      </c>
      <c r="C1378" s="15">
        <f t="shared" ca="1" si="10"/>
        <v>-7.983462827001242E-3</v>
      </c>
      <c r="D1378" s="14">
        <f t="shared" ca="1" si="11"/>
        <v>1456.5780000000004</v>
      </c>
      <c r="E1378" s="3"/>
      <c r="F1378" s="3"/>
    </row>
    <row r="1379" spans="1:6" ht="14.25" x14ac:dyDescent="0.2">
      <c r="A1379" s="13">
        <f ca="1">IFERROR(__xludf.DUMMYFUNCTION("""COMPUTED_VALUE"""),45866.6458333333)</f>
        <v>45866.645833333299</v>
      </c>
      <c r="B1379" s="14">
        <f ca="1">IFERROR(__xludf.DUMMYFUNCTION("""COMPUTED_VALUE"""),1387.6)</f>
        <v>1387.6</v>
      </c>
      <c r="C1379" s="15">
        <f t="shared" ca="1" si="10"/>
        <v>-2.9460372206654428E-3</v>
      </c>
      <c r="D1379" s="14">
        <f t="shared" ca="1" si="11"/>
        <v>1455.5140000000006</v>
      </c>
      <c r="E1379" s="3"/>
      <c r="F1379" s="3"/>
    </row>
    <row r="1380" spans="1:6" ht="14.25" x14ac:dyDescent="0.2">
      <c r="A1380" s="13">
        <f ca="1">IFERROR(__xludf.DUMMYFUNCTION("""COMPUTED_VALUE"""),45867.6458333333)</f>
        <v>45867.645833333299</v>
      </c>
      <c r="B1380" s="14">
        <f ca="1">IFERROR(__xludf.DUMMYFUNCTION("""COMPUTED_VALUE"""),1417.1)</f>
        <v>1417.1</v>
      </c>
      <c r="C1380" s="15">
        <f t="shared" ca="1" si="10"/>
        <v>2.1259729028538565E-2</v>
      </c>
      <c r="D1380" s="14">
        <f t="shared" ca="1" si="11"/>
        <v>1455.3640000000003</v>
      </c>
      <c r="E1380" s="3"/>
      <c r="F1380" s="3"/>
    </row>
    <row r="1381" spans="1:6" ht="14.25" x14ac:dyDescent="0.2">
      <c r="A1381" s="13">
        <f ca="1">IFERROR(__xludf.DUMMYFUNCTION("""COMPUTED_VALUE"""),45868.6458333333)</f>
        <v>45868.645833333299</v>
      </c>
      <c r="B1381" s="14">
        <f ca="1">IFERROR(__xludf.DUMMYFUNCTION("""COMPUTED_VALUE"""),1410.1)</f>
        <v>1410.1</v>
      </c>
      <c r="C1381" s="15">
        <f t="shared" ca="1" si="10"/>
        <v>-4.9396655140780954E-3</v>
      </c>
      <c r="D1381" s="14">
        <f t="shared" ca="1" si="11"/>
        <v>1454.9820000000004</v>
      </c>
      <c r="E1381" s="3"/>
      <c r="F1381" s="3"/>
    </row>
    <row r="1382" spans="1:6" ht="14.25" x14ac:dyDescent="0.2">
      <c r="A1382" s="13">
        <f ca="1">IFERROR(__xludf.DUMMYFUNCTION("""COMPUTED_VALUE"""),45869.6458333333)</f>
        <v>45869.645833333299</v>
      </c>
      <c r="B1382" s="14">
        <f ca="1">IFERROR(__xludf.DUMMYFUNCTION("""COMPUTED_VALUE"""),1390.2)</f>
        <v>1390.2</v>
      </c>
      <c r="C1382" s="15">
        <f t="shared" ca="1" si="10"/>
        <v>-1.4112474292603316E-2</v>
      </c>
      <c r="D1382" s="14">
        <f t="shared" ca="1" si="11"/>
        <v>1454.5980000000004</v>
      </c>
      <c r="E1382" s="3"/>
      <c r="F1382" s="3"/>
    </row>
    <row r="1383" spans="1:6" ht="14.25" x14ac:dyDescent="0.2">
      <c r="A1383" s="13">
        <f ca="1">IFERROR(__xludf.DUMMYFUNCTION("""COMPUTED_VALUE"""),45870.6458333333)</f>
        <v>45870.645833333299</v>
      </c>
      <c r="B1383" s="14">
        <f ca="1">IFERROR(__xludf.DUMMYFUNCTION("""COMPUTED_VALUE"""),1393.7)</f>
        <v>1393.7</v>
      </c>
      <c r="C1383" s="15">
        <f t="shared" ca="1" si="10"/>
        <v>2.5176233635448853E-3</v>
      </c>
      <c r="D1383" s="14">
        <f t="shared" ca="1" si="11"/>
        <v>1453.9360000000004</v>
      </c>
      <c r="E1383" s="3"/>
      <c r="F1383" s="3"/>
    </row>
    <row r="1384" spans="1:6" ht="14.25" x14ac:dyDescent="0.2">
      <c r="A1384" s="13">
        <f ca="1">IFERROR(__xludf.DUMMYFUNCTION("""COMPUTED_VALUE"""),45873.6458333333)</f>
        <v>45873.645833333299</v>
      </c>
      <c r="B1384" s="14">
        <f ca="1">IFERROR(__xludf.DUMMYFUNCTION("""COMPUTED_VALUE"""),1411.5)</f>
        <v>1411.5</v>
      </c>
      <c r="C1384" s="15">
        <f t="shared" ca="1" si="10"/>
        <v>1.2771758628112195E-2</v>
      </c>
      <c r="D1384" s="14">
        <f t="shared" ca="1" si="11"/>
        <v>1453.47</v>
      </c>
      <c r="E1384" s="3"/>
      <c r="F1384" s="3"/>
    </row>
    <row r="1385" spans="1:6" ht="14.25" x14ac:dyDescent="0.2">
      <c r="A1385" s="13">
        <f ca="1">IFERROR(__xludf.DUMMYFUNCTION("""COMPUTED_VALUE"""),45874.6458333333)</f>
        <v>45874.645833333299</v>
      </c>
      <c r="B1385" s="14">
        <f ca="1">IFERROR(__xludf.DUMMYFUNCTION("""COMPUTED_VALUE"""),1391.7)</f>
        <v>1391.7</v>
      </c>
      <c r="C1385" s="15">
        <f t="shared" ca="1" si="10"/>
        <v>-1.402763018065889E-2</v>
      </c>
      <c r="D1385" s="14">
        <f t="shared" ca="1" si="11"/>
        <v>1452.8619999999999</v>
      </c>
      <c r="E1385" s="3"/>
      <c r="F1385" s="3"/>
    </row>
    <row r="1386" spans="1:6" ht="14.25" x14ac:dyDescent="0.2">
      <c r="A1386" s="13">
        <f ca="1">IFERROR(__xludf.DUMMYFUNCTION("""COMPUTED_VALUE"""),45875.6458333333)</f>
        <v>45875.645833333299</v>
      </c>
      <c r="B1386" s="14">
        <f ca="1">IFERROR(__xludf.DUMMYFUNCTION("""COMPUTED_VALUE"""),1392.8)</f>
        <v>1392.8</v>
      </c>
      <c r="C1386" s="15">
        <f t="shared" ca="1" si="10"/>
        <v>7.904002299345958E-4</v>
      </c>
      <c r="D1386" s="14">
        <f t="shared" ca="1" si="11"/>
        <v>1452.4599999999998</v>
      </c>
      <c r="E1386" s="3"/>
      <c r="F1386" s="3"/>
    </row>
    <row r="1387" spans="1:6" ht="14.25" x14ac:dyDescent="0.2">
      <c r="A1387" s="13">
        <f ca="1">IFERROR(__xludf.DUMMYFUNCTION("""COMPUTED_VALUE"""),45876.6458333333)</f>
        <v>45876.645833333299</v>
      </c>
      <c r="B1387" s="14">
        <f ca="1">IFERROR(__xludf.DUMMYFUNCTION("""COMPUTED_VALUE"""),1389.4)</f>
        <v>1389.4</v>
      </c>
      <c r="C1387" s="15">
        <f t="shared" ca="1" si="10"/>
        <v>-2.4411257897758443E-3</v>
      </c>
      <c r="D1387" s="14">
        <f t="shared" ca="1" si="11"/>
        <v>1451.8919999999996</v>
      </c>
      <c r="E1387" s="3"/>
      <c r="F1387" s="3"/>
    </row>
    <row r="1388" spans="1:6" ht="14.25" x14ac:dyDescent="0.2">
      <c r="A1388" s="13">
        <f ca="1">IFERROR(__xludf.DUMMYFUNCTION("""COMPUTED_VALUE"""),45877.6458333333)</f>
        <v>45877.645833333299</v>
      </c>
      <c r="B1388" s="14">
        <f ca="1">IFERROR(__xludf.DUMMYFUNCTION("""COMPUTED_VALUE"""),1367.8)</f>
        <v>1367.8</v>
      </c>
      <c r="C1388" s="15">
        <f t="shared" ca="1" si="10"/>
        <v>-1.5546278969339355E-2</v>
      </c>
      <c r="D1388" s="14">
        <f t="shared" ca="1" si="11"/>
        <v>1450.8299999999997</v>
      </c>
      <c r="E1388" s="3"/>
      <c r="F1388" s="3"/>
    </row>
    <row r="1389" spans="1:6" ht="14.25" x14ac:dyDescent="0.2">
      <c r="A1389" s="13">
        <f ca="1">IFERROR(__xludf.DUMMYFUNCTION("""COMPUTED_VALUE"""),45880.6458333333)</f>
        <v>45880.645833333299</v>
      </c>
      <c r="B1389" s="14">
        <f ca="1">IFERROR(__xludf.DUMMYFUNCTION("""COMPUTED_VALUE"""),1386.2)</f>
        <v>1386.2</v>
      </c>
      <c r="C1389" s="15">
        <f t="shared" ca="1" si="10"/>
        <v>1.3452259102207931E-2</v>
      </c>
      <c r="D1389" s="14">
        <f t="shared" ca="1" si="11"/>
        <v>1450.2799999999995</v>
      </c>
      <c r="E1389" s="3"/>
      <c r="F1389" s="3"/>
    </row>
    <row r="1390" spans="1:6" ht="14.25" x14ac:dyDescent="0.2">
      <c r="A1390" s="13">
        <f ca="1">IFERROR(__xludf.DUMMYFUNCTION("""COMPUTED_VALUE"""),45881.6458333333)</f>
        <v>45881.645833333299</v>
      </c>
      <c r="B1390" s="14">
        <f ca="1">IFERROR(__xludf.DUMMYFUNCTION("""COMPUTED_VALUE"""),1380.4)</f>
        <v>1380.4</v>
      </c>
      <c r="C1390" s="15">
        <f t="shared" ca="1" si="10"/>
        <v>-4.1841004184099972E-3</v>
      </c>
      <c r="D1390" s="14">
        <f t="shared" ca="1" si="11"/>
        <v>1449.7779999999993</v>
      </c>
      <c r="E1390" s="3"/>
      <c r="F1390" s="3"/>
    </row>
    <row r="1391" spans="1:6" ht="14.25" x14ac:dyDescent="0.2">
      <c r="A1391" s="13">
        <f ca="1">IFERROR(__xludf.DUMMYFUNCTION("""COMPUTED_VALUE"""),45882.6458333333)</f>
        <v>45882.645833333299</v>
      </c>
      <c r="B1391" s="14">
        <f ca="1">IFERROR(__xludf.DUMMYFUNCTION("""COMPUTED_VALUE"""),1382.6)</f>
        <v>1382.6</v>
      </c>
      <c r="C1391" s="15">
        <f t="shared" ca="1" si="10"/>
        <v>1.5937409446535877E-3</v>
      </c>
      <c r="D1391" s="14">
        <f t="shared" ca="1" si="11"/>
        <v>1448.9599999999994</v>
      </c>
      <c r="E1391" s="3"/>
      <c r="F1391" s="3"/>
    </row>
    <row r="1392" spans="1:6" ht="14.25" x14ac:dyDescent="0.2">
      <c r="A1392" s="13">
        <f ca="1">IFERROR(__xludf.DUMMYFUNCTION("""COMPUTED_VALUE"""),45883.6458333333)</f>
        <v>45883.645833333299</v>
      </c>
      <c r="B1392" s="14">
        <f ca="1">IFERROR(__xludf.DUMMYFUNCTION("""COMPUTED_VALUE"""),1373.8)</f>
        <v>1373.8</v>
      </c>
      <c r="C1392" s="15">
        <f t="shared" ca="1" si="10"/>
        <v>-6.364819904527641E-3</v>
      </c>
      <c r="D1392" s="14">
        <f t="shared" ca="1" si="11"/>
        <v>1447.5879999999995</v>
      </c>
      <c r="E1392" s="3"/>
      <c r="F1392" s="3"/>
    </row>
    <row r="1393" spans="1:6" ht="14.25" x14ac:dyDescent="0.2">
      <c r="A1393" s="13">
        <f ca="1">IFERROR(__xludf.DUMMYFUNCTION("""COMPUTED_VALUE"""),45887.6458333333)</f>
        <v>45887.645833333299</v>
      </c>
      <c r="B1393" s="14">
        <f ca="1">IFERROR(__xludf.DUMMYFUNCTION("""COMPUTED_VALUE"""),1381.7)</f>
        <v>1381.7</v>
      </c>
      <c r="C1393" s="15">
        <f t="shared" ca="1" si="10"/>
        <v>5.750473140195167E-3</v>
      </c>
      <c r="D1393" s="14">
        <f t="shared" ca="1" si="11"/>
        <v>1446.3519999999996</v>
      </c>
      <c r="E1393" s="3"/>
      <c r="F1393" s="3"/>
    </row>
    <row r="1394" spans="1:6" ht="14.25" x14ac:dyDescent="0.2">
      <c r="A1394" s="13">
        <f ca="1">IFERROR(__xludf.DUMMYFUNCTION("""COMPUTED_VALUE"""),45888.6458333333)</f>
        <v>45888.645833333299</v>
      </c>
      <c r="B1394" s="14">
        <f ca="1">IFERROR(__xludf.DUMMYFUNCTION("""COMPUTED_VALUE"""),1420.1)</f>
        <v>1420.1</v>
      </c>
      <c r="C1394" s="15">
        <f t="shared" ca="1" si="10"/>
        <v>2.7791850618802849E-2</v>
      </c>
      <c r="D1394" s="14">
        <f t="shared" ca="1" si="11"/>
        <v>1445.7779999999998</v>
      </c>
      <c r="E1394" s="3"/>
      <c r="F1394" s="3"/>
    </row>
    <row r="1395" spans="1:6" ht="14.25" x14ac:dyDescent="0.2">
      <c r="A1395" s="13">
        <f ca="1">IFERROR(__xludf.DUMMYFUNCTION("""COMPUTED_VALUE"""),45889.6458333333)</f>
        <v>45889.645833333299</v>
      </c>
      <c r="B1395" s="14">
        <f ca="1">IFERROR(__xludf.DUMMYFUNCTION("""COMPUTED_VALUE"""),1413)</f>
        <v>1413</v>
      </c>
      <c r="C1395" s="15">
        <f t="shared" ca="1" si="10"/>
        <v>-4.9996479121188209E-3</v>
      </c>
      <c r="D1395" s="14">
        <f t="shared" ca="1" si="11"/>
        <v>1445.2679999999998</v>
      </c>
      <c r="E1395" s="3"/>
      <c r="F1395" s="3"/>
    </row>
    <row r="1396" spans="1:6" ht="14.25" x14ac:dyDescent="0.2">
      <c r="A1396" s="13">
        <f ca="1">IFERROR(__xludf.DUMMYFUNCTION("""COMPUTED_VALUE"""),45890.6458333333)</f>
        <v>45890.645833333299</v>
      </c>
      <c r="B1396" s="14">
        <f ca="1">IFERROR(__xludf.DUMMYFUNCTION("""COMPUTED_VALUE"""),1424.8)</f>
        <v>1424.8</v>
      </c>
      <c r="C1396" s="15">
        <f t="shared" ca="1" si="10"/>
        <v>8.351026185421162E-3</v>
      </c>
      <c r="D1396" s="14">
        <f t="shared" ca="1" si="11"/>
        <v>1444.7859999999998</v>
      </c>
      <c r="E1396" s="3"/>
      <c r="F1396" s="3"/>
    </row>
    <row r="1397" spans="1:6" ht="14.25" x14ac:dyDescent="0.2">
      <c r="A1397" s="13">
        <f ca="1">IFERROR(__xludf.DUMMYFUNCTION("""COMPUTED_VALUE"""),45891.6458333333)</f>
        <v>45891.645833333299</v>
      </c>
      <c r="B1397" s="14">
        <f ca="1">IFERROR(__xludf.DUMMYFUNCTION("""COMPUTED_VALUE"""),1409.2)</f>
        <v>1409.2</v>
      </c>
      <c r="C1397" s="15">
        <f t="shared" ca="1" si="10"/>
        <v>-1.0948905109488982E-2</v>
      </c>
      <c r="D1397" s="14">
        <f t="shared" ca="1" si="11"/>
        <v>1444.1379999999999</v>
      </c>
      <c r="E1397" s="3"/>
      <c r="F1397" s="3"/>
    </row>
    <row r="1398" spans="1:6" ht="14.25" x14ac:dyDescent="0.2">
      <c r="A1398" s="13">
        <f ca="1">IFERROR(__xludf.DUMMYFUNCTION("""COMPUTED_VALUE"""),45894.6458333333)</f>
        <v>45894.645833333299</v>
      </c>
      <c r="B1398" s="14">
        <f ca="1">IFERROR(__xludf.DUMMYFUNCTION("""COMPUTED_VALUE"""),1412.6)</f>
        <v>1412.6</v>
      </c>
      <c r="C1398" s="15">
        <f t="shared" ca="1" si="10"/>
        <v>2.4127164348566321E-3</v>
      </c>
      <c r="D1398" s="14">
        <f t="shared" ca="1" si="11"/>
        <v>1443.8319999999999</v>
      </c>
      <c r="E1398" s="3"/>
      <c r="F1398" s="3"/>
    </row>
    <row r="1399" spans="1:6" ht="14.25" x14ac:dyDescent="0.2">
      <c r="A1399" s="13">
        <f ca="1">IFERROR(__xludf.DUMMYFUNCTION("""COMPUTED_VALUE"""),45895.6458333333)</f>
        <v>45895.645833333299</v>
      </c>
      <c r="B1399" s="14">
        <f ca="1">IFERROR(__xludf.DUMMYFUNCTION("""COMPUTED_VALUE"""),1384.9)</f>
        <v>1384.9</v>
      </c>
      <c r="C1399" s="15">
        <f t="shared" ca="1" si="10"/>
        <v>-1.9609231204870348E-2</v>
      </c>
      <c r="D1399" s="14">
        <f t="shared" ca="1" si="11"/>
        <v>1442.7739999999997</v>
      </c>
      <c r="E1399" s="3"/>
      <c r="F1399" s="3"/>
    </row>
    <row r="1400" spans="1:6" ht="14.25" x14ac:dyDescent="0.2">
      <c r="A1400" s="13">
        <f ca="1">IFERROR(__xludf.DUMMYFUNCTION("""COMPUTED_VALUE"""),45897.6458333333)</f>
        <v>45897.645833333299</v>
      </c>
      <c r="B1400" s="14">
        <f ca="1">IFERROR(__xludf.DUMMYFUNCTION("""COMPUTED_VALUE"""),1385.9)</f>
        <v>1385.9</v>
      </c>
      <c r="C1400" s="15">
        <f t="shared" ca="1" si="10"/>
        <v>7.2207379594191323E-4</v>
      </c>
      <c r="D1400" s="14">
        <f t="shared" ca="1" si="11"/>
        <v>1441.8679999999995</v>
      </c>
      <c r="E1400" s="3"/>
      <c r="F1400" s="3"/>
    </row>
    <row r="1401" spans="1:6" ht="14.25" x14ac:dyDescent="0.2">
      <c r="A1401" s="13">
        <f ca="1">IFERROR(__xludf.DUMMYFUNCTION("""COMPUTED_VALUE"""),45898.6458333333)</f>
        <v>45898.645833333299</v>
      </c>
      <c r="B1401" s="14">
        <f ca="1">IFERROR(__xludf.DUMMYFUNCTION("""COMPUTED_VALUE"""),1357.2)</f>
        <v>1357.2</v>
      </c>
      <c r="C1401" s="15">
        <f t="shared" ca="1" si="10"/>
        <v>-2.0708564831517506E-2</v>
      </c>
      <c r="D1401" s="14">
        <f t="shared" ca="1" si="11"/>
        <v>1440.4099999999996</v>
      </c>
      <c r="E1401" s="3"/>
      <c r="F1401" s="3"/>
    </row>
    <row r="1402" spans="1:6" ht="14.25" x14ac:dyDescent="0.2">
      <c r="A1402" s="13">
        <f ca="1">IFERROR(__xludf.DUMMYFUNCTION("""COMPUTED_VALUE"""),45901.6458333333)</f>
        <v>45901.645833333299</v>
      </c>
      <c r="B1402" s="14">
        <f ca="1">IFERROR(__xludf.DUMMYFUNCTION("""COMPUTED_VALUE"""),1353.9)</f>
        <v>1353.9</v>
      </c>
      <c r="C1402" s="15">
        <f t="shared" ca="1" si="10"/>
        <v>-2.4314765694075646E-3</v>
      </c>
      <c r="D1402" s="14">
        <f t="shared" ca="1" si="11"/>
        <v>1438.8219999999994</v>
      </c>
      <c r="E1402" s="3"/>
      <c r="F1402" s="3"/>
    </row>
    <row r="1403" spans="1:6" ht="14.25" x14ac:dyDescent="0.2">
      <c r="A1403" s="13">
        <f ca="1">IFERROR(__xludf.DUMMYFUNCTION("""COMPUTED_VALUE"""),45902.6458333333)</f>
        <v>45902.645833333299</v>
      </c>
      <c r="B1403" s="14">
        <f ca="1">IFERROR(__xludf.DUMMYFUNCTION("""COMPUTED_VALUE"""),1366.5)</f>
        <v>1366.5</v>
      </c>
      <c r="C1403" s="15">
        <f t="shared" ca="1" si="10"/>
        <v>9.3064480389983828E-3</v>
      </c>
      <c r="D1403" s="14">
        <f t="shared" ca="1" si="11"/>
        <v>1436.8279999999993</v>
      </c>
      <c r="E1403" s="3"/>
      <c r="F1403" s="3"/>
    </row>
    <row r="1404" spans="1:6" ht="14.25" x14ac:dyDescent="0.2">
      <c r="A1404" s="13">
        <f ca="1">IFERROR(__xludf.DUMMYFUNCTION("""COMPUTED_VALUE"""),45903.6458333333)</f>
        <v>45903.645833333299</v>
      </c>
      <c r="B1404" s="14">
        <f ca="1">IFERROR(__xludf.DUMMYFUNCTION("""COMPUTED_VALUE"""),1372.6)</f>
        <v>1372.6</v>
      </c>
      <c r="C1404" s="15">
        <f t="shared" ca="1" si="10"/>
        <v>4.4639590193924494E-3</v>
      </c>
      <c r="D1404" s="14">
        <f t="shared" ca="1" si="11"/>
        <v>1435.1439999999996</v>
      </c>
      <c r="E1404" s="3"/>
      <c r="F1404" s="3"/>
    </row>
    <row r="1405" spans="1:6" ht="14.25" x14ac:dyDescent="0.2">
      <c r="A1405" s="13">
        <f ca="1">IFERROR(__xludf.DUMMYFUNCTION("""COMPUTED_VALUE"""),45904.6458333333)</f>
        <v>45904.645833333299</v>
      </c>
      <c r="B1405" s="14">
        <f ca="1">IFERROR(__xludf.DUMMYFUNCTION("""COMPUTED_VALUE"""),1359.3)</f>
        <v>1359.3</v>
      </c>
      <c r="C1405" s="15">
        <f t="shared" ca="1" si="10"/>
        <v>-9.6896400990820197E-3</v>
      </c>
      <c r="D1405" s="14">
        <f t="shared" ca="1" si="11"/>
        <v>1433.3139999999999</v>
      </c>
      <c r="E1405" s="3"/>
      <c r="F1405" s="3"/>
    </row>
    <row r="1406" spans="1:6" ht="14.25" x14ac:dyDescent="0.2">
      <c r="A1406" s="13">
        <f ca="1">IFERROR(__xludf.DUMMYFUNCTION("""COMPUTED_VALUE"""),45905.6458333333)</f>
        <v>45905.645833333299</v>
      </c>
      <c r="B1406" s="14">
        <f ca="1">IFERROR(__xludf.DUMMYFUNCTION("""COMPUTED_VALUE"""),1375)</f>
        <v>1375</v>
      </c>
      <c r="C1406" s="15">
        <f t="shared" ca="1" si="10"/>
        <v>1.1550062532185823E-2</v>
      </c>
      <c r="D1406" s="14">
        <f t="shared" ca="1" si="11"/>
        <v>1431.4679999999998</v>
      </c>
      <c r="E1406" s="3"/>
      <c r="F1406" s="3"/>
    </row>
    <row r="1407" spans="1:6" ht="14.25" x14ac:dyDescent="0.2">
      <c r="A1407" s="13">
        <f ca="1">IFERROR(__xludf.DUMMYFUNCTION("""COMPUTED_VALUE"""),45908.6458333333)</f>
        <v>45908.645833333299</v>
      </c>
      <c r="B1407" s="14">
        <f ca="1">IFERROR(__xludf.DUMMYFUNCTION("""COMPUTED_VALUE"""),1378.5)</f>
        <v>1378.5</v>
      </c>
      <c r="C1407" s="15">
        <f t="shared" ca="1" si="10"/>
        <v>2.5454545454546285E-3</v>
      </c>
      <c r="D1407" s="14">
        <f t="shared" ca="1" si="11"/>
        <v>1429.1319999999998</v>
      </c>
      <c r="E1407" s="3"/>
      <c r="F1407" s="3"/>
    </row>
    <row r="1408" spans="1:6" ht="14.25" x14ac:dyDescent="0.2">
      <c r="A1408" s="13">
        <f ca="1">IFERROR(__xludf.DUMMYFUNCTION("""COMPUTED_VALUE"""),45909.6458333333)</f>
        <v>45909.645833333299</v>
      </c>
      <c r="B1408" s="14">
        <f ca="1">IFERROR(__xludf.DUMMYFUNCTION("""COMPUTED_VALUE"""),1376.2)</f>
        <v>1376.2</v>
      </c>
      <c r="C1408" s="15">
        <f t="shared" ca="1" si="10"/>
        <v>-1.6684802321363934E-3</v>
      </c>
      <c r="D1408" s="14">
        <f t="shared" ca="1" si="11"/>
        <v>1426.348</v>
      </c>
      <c r="E1408" s="3"/>
      <c r="F1408" s="3"/>
    </row>
    <row r="1409" spans="1:6" ht="14.25" x14ac:dyDescent="0.2">
      <c r="A1409" s="13">
        <f ca="1">IFERROR(__xludf.DUMMYFUNCTION("""COMPUTED_VALUE"""),45910.6458333333)</f>
        <v>45910.645833333299</v>
      </c>
      <c r="B1409" s="14">
        <f ca="1">IFERROR(__xludf.DUMMYFUNCTION("""COMPUTED_VALUE"""),1377)</f>
        <v>1377</v>
      </c>
      <c r="C1409" s="15">
        <f t="shared" ca="1" si="10"/>
        <v>5.8131085598023269E-4</v>
      </c>
      <c r="D1409" s="14">
        <f t="shared" ca="1" si="11"/>
        <v>1423.8759999999997</v>
      </c>
      <c r="E1409" s="3"/>
      <c r="F1409" s="3"/>
    </row>
    <row r="1410" spans="1:6" ht="14.25" x14ac:dyDescent="0.2">
      <c r="A1410" s="13">
        <f ca="1">IFERROR(__xludf.DUMMYFUNCTION("""COMPUTED_VALUE"""),45911.6458333333)</f>
        <v>45911.645833333299</v>
      </c>
      <c r="B1410" s="14">
        <f ca="1">IFERROR(__xludf.DUMMYFUNCTION("""COMPUTED_VALUE"""),1383.3)</f>
        <v>1383.3</v>
      </c>
      <c r="C1410" s="15">
        <f t="shared" ca="1" si="10"/>
        <v>4.5751633986927942E-3</v>
      </c>
      <c r="D1410" s="14">
        <f t="shared" ca="1" si="11"/>
        <v>1420.9739999999999</v>
      </c>
      <c r="E1410" s="3"/>
      <c r="F1410" s="3"/>
    </row>
    <row r="1411" spans="1:6" ht="14.25" x14ac:dyDescent="0.2">
      <c r="A1411" s="13">
        <f ca="1">IFERROR(__xludf.DUMMYFUNCTION("""COMPUTED_VALUE"""),45912.6458333333)</f>
        <v>45912.645833333299</v>
      </c>
      <c r="B1411" s="14">
        <f ca="1">IFERROR(__xludf.DUMMYFUNCTION("""COMPUTED_VALUE"""),1395)</f>
        <v>1395</v>
      </c>
      <c r="C1411" s="15">
        <f t="shared" ca="1" si="10"/>
        <v>8.458035133376729E-3</v>
      </c>
      <c r="D1411" s="14">
        <f t="shared" ca="1" si="11"/>
        <v>1418.4980000000003</v>
      </c>
      <c r="E1411" s="3"/>
      <c r="F1411" s="3"/>
    </row>
    <row r="1412" spans="1:6" ht="14.25" x14ac:dyDescent="0.2">
      <c r="A1412" s="13">
        <f ca="1">IFERROR(__xludf.DUMMYFUNCTION("""COMPUTED_VALUE"""),45915.6458333333)</f>
        <v>45915.645833333299</v>
      </c>
      <c r="B1412" s="14">
        <f ca="1">IFERROR(__xludf.DUMMYFUNCTION("""COMPUTED_VALUE"""),1399.3)</f>
        <v>1399.3</v>
      </c>
      <c r="C1412" s="15">
        <f t="shared" ca="1" si="10"/>
        <v>3.0824372759856722E-3</v>
      </c>
      <c r="D1412" s="14">
        <f t="shared" ca="1" si="11"/>
        <v>1416.1279999999999</v>
      </c>
      <c r="E1412" s="3"/>
      <c r="F1412" s="3"/>
    </row>
    <row r="1413" spans="1:6" ht="14.25" x14ac:dyDescent="0.2">
      <c r="A1413" s="13">
        <f ca="1">IFERROR(__xludf.DUMMYFUNCTION("""COMPUTED_VALUE"""),45916.6458333333)</f>
        <v>45916.645833333299</v>
      </c>
      <c r="B1413" s="14">
        <f ca="1">IFERROR(__xludf.DUMMYFUNCTION("""COMPUTED_VALUE"""),1405.3)</f>
        <v>1405.3</v>
      </c>
      <c r="C1413" s="15">
        <f t="shared" ca="1" si="10"/>
        <v>4.2878582148218047E-3</v>
      </c>
      <c r="D1413" s="14">
        <f t="shared" ca="1" si="11"/>
        <v>1413.6880000000001</v>
      </c>
      <c r="E1413" s="3"/>
      <c r="F1413" s="3"/>
    </row>
    <row r="1414" spans="1:6" ht="14.25" x14ac:dyDescent="0.2">
      <c r="A1414" s="13">
        <f ca="1">IFERROR(__xludf.DUMMYFUNCTION("""COMPUTED_VALUE"""),45917.6458333333)</f>
        <v>45917.645833333299</v>
      </c>
      <c r="B1414" s="14">
        <f ca="1">IFERROR(__xludf.DUMMYFUNCTION("""COMPUTED_VALUE"""),1413.8)</f>
        <v>1413.8</v>
      </c>
      <c r="C1414" s="15">
        <f t="shared" ca="1" si="10"/>
        <v>6.0485305628692476E-3</v>
      </c>
      <c r="D1414" s="14">
        <f t="shared" ca="1" si="11"/>
        <v>1411.134</v>
      </c>
      <c r="E1414" s="3"/>
      <c r="F1414" s="3"/>
    </row>
    <row r="1415" spans="1:6" ht="14.25" x14ac:dyDescent="0.2">
      <c r="A1415" s="13">
        <f ca="1">IFERROR(__xludf.DUMMYFUNCTION("""COMPUTED_VALUE"""),45918.6458333333)</f>
        <v>45918.645833333299</v>
      </c>
      <c r="B1415" s="14">
        <f ca="1">IFERROR(__xludf.DUMMYFUNCTION("""COMPUTED_VALUE"""),1415)</f>
        <v>1415</v>
      </c>
      <c r="C1415" s="15">
        <f t="shared" ca="1" si="10"/>
        <v>8.4877634743252273E-4</v>
      </c>
      <c r="D1415" s="14">
        <f t="shared" ca="1" si="11"/>
        <v>1408.682</v>
      </c>
      <c r="E1415" s="3"/>
      <c r="F1415" s="3"/>
    </row>
    <row r="1416" spans="1:6" ht="14.25" x14ac:dyDescent="0.2">
      <c r="A1416" s="13">
        <f ca="1">IFERROR(__xludf.DUMMYFUNCTION("""COMPUTED_VALUE"""),45919.6458333333)</f>
        <v>45919.645833333299</v>
      </c>
      <c r="B1416" s="14">
        <f ca="1">IFERROR(__xludf.DUMMYFUNCTION("""COMPUTED_VALUE"""),1407.4)</f>
        <v>1407.4</v>
      </c>
      <c r="C1416" s="15">
        <f t="shared" ca="1" si="10"/>
        <v>-5.3710247349822993E-3</v>
      </c>
      <c r="D1416" s="14">
        <f t="shared" ca="1" si="11"/>
        <v>1406.45</v>
      </c>
      <c r="E1416" s="3"/>
      <c r="F1416" s="3"/>
    </row>
    <row r="1417" spans="1:6" ht="14.25" x14ac:dyDescent="0.2">
      <c r="A1417" s="13">
        <f ca="1">IFERROR(__xludf.DUMMYFUNCTION("""COMPUTED_VALUE"""),45922.6458333333)</f>
        <v>45922.645833333299</v>
      </c>
      <c r="B1417" s="14">
        <f ca="1">IFERROR(__xludf.DUMMYFUNCTION("""COMPUTED_VALUE"""),1390.6)</f>
        <v>1390.6</v>
      </c>
      <c r="C1417" s="15">
        <f t="shared" ca="1" si="10"/>
        <v>-1.1936904931078685E-2</v>
      </c>
      <c r="D1417" s="14">
        <f t="shared" ca="1" si="11"/>
        <v>1403.9180000000001</v>
      </c>
      <c r="E1417" s="3"/>
      <c r="F1417" s="3"/>
    </row>
    <row r="1418" spans="1:6" ht="14.25" x14ac:dyDescent="0.2">
      <c r="A1418" s="13">
        <f ca="1">IFERROR(__xludf.DUMMYFUNCTION("""COMPUTED_VALUE"""),45923.6458333333)</f>
        <v>45923.645833333299</v>
      </c>
      <c r="B1418" s="14">
        <f ca="1">IFERROR(__xludf.DUMMYFUNCTION("""COMPUTED_VALUE"""),1389.8)</f>
        <v>1389.8</v>
      </c>
      <c r="C1418" s="15">
        <f t="shared" ca="1" si="10"/>
        <v>-5.7529124119082287E-4</v>
      </c>
      <c r="D1418" s="14">
        <f t="shared" ca="1" si="11"/>
        <v>1401.8100000000004</v>
      </c>
      <c r="E1418" s="3"/>
      <c r="F1418" s="3"/>
    </row>
    <row r="1419" spans="1:6" ht="14.25" x14ac:dyDescent="0.2">
      <c r="A1419" s="13">
        <f ca="1">IFERROR(__xludf.DUMMYFUNCTION("""COMPUTED_VALUE"""),45924.6458333333)</f>
        <v>45924.645833333299</v>
      </c>
      <c r="B1419" s="14">
        <f ca="1">IFERROR(__xludf.DUMMYFUNCTION("""COMPUTED_VALUE"""),1383)</f>
        <v>1383</v>
      </c>
      <c r="C1419" s="15">
        <f t="shared" ca="1" si="10"/>
        <v>-4.8927903295438169E-3</v>
      </c>
      <c r="D1419" s="14">
        <f t="shared" ca="1" si="11"/>
        <v>1399.7960000000003</v>
      </c>
      <c r="E1419" s="3"/>
      <c r="F1419" s="3"/>
    </row>
    <row r="1420" spans="1:6" ht="14.25" x14ac:dyDescent="0.2">
      <c r="A1420" s="13">
        <f ca="1">IFERROR(__xludf.DUMMYFUNCTION("""COMPUTED_VALUE"""),45925.6458333333)</f>
        <v>45925.645833333299</v>
      </c>
      <c r="B1420" s="14">
        <f ca="1">IFERROR(__xludf.DUMMYFUNCTION("""COMPUTED_VALUE"""),1372.4)</f>
        <v>1372.4</v>
      </c>
      <c r="C1420" s="15">
        <f t="shared" ca="1" si="10"/>
        <v>-7.664497469269671E-3</v>
      </c>
      <c r="D1420" s="14">
        <f t="shared" ca="1" si="11"/>
        <v>1397.5360000000003</v>
      </c>
      <c r="E1420" s="3"/>
      <c r="F1420" s="3"/>
    </row>
    <row r="1421" spans="1:6" ht="14.25" x14ac:dyDescent="0.2">
      <c r="A1421" s="13">
        <f ca="1">IFERROR(__xludf.DUMMYFUNCTION("""COMPUTED_VALUE"""),45926.6458333333)</f>
        <v>45926.645833333299</v>
      </c>
      <c r="B1421" s="14">
        <f ca="1">IFERROR(__xludf.DUMMYFUNCTION("""COMPUTED_VALUE"""),1377.6)</f>
        <v>1377.6</v>
      </c>
      <c r="C1421" s="15">
        <f t="shared" ca="1" si="10"/>
        <v>3.7889828038470963E-3</v>
      </c>
      <c r="D1421" s="14">
        <f t="shared" ca="1" si="11"/>
        <v>1395.376</v>
      </c>
      <c r="E1421" s="3"/>
      <c r="F1421" s="3"/>
    </row>
    <row r="1422" spans="1:6" ht="14.25" x14ac:dyDescent="0.2">
      <c r="A1422" s="13">
        <f ca="1">IFERROR(__xludf.DUMMYFUNCTION("""COMPUTED_VALUE"""),45929.6458333333)</f>
        <v>45929.645833333299</v>
      </c>
      <c r="B1422" s="14">
        <f ca="1">IFERROR(__xludf.DUMMYFUNCTION("""COMPUTED_VALUE"""),1372.8)</f>
        <v>1372.8</v>
      </c>
      <c r="C1422" s="15">
        <f t="shared" ca="1" si="10"/>
        <v>-3.4843205574912606E-3</v>
      </c>
      <c r="D1422" s="14">
        <f t="shared" ca="1" si="11"/>
        <v>1393.3040000000005</v>
      </c>
      <c r="E1422" s="3"/>
      <c r="F1422" s="3"/>
    </row>
    <row r="1423" spans="1:6" ht="14.25" x14ac:dyDescent="0.2">
      <c r="A1423" s="13">
        <f ca="1">IFERROR(__xludf.DUMMYFUNCTION("""COMPUTED_VALUE"""),45930.6458333333)</f>
        <v>45930.645833333299</v>
      </c>
      <c r="B1423" s="14">
        <f ca="1">IFERROR(__xludf.DUMMYFUNCTION("""COMPUTED_VALUE"""),1364)</f>
        <v>1364</v>
      </c>
      <c r="C1423" s="15">
        <f t="shared" ca="1" si="10"/>
        <v>-6.4102564102563875E-3</v>
      </c>
      <c r="D1423" s="14">
        <f t="shared" ca="1" si="11"/>
        <v>1391.0640000000003</v>
      </c>
      <c r="E1423" s="3"/>
      <c r="F1423" s="3"/>
    </row>
    <row r="1424" spans="1:6" ht="14.25" x14ac:dyDescent="0.2">
      <c r="A1424" s="13">
        <f ca="1">IFERROR(__xludf.DUMMYFUNCTION("""COMPUTED_VALUE"""),45931.6458333333)</f>
        <v>45931.645833333299</v>
      </c>
      <c r="B1424" s="14">
        <f ca="1">IFERROR(__xludf.DUMMYFUNCTION("""COMPUTED_VALUE"""),1368.7)</f>
        <v>1368.7</v>
      </c>
      <c r="C1424" s="15">
        <f t="shared" ca="1" si="10"/>
        <v>3.445747800586485E-3</v>
      </c>
      <c r="D1424" s="14">
        <f t="shared" ca="1" si="11"/>
        <v>1389.8660000000004</v>
      </c>
      <c r="E1424" s="3"/>
      <c r="F1424" s="3"/>
    </row>
    <row r="1425" spans="1:6" ht="14.25" x14ac:dyDescent="0.2">
      <c r="A1425" s="13">
        <f ca="1">IFERROR(__xludf.DUMMYFUNCTION("""COMPUTED_VALUE"""),45933.6458333333)</f>
        <v>45933.645833333299</v>
      </c>
      <c r="B1425" s="14">
        <f ca="1">IFERROR(__xludf.DUMMYFUNCTION("""COMPUTED_VALUE"""),1363.4)</f>
        <v>1363.4</v>
      </c>
      <c r="C1425" s="15">
        <f t="shared" ca="1" si="10"/>
        <v>-3.8722875721487471E-3</v>
      </c>
      <c r="D1425" s="14">
        <f t="shared" ca="1" si="11"/>
        <v>1388.8780000000002</v>
      </c>
      <c r="E1425" s="3"/>
      <c r="F1425" s="3"/>
    </row>
    <row r="1426" spans="1:6" ht="14.25" x14ac:dyDescent="0.2">
      <c r="A1426" s="13">
        <f ca="1">IFERROR(__xludf.DUMMYFUNCTION("""COMPUTED_VALUE"""),45936.6458333333)</f>
        <v>45936.645833333299</v>
      </c>
      <c r="B1426" s="14">
        <f ca="1">IFERROR(__xludf.DUMMYFUNCTION("""COMPUTED_VALUE"""),1375)</f>
        <v>1375</v>
      </c>
      <c r="C1426" s="15">
        <f t="shared" ca="1" si="10"/>
        <v>8.5081414111778386E-3</v>
      </c>
      <c r="D1426" s="14">
        <f t="shared" ca="1" si="11"/>
        <v>1387.8860000000004</v>
      </c>
      <c r="E1426" s="3"/>
      <c r="F1426" s="3"/>
    </row>
    <row r="1427" spans="1:6" ht="14.25" x14ac:dyDescent="0.2">
      <c r="A1427" s="13">
        <f ca="1">IFERROR(__xludf.DUMMYFUNCTION("""COMPUTED_VALUE"""),45937.6458333333)</f>
        <v>45937.645833333299</v>
      </c>
      <c r="B1427" s="14">
        <f ca="1">IFERROR(__xludf.DUMMYFUNCTION("""COMPUTED_VALUE"""),1384.8)</f>
        <v>1384.8</v>
      </c>
      <c r="C1427" s="15">
        <f t="shared" ca="1" si="10"/>
        <v>7.1272727272726488E-3</v>
      </c>
      <c r="D1427" s="14">
        <f t="shared" ca="1" si="11"/>
        <v>1387.5240000000003</v>
      </c>
      <c r="E1427" s="3"/>
      <c r="F1427" s="3"/>
    </row>
    <row r="1428" spans="1:6" ht="14.25" x14ac:dyDescent="0.2">
      <c r="A1428" s="13">
        <f ca="1">IFERROR(__xludf.DUMMYFUNCTION("""COMPUTED_VALUE"""),45938.6458333333)</f>
        <v>45938.645833333299</v>
      </c>
      <c r="B1428" s="14">
        <f ca="1">IFERROR(__xludf.DUMMYFUNCTION("""COMPUTED_VALUE"""),1367.4)</f>
        <v>1367.4</v>
      </c>
      <c r="C1428" s="15">
        <f t="shared" ca="1" si="10"/>
        <v>-1.2564991334488629E-2</v>
      </c>
      <c r="D1428" s="14">
        <f t="shared" ca="1" si="11"/>
        <v>1387.0380000000002</v>
      </c>
      <c r="E1428" s="3"/>
      <c r="F1428" s="3"/>
    </row>
    <row r="1429" spans="1:6" ht="14.25" x14ac:dyDescent="0.2">
      <c r="A1429" s="13">
        <f ca="1">IFERROR(__xludf.DUMMYFUNCTION("""COMPUTED_VALUE"""),45939.6458333333)</f>
        <v>45939.645833333299</v>
      </c>
      <c r="B1429" s="14">
        <f ca="1">IFERROR(__xludf.DUMMYFUNCTION("""COMPUTED_VALUE"""),1377.8)</f>
        <v>1377.8</v>
      </c>
      <c r="C1429" s="15">
        <f t="shared" ca="1" si="10"/>
        <v>7.6056750036563869E-3</v>
      </c>
      <c r="D1429" s="14">
        <f t="shared" ca="1" si="11"/>
        <v>1386.8420000000001</v>
      </c>
      <c r="E1429" s="3"/>
      <c r="F1429" s="3"/>
    </row>
    <row r="1430" spans="1:6" ht="14.25" x14ac:dyDescent="0.2">
      <c r="A1430" s="13">
        <f ca="1">IFERROR(__xludf.DUMMYFUNCTION("""COMPUTED_VALUE"""),45940.6458333333)</f>
        <v>45940.645833333299</v>
      </c>
      <c r="B1430" s="14">
        <f ca="1">IFERROR(__xludf.DUMMYFUNCTION("""COMPUTED_VALUE"""),1381.7)</f>
        <v>1381.7</v>
      </c>
      <c r="C1430" s="15">
        <f t="shared" ca="1" si="10"/>
        <v>2.8305995064596967E-3</v>
      </c>
      <c r="D1430" s="14">
        <f t="shared" ca="1" si="11"/>
        <v>1386.1340000000005</v>
      </c>
      <c r="E1430" s="3"/>
      <c r="F1430" s="3"/>
    </row>
    <row r="1431" spans="1:6" ht="14.25" x14ac:dyDescent="0.2">
      <c r="A1431" s="13">
        <f ca="1">IFERROR(__xludf.DUMMYFUNCTION("""COMPUTED_VALUE"""),45943.6458333333)</f>
        <v>45943.645833333299</v>
      </c>
      <c r="B1431" s="14">
        <f ca="1">IFERROR(__xludf.DUMMYFUNCTION("""COMPUTED_VALUE"""),1375)</f>
        <v>1375</v>
      </c>
      <c r="C1431" s="15">
        <f t="shared" ca="1" si="10"/>
        <v>-4.8490989360931991E-3</v>
      </c>
      <c r="D1431" s="14">
        <f t="shared" ca="1" si="11"/>
        <v>1385.4320000000005</v>
      </c>
      <c r="E1431" s="3"/>
      <c r="F1431" s="3"/>
    </row>
    <row r="1432" spans="1:6" ht="14.25" x14ac:dyDescent="0.2">
      <c r="A1432" s="13">
        <f ca="1">IFERROR(__xludf.DUMMYFUNCTION("""COMPUTED_VALUE"""),45944.6458333333)</f>
        <v>45944.645833333299</v>
      </c>
      <c r="B1432" s="14">
        <f ca="1">IFERROR(__xludf.DUMMYFUNCTION("""COMPUTED_VALUE"""),1375.9)</f>
        <v>1375.9</v>
      </c>
      <c r="C1432" s="15">
        <f t="shared" ca="1" si="10"/>
        <v>6.545454545454632E-4</v>
      </c>
      <c r="D1432" s="14">
        <f t="shared" ca="1" si="11"/>
        <v>1385.1460000000004</v>
      </c>
      <c r="E1432" s="3"/>
      <c r="F1432" s="3"/>
    </row>
    <row r="1433" spans="1:6" ht="14.25" x14ac:dyDescent="0.2">
      <c r="A1433" s="13">
        <f ca="1">IFERROR(__xludf.DUMMYFUNCTION("""COMPUTED_VALUE"""),45945.6458333333)</f>
        <v>45945.645833333299</v>
      </c>
      <c r="B1433" s="14">
        <f ca="1">IFERROR(__xludf.DUMMYFUNCTION("""COMPUTED_VALUE"""),1374.3)</f>
        <v>1374.3</v>
      </c>
      <c r="C1433" s="15">
        <f t="shared" ca="1" si="10"/>
        <v>-1.1628752089541949E-3</v>
      </c>
      <c r="D1433" s="14">
        <f t="shared" ca="1" si="11"/>
        <v>1384.7580000000003</v>
      </c>
      <c r="E1433" s="3"/>
      <c r="F1433" s="3"/>
    </row>
    <row r="1434" spans="1:6" ht="14.25" x14ac:dyDescent="0.2">
      <c r="A1434" s="13">
        <f ca="1">IFERROR(__xludf.DUMMYFUNCTION("""COMPUTED_VALUE"""),45946.6458333333)</f>
        <v>45946.645833333299</v>
      </c>
      <c r="B1434" s="14">
        <f ca="1">IFERROR(__xludf.DUMMYFUNCTION("""COMPUTED_VALUE"""),1398.3)</f>
        <v>1398.3</v>
      </c>
      <c r="C1434" s="15">
        <f t="shared" ca="1" si="10"/>
        <v>1.7463435931019511E-2</v>
      </c>
      <c r="D1434" s="14">
        <f t="shared" ca="1" si="11"/>
        <v>1384.4940000000006</v>
      </c>
      <c r="E1434" s="3"/>
      <c r="F1434" s="3"/>
    </row>
    <row r="1435" spans="1:6" ht="14.25" x14ac:dyDescent="0.2">
      <c r="A1435" s="13">
        <f ca="1">IFERROR(__xludf.DUMMYFUNCTION("""COMPUTED_VALUE"""),45947.6458333333)</f>
        <v>45947.645833333299</v>
      </c>
      <c r="B1435" s="14">
        <f ca="1">IFERROR(__xludf.DUMMYFUNCTION("""COMPUTED_VALUE"""),1416.8)</f>
        <v>1416.8</v>
      </c>
      <c r="C1435" s="15">
        <f t="shared" ca="1" si="10"/>
        <v>1.3230351140670837E-2</v>
      </c>
      <c r="D1435" s="14">
        <f t="shared" ca="1" si="11"/>
        <v>1384.9960000000005</v>
      </c>
      <c r="E1435" s="3"/>
      <c r="F1435" s="3"/>
    </row>
    <row r="1436" spans="1:6" ht="14.25" x14ac:dyDescent="0.2">
      <c r="A1436" s="13">
        <f ca="1">IFERROR(__xludf.DUMMYFUNCTION("""COMPUTED_VALUE"""),45950.6458333333)</f>
        <v>45950.645833333299</v>
      </c>
      <c r="B1436" s="14">
        <f ca="1">IFERROR(__xludf.DUMMYFUNCTION("""COMPUTED_VALUE"""),1466.8)</f>
        <v>1466.8</v>
      </c>
      <c r="C1436" s="15">
        <f t="shared" ca="1" si="10"/>
        <v>3.5290796160361459E-2</v>
      </c>
      <c r="D1436" s="14">
        <f t="shared" ca="1" si="11"/>
        <v>1386.4760000000006</v>
      </c>
      <c r="E1436" s="3"/>
      <c r="F1436" s="3"/>
    </row>
    <row r="1437" spans="1:6" ht="14.25" x14ac:dyDescent="0.2">
      <c r="A1437" s="13">
        <f ca="1">IFERROR(__xludf.DUMMYFUNCTION("""COMPUTED_VALUE"""),45951.6458333333)</f>
        <v>45951.645833333299</v>
      </c>
      <c r="B1437" s="14">
        <f ca="1">IFERROR(__xludf.DUMMYFUNCTION("""COMPUTED_VALUE"""),1465.2)</f>
        <v>1465.2</v>
      </c>
      <c r="C1437" s="15">
        <f t="shared" ca="1" si="10"/>
        <v>-1.0908099263702287E-3</v>
      </c>
      <c r="D1437" s="14">
        <f t="shared" ca="1" si="11"/>
        <v>1387.9920000000004</v>
      </c>
      <c r="E1437" s="3"/>
      <c r="F1437" s="3"/>
    </row>
    <row r="1438" spans="1:6" ht="14.25" x14ac:dyDescent="0.2">
      <c r="A1438" s="13">
        <f ca="1">IFERROR(__xludf.DUMMYFUNCTION("""COMPUTED_VALUE"""),45953.6458333333)</f>
        <v>45953.645833333299</v>
      </c>
      <c r="B1438" s="14">
        <f ca="1">IFERROR(__xludf.DUMMYFUNCTION("""COMPUTED_VALUE"""),1448.4)</f>
        <v>1448.4</v>
      </c>
      <c r="C1438" s="15">
        <f t="shared" ca="1" si="10"/>
        <v>-1.146601146601145E-2</v>
      </c>
      <c r="D1438" s="14">
        <f t="shared" ca="1" si="11"/>
        <v>1389.6040000000003</v>
      </c>
      <c r="E1438" s="3"/>
      <c r="F1438" s="3"/>
    </row>
    <row r="1439" spans="1:6" ht="14.25" x14ac:dyDescent="0.2">
      <c r="A1439" s="13">
        <f ca="1">IFERROR(__xludf.DUMMYFUNCTION("""COMPUTED_VALUE"""),45954.6458333333)</f>
        <v>45954.645833333299</v>
      </c>
      <c r="B1439" s="14">
        <f ca="1">IFERROR(__xludf.DUMMYFUNCTION("""COMPUTED_VALUE"""),1451.6)</f>
        <v>1451.6</v>
      </c>
      <c r="C1439" s="15">
        <f t="shared" ca="1" si="10"/>
        <v>2.209334438000532E-3</v>
      </c>
      <c r="D1439" s="14">
        <f t="shared" ca="1" si="11"/>
        <v>1390.9120000000005</v>
      </c>
      <c r="E1439" s="3"/>
      <c r="F1439" s="3"/>
    </row>
    <row r="1440" spans="1:6" ht="14.25" x14ac:dyDescent="0.2">
      <c r="A1440" s="13">
        <f ca="1">IFERROR(__xludf.DUMMYFUNCTION("""COMPUTED_VALUE"""),45957.6458333333)</f>
        <v>45957.645833333299</v>
      </c>
      <c r="B1440" s="14">
        <f ca="1">IFERROR(__xludf.DUMMYFUNCTION("""COMPUTED_VALUE"""),1484.1)</f>
        <v>1484.1</v>
      </c>
      <c r="C1440" s="15">
        <f t="shared" ca="1" si="10"/>
        <v>2.2389087903003535E-2</v>
      </c>
      <c r="D1440" s="14">
        <f t="shared" ca="1" si="11"/>
        <v>1392.9860000000006</v>
      </c>
      <c r="E1440" s="3"/>
      <c r="F1440" s="3"/>
    </row>
    <row r="1441" spans="1:6" ht="14.25" x14ac:dyDescent="0.2">
      <c r="A1441" s="13">
        <f ca="1">IFERROR(__xludf.DUMMYFUNCTION("""COMPUTED_VALUE"""),45958.6458333333)</f>
        <v>45958.645833333299</v>
      </c>
      <c r="B1441" s="14">
        <f ca="1">IFERROR(__xludf.DUMMYFUNCTION("""COMPUTED_VALUE"""),1486.9)</f>
        <v>1486.9</v>
      </c>
      <c r="C1441" s="15">
        <f t="shared" ca="1" si="10"/>
        <v>1.886665319048797E-3</v>
      </c>
      <c r="D1441" s="14">
        <f t="shared" ca="1" si="11"/>
        <v>1395.0720000000003</v>
      </c>
      <c r="E1441" s="3"/>
      <c r="F1441" s="3"/>
    </row>
    <row r="1442" spans="1:6" ht="14.25" x14ac:dyDescent="0.2">
      <c r="A1442" s="13">
        <f ca="1">IFERROR(__xludf.DUMMYFUNCTION("""COMPUTED_VALUE"""),45959.6458333333)</f>
        <v>45959.645833333299</v>
      </c>
      <c r="B1442" s="14">
        <f ca="1">IFERROR(__xludf.DUMMYFUNCTION("""COMPUTED_VALUE"""),1504.2)</f>
        <v>1504.2</v>
      </c>
      <c r="C1442" s="15">
        <f t="shared" ca="1" si="10"/>
        <v>1.1634945187974921E-2</v>
      </c>
      <c r="D1442" s="14">
        <f t="shared" ca="1" si="11"/>
        <v>1397.68</v>
      </c>
      <c r="E1442" s="3"/>
      <c r="F1442" s="3"/>
    </row>
    <row r="1443" spans="1:6" ht="14.25" x14ac:dyDescent="0.2">
      <c r="A1443" s="13">
        <f ca="1">IFERROR(__xludf.DUMMYFUNCTION("""COMPUTED_VALUE"""),45960.6458333333)</f>
        <v>45960.645833333299</v>
      </c>
      <c r="B1443" s="14">
        <f ca="1">IFERROR(__xludf.DUMMYFUNCTION("""COMPUTED_VALUE"""),1488.5)</f>
        <v>1488.5</v>
      </c>
      <c r="C1443" s="15">
        <f t="shared" ca="1" si="10"/>
        <v>-1.0437441829543981E-2</v>
      </c>
      <c r="D1443" s="14">
        <f t="shared" ca="1" si="11"/>
        <v>1399.8160000000003</v>
      </c>
      <c r="E1443" s="3"/>
      <c r="F1443" s="3"/>
    </row>
    <row r="1444" spans="1:6" ht="14.25" x14ac:dyDescent="0.2">
      <c r="A1444" s="13">
        <f ca="1">IFERROR(__xludf.DUMMYFUNCTION("""COMPUTED_VALUE"""),45961.6458333333)</f>
        <v>45961.645833333299</v>
      </c>
      <c r="B1444" s="14">
        <f ca="1">IFERROR(__xludf.DUMMYFUNCTION("""COMPUTED_VALUE"""),1486.4)</f>
        <v>1486.4</v>
      </c>
      <c r="C1444" s="15">
        <f t="shared" ca="1" si="10"/>
        <v>-1.4108162579777872E-3</v>
      </c>
      <c r="D1444" s="14">
        <f t="shared" ca="1" si="11"/>
        <v>1401.1420000000001</v>
      </c>
      <c r="E1444" s="3"/>
      <c r="F1444" s="3"/>
    </row>
    <row r="1445" spans="1:6" ht="14.25" x14ac:dyDescent="0.2">
      <c r="A1445" s="13">
        <f ca="1">IFERROR(__xludf.DUMMYFUNCTION("""COMPUTED_VALUE"""),45964.6458333333)</f>
        <v>45964.645833333299</v>
      </c>
      <c r="B1445" s="14">
        <f ca="1">IFERROR(__xludf.DUMMYFUNCTION("""COMPUTED_VALUE"""),1484.7)</f>
        <v>1484.7</v>
      </c>
      <c r="C1445" s="15">
        <f t="shared" ca="1" si="10"/>
        <v>-1.1437029063509074E-3</v>
      </c>
      <c r="D1445" s="14">
        <f t="shared" ca="1" si="11"/>
        <v>1402.576</v>
      </c>
      <c r="E1445" s="3"/>
      <c r="F1445" s="3"/>
    </row>
    <row r="1446" spans="1:6" ht="14.25" x14ac:dyDescent="0.2">
      <c r="A1446" s="13">
        <f ca="1">IFERROR(__xludf.DUMMYFUNCTION("""COMPUTED_VALUE"""),45965.6458333333)</f>
        <v>45965.645833333299</v>
      </c>
      <c r="B1446" s="14">
        <f ca="1">IFERROR(__xludf.DUMMYFUNCTION("""COMPUTED_VALUE"""),1473.1)</f>
        <v>1473.1</v>
      </c>
      <c r="C1446" s="15">
        <f t="shared" ca="1" si="10"/>
        <v>-7.8130262005793316E-3</v>
      </c>
      <c r="D1446" s="14">
        <f t="shared" ca="1" si="11"/>
        <v>1403.5420000000001</v>
      </c>
      <c r="E1446" s="3"/>
      <c r="F1446" s="3"/>
    </row>
    <row r="1447" spans="1:6" ht="14.25" x14ac:dyDescent="0.2">
      <c r="A1447" s="13">
        <f ca="1">IFERROR(__xludf.DUMMYFUNCTION("""COMPUTED_VALUE"""),45967.6458333333)</f>
        <v>45967.645833333299</v>
      </c>
      <c r="B1447" s="14">
        <f ca="1">IFERROR(__xludf.DUMMYFUNCTION("""COMPUTED_VALUE"""),1496.1)</f>
        <v>1496.1</v>
      </c>
      <c r="C1447" s="15">
        <f t="shared" ca="1" si="10"/>
        <v>1.5613332428212612E-2</v>
      </c>
      <c r="D1447" s="14">
        <f t="shared" ca="1" si="11"/>
        <v>1405.2800000000002</v>
      </c>
      <c r="E1447" s="3"/>
      <c r="F1447" s="3"/>
    </row>
    <row r="1448" spans="1:6" ht="14.25" x14ac:dyDescent="0.2">
      <c r="A1448" s="13">
        <f ca="1">IFERROR(__xludf.DUMMYFUNCTION("""COMPUTED_VALUE"""),45968.6458333333)</f>
        <v>45968.645833333299</v>
      </c>
      <c r="B1448" s="14">
        <f ca="1">IFERROR(__xludf.DUMMYFUNCTION("""COMPUTED_VALUE"""),1478)</f>
        <v>1478</v>
      </c>
      <c r="C1448" s="15">
        <f t="shared" ca="1" si="10"/>
        <v>-1.2098121783303162E-2</v>
      </c>
      <c r="D1448" s="14">
        <f t="shared" ca="1" si="11"/>
        <v>1406.5880000000004</v>
      </c>
      <c r="E1448" s="3"/>
      <c r="F1448" s="3"/>
    </row>
    <row r="1449" spans="1:6" ht="14.25" x14ac:dyDescent="0.2">
      <c r="A1449" s="13">
        <f ca="1">IFERROR(__xludf.DUMMYFUNCTION("""COMPUTED_VALUE"""),45971.6458333333)</f>
        <v>45971.645833333299</v>
      </c>
      <c r="B1449" s="14">
        <f ca="1">IFERROR(__xludf.DUMMYFUNCTION("""COMPUTED_VALUE"""),1489.3)</f>
        <v>1489.3</v>
      </c>
      <c r="C1449" s="15">
        <f t="shared" ca="1" si="10"/>
        <v>7.645466847090665E-3</v>
      </c>
      <c r="D1449" s="14">
        <f t="shared" ca="1" si="11"/>
        <v>1408.6760000000004</v>
      </c>
      <c r="E1449" s="3"/>
      <c r="F1449" s="3"/>
    </row>
    <row r="1450" spans="1:6" ht="14.25" x14ac:dyDescent="0.2">
      <c r="A1450" s="13">
        <f ca="1">IFERROR(__xludf.DUMMYFUNCTION("""COMPUTED_VALUE"""),45972.6458333333)</f>
        <v>45972.645833333299</v>
      </c>
      <c r="B1450" s="14">
        <f ca="1">IFERROR(__xludf.DUMMYFUNCTION("""COMPUTED_VALUE"""),1493.4)</f>
        <v>1493.4</v>
      </c>
      <c r="C1450" s="15">
        <f t="shared" ca="1" si="10"/>
        <v>2.7529711945211144E-3</v>
      </c>
      <c r="D1450" s="14">
        <f t="shared" ca="1" si="11"/>
        <v>1410.826</v>
      </c>
      <c r="E1450" s="3"/>
      <c r="F1450" s="3"/>
    </row>
    <row r="1451" spans="1:6" ht="14.25" x14ac:dyDescent="0.2">
      <c r="A1451" s="13">
        <f ca="1">IFERROR(__xludf.DUMMYFUNCTION("""COMPUTED_VALUE"""),45973.6458333333)</f>
        <v>45973.645833333299</v>
      </c>
      <c r="B1451" s="14">
        <f ca="1">IFERROR(__xludf.DUMMYFUNCTION("""COMPUTED_VALUE"""),1511.5)</f>
        <v>1511.5</v>
      </c>
      <c r="C1451" s="15">
        <f t="shared" ca="1" si="10"/>
        <v>1.2119994643096321E-2</v>
      </c>
      <c r="D1451" s="14">
        <f t="shared" ca="1" si="11"/>
        <v>1413.9119999999998</v>
      </c>
      <c r="E1451" s="3"/>
      <c r="F1451" s="3"/>
    </row>
    <row r="1452" spans="1:6" ht="14.25" x14ac:dyDescent="0.2">
      <c r="A1452" s="13">
        <f ca="1">IFERROR(__xludf.DUMMYFUNCTION("""COMPUTED_VALUE"""),45974.6458333333)</f>
        <v>45974.645833333299</v>
      </c>
      <c r="B1452" s="14">
        <f ca="1">IFERROR(__xludf.DUMMYFUNCTION("""COMPUTED_VALUE"""),1510.9)</f>
        <v>1510.9</v>
      </c>
      <c r="C1452" s="15">
        <f t="shared" ca="1" si="10"/>
        <v>-3.9695666556394116E-4</v>
      </c>
      <c r="D1452" s="14">
        <f t="shared" ca="1" si="11"/>
        <v>1417.0519999999999</v>
      </c>
      <c r="E1452" s="3"/>
      <c r="F1452" s="3"/>
    </row>
    <row r="1453" spans="1:6" ht="14.25" x14ac:dyDescent="0.2">
      <c r="A1453" s="13">
        <f ca="1">IFERROR(__xludf.DUMMYFUNCTION("""COMPUTED_VALUE"""),45975.6458333333)</f>
        <v>45975.645833333299</v>
      </c>
      <c r="B1453" s="14">
        <f ca="1">IFERROR(__xludf.DUMMYFUNCTION("""COMPUTED_VALUE"""),1518.9)</f>
        <v>1518.9</v>
      </c>
      <c r="C1453" s="15">
        <f t="shared" ca="1" si="10"/>
        <v>5.2948573697795265E-3</v>
      </c>
      <c r="D1453" s="14">
        <f t="shared" ca="1" si="11"/>
        <v>1420.0999999999997</v>
      </c>
      <c r="E1453" s="3"/>
      <c r="F1453" s="3"/>
    </row>
    <row r="1454" spans="1:6" ht="14.25" x14ac:dyDescent="0.2">
      <c r="A1454" s="13">
        <f ca="1">IFERROR(__xludf.DUMMYFUNCTION("""COMPUTED_VALUE"""),45978.6458333333)</f>
        <v>45978.645833333299</v>
      </c>
      <c r="B1454" s="14">
        <f ca="1">IFERROR(__xludf.DUMMYFUNCTION("""COMPUTED_VALUE"""),1518.3)</f>
        <v>1518.3</v>
      </c>
      <c r="C1454" s="15">
        <f t="shared" ca="1" si="10"/>
        <v>-3.9502271380609244E-4</v>
      </c>
      <c r="D1454" s="14">
        <f t="shared" ca="1" si="11"/>
        <v>1423.0139999999999</v>
      </c>
      <c r="E1454" s="3"/>
      <c r="F1454" s="3"/>
    </row>
    <row r="1455" spans="1:6" ht="14.25" x14ac:dyDescent="0.2">
      <c r="A1455" s="13">
        <f ca="1">IFERROR(__xludf.DUMMYFUNCTION("""COMPUTED_VALUE"""),45979.6458333333)</f>
        <v>45979.645833333299</v>
      </c>
      <c r="B1455" s="14">
        <f ca="1">IFERROR(__xludf.DUMMYFUNCTION("""COMPUTED_VALUE"""),1519.4)</f>
        <v>1519.4</v>
      </c>
      <c r="C1455" s="15">
        <f t="shared" ca="1" si="10"/>
        <v>7.2449450042810781E-4</v>
      </c>
      <c r="D1455" s="14">
        <f t="shared" ca="1" si="11"/>
        <v>1426.2159999999997</v>
      </c>
      <c r="E1455" s="3"/>
      <c r="F1455" s="3"/>
    </row>
    <row r="1456" spans="1:6" ht="14.25" x14ac:dyDescent="0.2">
      <c r="A1456" s="13">
        <f ca="1">IFERROR(__xludf.DUMMYFUNCTION("""COMPUTED_VALUE"""),45980.6458333333)</f>
        <v>45980.645833333299</v>
      </c>
      <c r="B1456" s="14">
        <f ca="1">IFERROR(__xludf.DUMMYFUNCTION("""COMPUTED_VALUE"""),1518.9)</f>
        <v>1518.9</v>
      </c>
      <c r="C1456" s="15">
        <f t="shared" ca="1" si="10"/>
        <v>-3.290772673423259E-4</v>
      </c>
      <c r="D1456" s="14">
        <f t="shared" ca="1" si="11"/>
        <v>1429.0940000000001</v>
      </c>
      <c r="E1456" s="3"/>
      <c r="F1456" s="3"/>
    </row>
    <row r="1457" spans="1:6" ht="14.25" x14ac:dyDescent="0.2">
      <c r="A1457" s="13">
        <f ca="1">IFERROR(__xludf.DUMMYFUNCTION("""COMPUTED_VALUE"""),45981.6458333333)</f>
        <v>45981.645833333299</v>
      </c>
      <c r="B1457" s="14">
        <f ca="1">IFERROR(__xludf.DUMMYFUNCTION("""COMPUTED_VALUE"""),1549.1)</f>
        <v>1549.1</v>
      </c>
      <c r="C1457" s="15">
        <f t="shared" ca="1" si="10"/>
        <v>1.9882809928237322E-2</v>
      </c>
      <c r="D1457" s="14">
        <f t="shared" ca="1" si="11"/>
        <v>1432.5060000000001</v>
      </c>
      <c r="E1457" s="3"/>
      <c r="F1457" s="3"/>
    </row>
    <row r="1458" spans="1:6" ht="14.25" x14ac:dyDescent="0.2">
      <c r="A1458" s="13">
        <f ca="1">IFERROR(__xludf.DUMMYFUNCTION("""COMPUTED_VALUE"""),45982.6458333333)</f>
        <v>45982.645833333299</v>
      </c>
      <c r="B1458" s="14">
        <f ca="1">IFERROR(__xludf.DUMMYFUNCTION("""COMPUTED_VALUE"""),1546.6)</f>
        <v>1546.6</v>
      </c>
      <c r="C1458" s="15">
        <f t="shared" ca="1" si="10"/>
        <v>-1.6138402943645103E-3</v>
      </c>
      <c r="D1458" s="14">
        <f t="shared" ca="1" si="11"/>
        <v>1435.9140000000002</v>
      </c>
      <c r="E1458" s="3"/>
      <c r="F1458" s="3"/>
    </row>
    <row r="1459" spans="1:6" ht="14.25" x14ac:dyDescent="0.2">
      <c r="A1459" s="13">
        <f ca="1">IFERROR(__xludf.DUMMYFUNCTION("""COMPUTED_VALUE"""),45985.6458333333)</f>
        <v>45985.645833333299</v>
      </c>
      <c r="B1459" s="14">
        <f ca="1">IFERROR(__xludf.DUMMYFUNCTION("""COMPUTED_VALUE"""),1535.9)</f>
        <v>1535.9</v>
      </c>
      <c r="C1459" s="15">
        <f t="shared" ca="1" si="10"/>
        <v>-6.9184016552436001E-3</v>
      </c>
      <c r="D1459" s="14">
        <f t="shared" ca="1" si="11"/>
        <v>1439.0920000000001</v>
      </c>
      <c r="E1459" s="3"/>
      <c r="F1459" s="3"/>
    </row>
    <row r="1460" spans="1:6" ht="14.25" x14ac:dyDescent="0.2">
      <c r="A1460" s="13">
        <f ca="1">IFERROR(__xludf.DUMMYFUNCTION("""COMPUTED_VALUE"""),45986.6458333333)</f>
        <v>45986.645833333299</v>
      </c>
      <c r="B1460" s="14">
        <f ca="1">IFERROR(__xludf.DUMMYFUNCTION("""COMPUTED_VALUE"""),1539.7)</f>
        <v>1539.7</v>
      </c>
      <c r="C1460" s="15">
        <f t="shared" ca="1" si="10"/>
        <v>2.4741194088155893E-3</v>
      </c>
      <c r="D1460" s="14">
        <f t="shared" ca="1" si="11"/>
        <v>1442.2200000000003</v>
      </c>
      <c r="E1460" s="3"/>
      <c r="F1460" s="3"/>
    </row>
    <row r="1461" spans="1:6" ht="14.25" x14ac:dyDescent="0.2">
      <c r="A1461" s="13">
        <f ca="1">IFERROR(__xludf.DUMMYFUNCTION("""COMPUTED_VALUE"""),45987.6458333333)</f>
        <v>45987.645833333299</v>
      </c>
      <c r="B1461" s="14">
        <f ca="1">IFERROR(__xludf.DUMMYFUNCTION("""COMPUTED_VALUE"""),1569.9)</f>
        <v>1569.9</v>
      </c>
      <c r="C1461" s="15">
        <f t="shared" ca="1" si="10"/>
        <v>1.9614210560498835E-2</v>
      </c>
      <c r="D1461" s="14">
        <f t="shared" ca="1" si="11"/>
        <v>1445.7180000000001</v>
      </c>
      <c r="E1461" s="3"/>
      <c r="F1461" s="3"/>
    </row>
    <row r="1462" spans="1:6" ht="14.25" x14ac:dyDescent="0.2">
      <c r="A1462" s="13">
        <f ca="1">IFERROR(__xludf.DUMMYFUNCTION("""COMPUTED_VALUE"""),45988.6458333333)</f>
        <v>45988.645833333299</v>
      </c>
      <c r="B1462" s="14">
        <f ca="1">IFERROR(__xludf.DUMMYFUNCTION("""COMPUTED_VALUE"""),1563.4)</f>
        <v>1563.4</v>
      </c>
      <c r="C1462" s="15">
        <f t="shared" ca="1" si="10"/>
        <v>-4.1403911077139144E-3</v>
      </c>
      <c r="D1462" s="14">
        <f t="shared" ca="1" si="11"/>
        <v>1448.9999999999998</v>
      </c>
      <c r="E1462" s="3"/>
      <c r="F1462" s="3"/>
    </row>
    <row r="1463" spans="1:6" ht="14.25" x14ac:dyDescent="0.2">
      <c r="A1463" s="13">
        <f ca="1">IFERROR(__xludf.DUMMYFUNCTION("""COMPUTED_VALUE"""),45989.6458333333)</f>
        <v>45989.645833333299</v>
      </c>
      <c r="B1463" s="14">
        <f ca="1">IFERROR(__xludf.DUMMYFUNCTION("""COMPUTED_VALUE"""),1567.5)</f>
        <v>1567.5</v>
      </c>
      <c r="C1463" s="15">
        <f t="shared" ca="1" si="10"/>
        <v>2.6224894460789017E-3</v>
      </c>
      <c r="D1463" s="14">
        <f t="shared" ca="1" si="11"/>
        <v>1452.2439999999997</v>
      </c>
      <c r="E1463" s="3"/>
      <c r="F1463" s="3"/>
    </row>
    <row r="1464" spans="1:6" ht="14.25" x14ac:dyDescent="0.2">
      <c r="A1464" s="13">
        <f ca="1">IFERROR(__xludf.DUMMYFUNCTION("""COMPUTED_VALUE"""),45992.6458333333)</f>
        <v>45992.645833333299</v>
      </c>
      <c r="B1464" s="14">
        <f ca="1">IFERROR(__xludf.DUMMYFUNCTION("""COMPUTED_VALUE"""),1566.1)</f>
        <v>1566.1</v>
      </c>
      <c r="C1464" s="15">
        <f t="shared" ca="1" si="10"/>
        <v>-8.9314194577361228E-4</v>
      </c>
      <c r="D1464" s="14">
        <f t="shared" ca="1" si="11"/>
        <v>1455.29</v>
      </c>
      <c r="E1464" s="3"/>
      <c r="F1464" s="3"/>
    </row>
    <row r="1465" spans="1:6" ht="14.25" x14ac:dyDescent="0.2">
      <c r="A1465" s="13">
        <f ca="1">IFERROR(__xludf.DUMMYFUNCTION("""COMPUTED_VALUE"""),45993.6458333333)</f>
        <v>45993.645833333299</v>
      </c>
      <c r="B1465" s="14">
        <f ca="1">IFERROR(__xludf.DUMMYFUNCTION("""COMPUTED_VALUE"""),1546.3)</f>
        <v>1546.3</v>
      </c>
      <c r="C1465" s="15">
        <f t="shared" ca="1" si="10"/>
        <v>-1.2642870825617769E-2</v>
      </c>
      <c r="D1465" s="14">
        <f t="shared" ca="1" si="11"/>
        <v>1457.9160000000002</v>
      </c>
      <c r="E1465" s="3"/>
      <c r="F1465" s="3"/>
    </row>
    <row r="1466" spans="1:6" ht="14.25" x14ac:dyDescent="0.2">
      <c r="A1466" s="13">
        <f ca="1">IFERROR(__xludf.DUMMYFUNCTION("""COMPUTED_VALUE"""),45994.6458333333)</f>
        <v>45994.645833333299</v>
      </c>
      <c r="B1466" s="14">
        <f ca="1">IFERROR(__xludf.DUMMYFUNCTION("""COMPUTED_VALUE"""),1538.8)</f>
        <v>1538.8</v>
      </c>
      <c r="C1466" s="15">
        <f t="shared" ca="1" si="10"/>
        <v>-4.8502877837418579E-3</v>
      </c>
      <c r="D1466" s="14">
        <f t="shared" ca="1" si="11"/>
        <v>1460.5440000000003</v>
      </c>
      <c r="E1466" s="3"/>
      <c r="F1466" s="3"/>
    </row>
    <row r="1467" spans="1:6" ht="14.25" x14ac:dyDescent="0.2">
      <c r="A1467" s="13">
        <f ca="1">IFERROR(__xludf.DUMMYFUNCTION("""COMPUTED_VALUE"""),45995.6458333333)</f>
        <v>45995.645833333299</v>
      </c>
      <c r="B1467" s="14">
        <f ca="1">IFERROR(__xludf.DUMMYFUNCTION("""COMPUTED_VALUE"""),1535.6)</f>
        <v>1535.6</v>
      </c>
      <c r="C1467" s="15">
        <f t="shared" ca="1" si="10"/>
        <v>-2.0795425006499002E-3</v>
      </c>
      <c r="D1467" s="14">
        <f t="shared" ca="1" si="11"/>
        <v>1463.4440000000002</v>
      </c>
      <c r="E1467" s="3"/>
      <c r="F1467" s="3"/>
    </row>
    <row r="1468" spans="1:6" ht="14.25" x14ac:dyDescent="0.2">
      <c r="A1468" s="13">
        <f ca="1">IFERROR(__xludf.DUMMYFUNCTION("""COMPUTED_VALUE"""),45996.6458333333)</f>
        <v>45996.645833333299</v>
      </c>
      <c r="B1468" s="14">
        <f ca="1">IFERROR(__xludf.DUMMYFUNCTION("""COMPUTED_VALUE"""),1540.6)</f>
        <v>1540.6</v>
      </c>
      <c r="C1468" s="15">
        <f t="shared" ca="1" si="10"/>
        <v>3.2560562646521962E-3</v>
      </c>
      <c r="D1468" s="14">
        <f t="shared" ca="1" si="11"/>
        <v>1466.4600000000005</v>
      </c>
      <c r="E1468" s="3"/>
      <c r="F1468" s="3"/>
    </row>
    <row r="1469" spans="1:6" ht="14.25" x14ac:dyDescent="0.2">
      <c r="A1469" s="13">
        <f ca="1">IFERROR(__xludf.DUMMYFUNCTION("""COMPUTED_VALUE"""),45999.6458333333)</f>
        <v>45999.645833333299</v>
      </c>
      <c r="B1469" s="14">
        <f ca="1">IFERROR(__xludf.DUMMYFUNCTION("""COMPUTED_VALUE"""),1543)</f>
        <v>1543</v>
      </c>
      <c r="C1469" s="15">
        <f t="shared" ca="1" si="10"/>
        <v>1.557834609892339E-3</v>
      </c>
      <c r="D1469" s="14">
        <f t="shared" ca="1" si="11"/>
        <v>1469.6600000000005</v>
      </c>
      <c r="E1469" s="3"/>
      <c r="F1469" s="3"/>
    </row>
    <row r="1470" spans="1:6" ht="14.25" x14ac:dyDescent="0.2">
      <c r="A1470" s="13">
        <f ca="1">IFERROR(__xludf.DUMMYFUNCTION("""COMPUTED_VALUE"""),46000.6458333333)</f>
        <v>46000.645833333299</v>
      </c>
      <c r="B1470" s="14">
        <f ca="1">IFERROR(__xludf.DUMMYFUNCTION("""COMPUTED_VALUE"""),1529.4)</f>
        <v>1529.4</v>
      </c>
      <c r="C1470" s="15">
        <f t="shared" ca="1" si="10"/>
        <v>-8.8139987038237111E-3</v>
      </c>
      <c r="D1470" s="14">
        <f t="shared" ca="1" si="11"/>
        <v>1472.8000000000002</v>
      </c>
      <c r="E1470" s="3"/>
      <c r="F1470" s="3"/>
    </row>
    <row r="1471" spans="1:6" ht="14.25" x14ac:dyDescent="0.2">
      <c r="A1471" s="13">
        <f ca="1">IFERROR(__xludf.DUMMYFUNCTION("""COMPUTED_VALUE"""),46001.6458333333)</f>
        <v>46001.645833333299</v>
      </c>
      <c r="B1471" s="14">
        <f ca="1">IFERROR(__xludf.DUMMYFUNCTION("""COMPUTED_VALUE"""),1536.9)</f>
        <v>1536.9</v>
      </c>
      <c r="C1471" s="15">
        <f t="shared" ca="1" si="10"/>
        <v>4.903883876029802E-3</v>
      </c>
      <c r="D1471" s="14">
        <f t="shared" ca="1" si="11"/>
        <v>1475.9860000000001</v>
      </c>
      <c r="E1471" s="3"/>
      <c r="F1471" s="3"/>
    </row>
    <row r="1472" spans="1:6" ht="14.25" x14ac:dyDescent="0.2">
      <c r="A1472" s="13">
        <f ca="1">IFERROR(__xludf.DUMMYFUNCTION("""COMPUTED_VALUE"""),46002.6458333333)</f>
        <v>46002.645833333299</v>
      </c>
      <c r="B1472" s="14">
        <f ca="1">IFERROR(__xludf.DUMMYFUNCTION("""COMPUTED_VALUE"""),1545)</f>
        <v>1545</v>
      </c>
      <c r="C1472" s="15">
        <f t="shared" ca="1" si="10"/>
        <v>5.2703494046455468E-3</v>
      </c>
      <c r="D1472" s="14">
        <f t="shared" ca="1" si="11"/>
        <v>1479.4300000000003</v>
      </c>
      <c r="E1472" s="3"/>
      <c r="F1472" s="3"/>
    </row>
    <row r="1473" spans="1:6" ht="14.25" x14ac:dyDescent="0.2">
      <c r="A1473" s="13">
        <f ca="1">IFERROR(__xludf.DUMMYFUNCTION("""COMPUTED_VALUE"""),46003.6458333333)</f>
        <v>46003.645833333299</v>
      </c>
      <c r="B1473" s="14">
        <f ca="1">IFERROR(__xludf.DUMMYFUNCTION("""COMPUTED_VALUE"""),1556.5)</f>
        <v>1556.5</v>
      </c>
      <c r="C1473" s="15">
        <f t="shared" ca="1" si="10"/>
        <v>7.4433656957928473E-3</v>
      </c>
      <c r="D1473" s="14">
        <f t="shared" ca="1" si="11"/>
        <v>1483.28</v>
      </c>
      <c r="E1473" s="3"/>
      <c r="F1473" s="3"/>
    </row>
    <row r="1474" spans="1:6" ht="14.25" x14ac:dyDescent="0.2">
      <c r="A1474" s="13">
        <f ca="1">IFERROR(__xludf.DUMMYFUNCTION("""COMPUTED_VALUE"""),46006.6458333333)</f>
        <v>46006.645833333299</v>
      </c>
      <c r="B1474" s="14">
        <f ca="1">IFERROR(__xludf.DUMMYFUNCTION("""COMPUTED_VALUE"""),1556.2)</f>
        <v>1556.2</v>
      </c>
      <c r="C1474" s="15">
        <f t="shared" ca="1" si="10"/>
        <v>-1.9274012206871305E-4</v>
      </c>
      <c r="D1474" s="14">
        <f t="shared" ca="1" si="11"/>
        <v>1487.03</v>
      </c>
      <c r="E1474" s="3"/>
      <c r="F1474" s="3"/>
    </row>
    <row r="1475" spans="1:6" ht="14.25" x14ac:dyDescent="0.2">
      <c r="A1475" s="13">
        <f ca="1">IFERROR(__xludf.DUMMYFUNCTION("""COMPUTED_VALUE"""),46007.6458333333)</f>
        <v>46007.645833333299</v>
      </c>
      <c r="B1475" s="14">
        <f ca="1">IFERROR(__xludf.DUMMYFUNCTION("""COMPUTED_VALUE"""),1542.3)</f>
        <v>1542.3</v>
      </c>
      <c r="C1475" s="15">
        <f t="shared" ca="1" si="10"/>
        <v>-8.932013879964118E-3</v>
      </c>
      <c r="D1475" s="14">
        <f t="shared" ca="1" si="11"/>
        <v>1490.6080000000002</v>
      </c>
      <c r="E1475" s="3"/>
      <c r="F1475" s="3"/>
    </row>
    <row r="1476" spans="1:6" ht="14.25" x14ac:dyDescent="0.2">
      <c r="A1476" s="13">
        <f ca="1">IFERROR(__xludf.DUMMYFUNCTION("""COMPUTED_VALUE"""),46008.6458333333)</f>
        <v>46008.645833333299</v>
      </c>
      <c r="B1476" s="14">
        <f ca="1">IFERROR(__xludf.DUMMYFUNCTION("""COMPUTED_VALUE"""),1544.4)</f>
        <v>1544.4</v>
      </c>
      <c r="C1476" s="15">
        <f t="shared" ca="1" si="10"/>
        <v>1.3616028010114967E-3</v>
      </c>
      <c r="D1476" s="14">
        <f t="shared" ca="1" si="11"/>
        <v>1493.9960000000001</v>
      </c>
      <c r="E1476" s="3"/>
      <c r="F1476" s="3"/>
    </row>
    <row r="1477" spans="1:6" ht="14.25" x14ac:dyDescent="0.2">
      <c r="A1477" s="13">
        <f ca="1">IFERROR(__xludf.DUMMYFUNCTION("""COMPUTED_VALUE"""),46009.6458333333)</f>
        <v>46009.645833333299</v>
      </c>
      <c r="B1477" s="14">
        <f ca="1">IFERROR(__xludf.DUMMYFUNCTION("""COMPUTED_VALUE"""),1544.4)</f>
        <v>1544.4</v>
      </c>
      <c r="C1477" s="15">
        <f t="shared" ca="1" si="10"/>
        <v>0</v>
      </c>
      <c r="D1477" s="14">
        <f t="shared" ca="1" si="11"/>
        <v>1497.1879999999999</v>
      </c>
      <c r="E1477" s="3"/>
      <c r="F1477" s="3"/>
    </row>
    <row r="1478" spans="1:6" ht="14.25" x14ac:dyDescent="0.2">
      <c r="A1478" s="13">
        <f ca="1">IFERROR(__xludf.DUMMYFUNCTION("""COMPUTED_VALUE"""),46010.6458333333)</f>
        <v>46010.645833333299</v>
      </c>
      <c r="B1478" s="14">
        <f ca="1">IFERROR(__xludf.DUMMYFUNCTION("""COMPUTED_VALUE"""),1565.1)</f>
        <v>1565.1</v>
      </c>
      <c r="C1478" s="15">
        <f t="shared" ca="1" si="10"/>
        <v>1.3403263403263255E-2</v>
      </c>
      <c r="D1478" s="14">
        <f t="shared" ca="1" si="11"/>
        <v>1501.1420000000001</v>
      </c>
      <c r="E1478" s="3"/>
      <c r="F1478" s="3"/>
    </row>
    <row r="1479" spans="1:6" ht="14.25" x14ac:dyDescent="0.2">
      <c r="A1479" s="13">
        <f ca="1">IFERROR(__xludf.DUMMYFUNCTION("""COMPUTED_VALUE"""),46013.6458333333)</f>
        <v>46013.645833333299</v>
      </c>
      <c r="B1479" s="14">
        <f ca="1">IFERROR(__xludf.DUMMYFUNCTION("""COMPUTED_VALUE"""),1575.4)</f>
        <v>1575.4</v>
      </c>
      <c r="C1479" s="15">
        <f t="shared" ca="1" si="10"/>
        <v>6.5810491342408461E-3</v>
      </c>
      <c r="D1479" s="14">
        <f t="shared" ca="1" si="11"/>
        <v>1505.0940000000001</v>
      </c>
      <c r="E1479" s="3"/>
      <c r="F1479" s="3"/>
    </row>
    <row r="1480" spans="1:6" ht="14.25" x14ac:dyDescent="0.2">
      <c r="A1480" s="13">
        <f ca="1">IFERROR(__xludf.DUMMYFUNCTION("""COMPUTED_VALUE"""),46014.6458333333)</f>
        <v>46014.645833333299</v>
      </c>
      <c r="B1480" s="14">
        <f ca="1">IFERROR(__xludf.DUMMYFUNCTION("""COMPUTED_VALUE"""),1570.7)</f>
        <v>1570.7</v>
      </c>
      <c r="C1480" s="15">
        <f t="shared" ca="1" si="10"/>
        <v>-2.9833693030342223E-3</v>
      </c>
      <c r="D1480" s="14">
        <f t="shared" ca="1" si="11"/>
        <v>1508.874</v>
      </c>
      <c r="E1480" s="3"/>
      <c r="F1480" s="3"/>
    </row>
    <row r="1481" spans="1:6" ht="14.25" x14ac:dyDescent="0.2">
      <c r="A1481" s="13">
        <f ca="1">IFERROR(__xludf.DUMMYFUNCTION("""COMPUTED_VALUE"""),46015.6458333333)</f>
        <v>46015.645833333299</v>
      </c>
      <c r="B1481" s="14">
        <f ca="1">IFERROR(__xludf.DUMMYFUNCTION("""COMPUTED_VALUE"""),1558.2)</f>
        <v>1558.2</v>
      </c>
      <c r="C1481" s="15">
        <f t="shared" ca="1" si="10"/>
        <v>-7.9582351817660824E-3</v>
      </c>
      <c r="D1481" s="14">
        <f t="shared" ca="1" si="11"/>
        <v>1512.5379999999998</v>
      </c>
      <c r="E1481" s="3"/>
      <c r="F1481" s="3"/>
    </row>
    <row r="1482" spans="1:6" ht="14.25" x14ac:dyDescent="0.2">
      <c r="A1482" s="13">
        <f ca="1">IFERROR(__xludf.DUMMYFUNCTION("""COMPUTED_VALUE"""),46017.6458333333)</f>
        <v>46017.645833333299</v>
      </c>
      <c r="B1482" s="14">
        <f ca="1">IFERROR(__xludf.DUMMYFUNCTION("""COMPUTED_VALUE"""),1559.2)</f>
        <v>1559.2</v>
      </c>
      <c r="C1482" s="15">
        <f t="shared" ca="1" si="10"/>
        <v>6.4176614041833169E-4</v>
      </c>
      <c r="D1482" s="14">
        <f t="shared" ca="1" si="11"/>
        <v>1516.2039999999997</v>
      </c>
      <c r="E1482" s="3"/>
      <c r="F1482" s="3"/>
    </row>
    <row r="1483" spans="1:6" ht="14.25" x14ac:dyDescent="0.2">
      <c r="A1483" s="13">
        <f ca="1">IFERROR(__xludf.DUMMYFUNCTION("""COMPUTED_VALUE"""),46020.6458333333)</f>
        <v>46020.645833333299</v>
      </c>
      <c r="B1483" s="14">
        <f ca="1">IFERROR(__xludf.DUMMYFUNCTION("""COMPUTED_VALUE"""),1545.6)</f>
        <v>1545.6</v>
      </c>
      <c r="C1483" s="15">
        <f t="shared" ca="1" si="10"/>
        <v>-8.7224217547461347E-3</v>
      </c>
      <c r="D1483" s="14">
        <f t="shared" ca="1" si="11"/>
        <v>1519.63</v>
      </c>
      <c r="E1483" s="3"/>
      <c r="F1483" s="3"/>
    </row>
    <row r="1484" spans="1:6" ht="14.25" x14ac:dyDescent="0.2">
      <c r="A1484" s="13">
        <f ca="1">IFERROR(__xludf.DUMMYFUNCTION("""COMPUTED_VALUE"""),46021.6458333333)</f>
        <v>46021.645833333299</v>
      </c>
      <c r="B1484" s="14">
        <f ca="1">IFERROR(__xludf.DUMMYFUNCTION("""COMPUTED_VALUE"""),1539.8)</f>
        <v>1539.8</v>
      </c>
      <c r="C1484" s="15">
        <f t="shared" ca="1" si="10"/>
        <v>-3.7525879917184035E-3</v>
      </c>
      <c r="D1484" s="14">
        <f t="shared" ca="1" si="11"/>
        <v>1522.4600000000003</v>
      </c>
      <c r="E1484" s="3"/>
      <c r="F1484" s="3"/>
    </row>
    <row r="1485" spans="1:6" ht="14.25" x14ac:dyDescent="0.2">
      <c r="A1485" s="13">
        <f ca="1">IFERROR(__xludf.DUMMYFUNCTION("""COMPUTED_VALUE"""),46022.6458333333)</f>
        <v>46022.645833333299</v>
      </c>
      <c r="B1485" s="14">
        <f ca="1">IFERROR(__xludf.DUMMYFUNCTION("""COMPUTED_VALUE"""),1570.4)</f>
        <v>1570.4</v>
      </c>
      <c r="C1485" s="15">
        <f t="shared" ca="1" si="10"/>
        <v>1.9872710741654753E-2</v>
      </c>
      <c r="D1485" s="14">
        <f t="shared" ca="1" si="11"/>
        <v>1525.5320000000002</v>
      </c>
      <c r="E1485" s="3"/>
      <c r="F1485" s="3"/>
    </row>
    <row r="1486" spans="1:6" ht="12.75" x14ac:dyDescent="0.2">
      <c r="C1486" s="6"/>
    </row>
    <row r="1487" spans="1:6" ht="12.75" x14ac:dyDescent="0.2">
      <c r="C1487" s="6"/>
    </row>
    <row r="1488" spans="1:6" ht="12.75" x14ac:dyDescent="0.2">
      <c r="C1488" s="6"/>
    </row>
    <row r="1489" spans="3:3" ht="12.75" x14ac:dyDescent="0.2">
      <c r="C1489" s="6"/>
    </row>
    <row r="1490" spans="3:3" ht="12.75" x14ac:dyDescent="0.2">
      <c r="C1490" s="6"/>
    </row>
    <row r="1491" spans="3:3" ht="12.75" x14ac:dyDescent="0.2">
      <c r="C1491" s="6"/>
    </row>
    <row r="1492" spans="3:3" ht="12.75" x14ac:dyDescent="0.2">
      <c r="C1492" s="6"/>
    </row>
    <row r="1493" spans="3:3" ht="12.75" x14ac:dyDescent="0.2">
      <c r="C1493" s="6"/>
    </row>
    <row r="1494" spans="3:3" ht="12.75" x14ac:dyDescent="0.2">
      <c r="C1494" s="6"/>
    </row>
    <row r="1495" spans="3:3" ht="12.75" x14ac:dyDescent="0.2">
      <c r="C1495" s="6"/>
    </row>
    <row r="1496" spans="3:3" ht="12.75" x14ac:dyDescent="0.2">
      <c r="C1496" s="6"/>
    </row>
    <row r="1497" spans="3:3" ht="12.75" x14ac:dyDescent="0.2">
      <c r="C1497" s="6"/>
    </row>
    <row r="1498" spans="3:3" ht="12.75" x14ac:dyDescent="0.2">
      <c r="C1498" s="6"/>
    </row>
    <row r="1499" spans="3:3" ht="12.75" x14ac:dyDescent="0.2">
      <c r="C1499" s="6"/>
    </row>
    <row r="1500" spans="3:3" ht="12.75" x14ac:dyDescent="0.2">
      <c r="C1500" s="6"/>
    </row>
    <row r="1501" spans="3:3" ht="12.75" x14ac:dyDescent="0.2">
      <c r="C1501" s="6"/>
    </row>
    <row r="1502" spans="3:3" ht="12.75" x14ac:dyDescent="0.2">
      <c r="C1502" s="6"/>
    </row>
    <row r="1503" spans="3:3" ht="12.75" x14ac:dyDescent="0.2">
      <c r="C1503" s="6"/>
    </row>
    <row r="1504" spans="3:3" ht="12.75" x14ac:dyDescent="0.2">
      <c r="C1504" s="6"/>
    </row>
    <row r="1505" spans="3:3" ht="12.75" x14ac:dyDescent="0.2">
      <c r="C1505" s="6"/>
    </row>
    <row r="1506" spans="3:3" ht="12.75" x14ac:dyDescent="0.2">
      <c r="C1506" s="6"/>
    </row>
    <row r="1507" spans="3:3" ht="12.75" x14ac:dyDescent="0.2">
      <c r="C1507" s="6"/>
    </row>
    <row r="1508" spans="3:3" ht="12.75" x14ac:dyDescent="0.2">
      <c r="C1508" s="6"/>
    </row>
    <row r="1509" spans="3:3" ht="12.75" x14ac:dyDescent="0.2">
      <c r="C1509" s="6"/>
    </row>
    <row r="1510" spans="3:3" ht="12.75" x14ac:dyDescent="0.2">
      <c r="C1510" s="6"/>
    </row>
    <row r="1511" spans="3:3" ht="12.75" x14ac:dyDescent="0.2">
      <c r="C1511" s="6"/>
    </row>
    <row r="1512" spans="3:3" ht="12.75" x14ac:dyDescent="0.2">
      <c r="C1512" s="6"/>
    </row>
    <row r="1513" spans="3:3" ht="12.75" x14ac:dyDescent="0.2">
      <c r="C1513" s="6"/>
    </row>
    <row r="1514" spans="3:3" ht="12.75" x14ac:dyDescent="0.2">
      <c r="C1514" s="6"/>
    </row>
    <row r="1515" spans="3:3" ht="12.75" x14ac:dyDescent="0.2">
      <c r="C1515" s="6"/>
    </row>
    <row r="1516" spans="3:3" ht="12.75" x14ac:dyDescent="0.2">
      <c r="C1516" s="6"/>
    </row>
    <row r="1517" spans="3:3" ht="12.75" x14ac:dyDescent="0.2">
      <c r="C1517" s="6"/>
    </row>
    <row r="1518" spans="3:3" ht="12.75" x14ac:dyDescent="0.2">
      <c r="C1518" s="6"/>
    </row>
    <row r="1519" spans="3:3" ht="12.75" x14ac:dyDescent="0.2">
      <c r="C1519" s="6"/>
    </row>
    <row r="1520" spans="3:3" ht="12.75" x14ac:dyDescent="0.2">
      <c r="C1520" s="6"/>
    </row>
    <row r="1521" spans="3:3" ht="12.75" x14ac:dyDescent="0.2">
      <c r="C1521" s="6"/>
    </row>
    <row r="1522" spans="3:3" ht="12.75" x14ac:dyDescent="0.2">
      <c r="C1522" s="6"/>
    </row>
    <row r="1523" spans="3:3" ht="12.75" x14ac:dyDescent="0.2">
      <c r="C1523" s="6"/>
    </row>
    <row r="1524" spans="3:3" ht="12.75" x14ac:dyDescent="0.2">
      <c r="C1524" s="6"/>
    </row>
    <row r="1525" spans="3:3" ht="12.75" x14ac:dyDescent="0.2">
      <c r="C1525" s="6"/>
    </row>
    <row r="1526" spans="3:3" ht="12.75" x14ac:dyDescent="0.2">
      <c r="C1526" s="6"/>
    </row>
    <row r="1527" spans="3:3" ht="12.75" x14ac:dyDescent="0.2">
      <c r="C1527" s="6"/>
    </row>
    <row r="1528" spans="3:3" ht="12.75" x14ac:dyDescent="0.2">
      <c r="C1528" s="6"/>
    </row>
    <row r="1529" spans="3:3" ht="12.75" x14ac:dyDescent="0.2">
      <c r="C1529" s="6"/>
    </row>
    <row r="1530" spans="3:3" ht="12.75" x14ac:dyDescent="0.2">
      <c r="C1530" s="6"/>
    </row>
    <row r="1531" spans="3:3" ht="12.75" x14ac:dyDescent="0.2">
      <c r="C1531" s="6"/>
    </row>
    <row r="1532" spans="3:3" ht="12.75" x14ac:dyDescent="0.2">
      <c r="C1532" s="6"/>
    </row>
    <row r="1533" spans="3:3" ht="12.75" x14ac:dyDescent="0.2">
      <c r="C1533" s="6"/>
    </row>
    <row r="1534" spans="3:3" ht="12.75" x14ac:dyDescent="0.2">
      <c r="C1534" s="6"/>
    </row>
    <row r="1535" spans="3:3" ht="12.75" x14ac:dyDescent="0.2">
      <c r="C1535" s="6"/>
    </row>
    <row r="1536" spans="3:3" ht="12.75" x14ac:dyDescent="0.2">
      <c r="C1536" s="6"/>
    </row>
    <row r="1537" spans="3:3" ht="12.75" x14ac:dyDescent="0.2">
      <c r="C1537" s="6"/>
    </row>
    <row r="1538" spans="3:3" ht="12.75" x14ac:dyDescent="0.2">
      <c r="C1538" s="6"/>
    </row>
    <row r="1539" spans="3:3" ht="12.75" x14ac:dyDescent="0.2">
      <c r="C1539" s="6"/>
    </row>
    <row r="1540" spans="3:3" ht="12.75" x14ac:dyDescent="0.2">
      <c r="C1540" s="6"/>
    </row>
    <row r="1541" spans="3:3" ht="12.75" x14ac:dyDescent="0.2">
      <c r="C1541" s="6"/>
    </row>
    <row r="1542" spans="3:3" ht="12.75" x14ac:dyDescent="0.2">
      <c r="C1542" s="6"/>
    </row>
    <row r="1543" spans="3:3" ht="12.75" x14ac:dyDescent="0.2">
      <c r="C1543" s="6"/>
    </row>
    <row r="1544" spans="3:3" ht="12.75" x14ac:dyDescent="0.2">
      <c r="C1544" s="6"/>
    </row>
    <row r="1545" spans="3:3" ht="12.75" x14ac:dyDescent="0.2">
      <c r="C1545" s="6"/>
    </row>
    <row r="1546" spans="3:3" ht="12.75" x14ac:dyDescent="0.2">
      <c r="C1546" s="6"/>
    </row>
    <row r="1547" spans="3:3" ht="12.75" x14ac:dyDescent="0.2">
      <c r="C1547" s="6"/>
    </row>
    <row r="1548" spans="3:3" ht="12.75" x14ac:dyDescent="0.2">
      <c r="C1548" s="6"/>
    </row>
    <row r="1549" spans="3:3" ht="12.75" x14ac:dyDescent="0.2">
      <c r="C1549" s="6"/>
    </row>
    <row r="1550" spans="3:3" ht="12.75" x14ac:dyDescent="0.2">
      <c r="C1550" s="6"/>
    </row>
    <row r="1551" spans="3:3" ht="12.75" x14ac:dyDescent="0.2">
      <c r="C1551" s="6"/>
    </row>
    <row r="1552" spans="3:3" ht="12.75" x14ac:dyDescent="0.2">
      <c r="C1552" s="6"/>
    </row>
    <row r="1553" spans="3:3" ht="12.75" x14ac:dyDescent="0.2">
      <c r="C1553" s="6"/>
    </row>
    <row r="1554" spans="3:3" ht="12.75" x14ac:dyDescent="0.2">
      <c r="C1554" s="6"/>
    </row>
    <row r="1555" spans="3:3" ht="12.75" x14ac:dyDescent="0.2">
      <c r="C1555" s="6"/>
    </row>
    <row r="1556" spans="3:3" ht="12.75" x14ac:dyDescent="0.2">
      <c r="C1556" s="6"/>
    </row>
    <row r="1557" spans="3:3" ht="12.75" x14ac:dyDescent="0.2">
      <c r="C1557" s="6"/>
    </row>
    <row r="1558" spans="3:3" ht="12.75" x14ac:dyDescent="0.2">
      <c r="C1558" s="6"/>
    </row>
    <row r="1559" spans="3:3" ht="12.75" x14ac:dyDescent="0.2">
      <c r="C1559" s="6"/>
    </row>
    <row r="1560" spans="3:3" ht="12.75" x14ac:dyDescent="0.2">
      <c r="C1560" s="6"/>
    </row>
    <row r="1561" spans="3:3" ht="12.75" x14ac:dyDescent="0.2">
      <c r="C1561" s="6"/>
    </row>
    <row r="1562" spans="3:3" ht="12.75" x14ac:dyDescent="0.2">
      <c r="C1562" s="6"/>
    </row>
    <row r="1563" spans="3:3" ht="12.75" x14ac:dyDescent="0.2">
      <c r="C1563" s="6"/>
    </row>
    <row r="1564" spans="3:3" ht="12.75" x14ac:dyDescent="0.2">
      <c r="C1564" s="6"/>
    </row>
    <row r="1565" spans="3:3" ht="12.75" x14ac:dyDescent="0.2">
      <c r="C1565" s="6"/>
    </row>
    <row r="1566" spans="3:3" ht="12.75" x14ac:dyDescent="0.2">
      <c r="C1566" s="6"/>
    </row>
    <row r="1567" spans="3:3" ht="12.75" x14ac:dyDescent="0.2">
      <c r="C1567" s="6"/>
    </row>
    <row r="1568" spans="3:3" ht="12.75" x14ac:dyDescent="0.2">
      <c r="C1568" s="6"/>
    </row>
    <row r="1569" spans="3:3" ht="12.75" x14ac:dyDescent="0.2">
      <c r="C1569" s="6"/>
    </row>
    <row r="1570" spans="3:3" ht="12.75" x14ac:dyDescent="0.2">
      <c r="C1570" s="6"/>
    </row>
    <row r="1571" spans="3:3" ht="12.75" x14ac:dyDescent="0.2">
      <c r="C1571" s="6"/>
    </row>
    <row r="1572" spans="3:3" ht="12.75" x14ac:dyDescent="0.2">
      <c r="C1572" s="6"/>
    </row>
    <row r="1573" spans="3:3" ht="12.75" x14ac:dyDescent="0.2">
      <c r="C1573" s="6"/>
    </row>
    <row r="1574" spans="3:3" ht="12.75" x14ac:dyDescent="0.2">
      <c r="C1574" s="6"/>
    </row>
    <row r="1575" spans="3:3" ht="12.75" x14ac:dyDescent="0.2">
      <c r="C1575" s="6"/>
    </row>
    <row r="1576" spans="3:3" ht="12.75" x14ac:dyDescent="0.2">
      <c r="C1576" s="6"/>
    </row>
    <row r="1577" spans="3:3" ht="12.75" x14ac:dyDescent="0.2">
      <c r="C1577" s="6"/>
    </row>
    <row r="1578" spans="3:3" ht="12.75" x14ac:dyDescent="0.2">
      <c r="C1578" s="6"/>
    </row>
    <row r="1579" spans="3:3" ht="12.75" x14ac:dyDescent="0.2">
      <c r="C1579" s="6"/>
    </row>
    <row r="1580" spans="3:3" ht="12.75" x14ac:dyDescent="0.2">
      <c r="C1580" s="6"/>
    </row>
    <row r="1581" spans="3:3" ht="12.75" x14ac:dyDescent="0.2">
      <c r="C1581" s="6"/>
    </row>
    <row r="1582" spans="3:3" ht="12.75" x14ac:dyDescent="0.2">
      <c r="C1582" s="6"/>
    </row>
    <row r="1583" spans="3:3" ht="12.75" x14ac:dyDescent="0.2">
      <c r="C1583" s="6"/>
    </row>
    <row r="1584" spans="3:3" ht="12.75" x14ac:dyDescent="0.2">
      <c r="C1584" s="6"/>
    </row>
    <row r="1585" spans="3:3" ht="12.75" x14ac:dyDescent="0.2">
      <c r="C1585" s="6"/>
    </row>
    <row r="1586" spans="3:3" ht="12.75" x14ac:dyDescent="0.2">
      <c r="C1586" s="6"/>
    </row>
    <row r="1587" spans="3:3" ht="12.75" x14ac:dyDescent="0.2">
      <c r="C1587" s="6"/>
    </row>
    <row r="1588" spans="3:3" ht="12.75" x14ac:dyDescent="0.2">
      <c r="C1588" s="6"/>
    </row>
    <row r="1589" spans="3:3" ht="12.75" x14ac:dyDescent="0.2">
      <c r="C1589" s="6"/>
    </row>
    <row r="1590" spans="3:3" ht="12.75" x14ac:dyDescent="0.2">
      <c r="C1590" s="6"/>
    </row>
    <row r="1591" spans="3:3" ht="12.75" x14ac:dyDescent="0.2">
      <c r="C1591" s="6"/>
    </row>
    <row r="1592" spans="3:3" ht="12.75" x14ac:dyDescent="0.2">
      <c r="C1592" s="6"/>
    </row>
    <row r="1593" spans="3:3" ht="12.75" x14ac:dyDescent="0.2">
      <c r="C1593" s="6"/>
    </row>
    <row r="1594" spans="3:3" ht="12.75" x14ac:dyDescent="0.2">
      <c r="C1594" s="6"/>
    </row>
    <row r="1595" spans="3:3" ht="12.75" x14ac:dyDescent="0.2">
      <c r="C1595" s="6"/>
    </row>
    <row r="1596" spans="3:3" ht="12.75" x14ac:dyDescent="0.2">
      <c r="C1596" s="6"/>
    </row>
    <row r="1597" spans="3:3" ht="12.75" x14ac:dyDescent="0.2">
      <c r="C1597" s="6"/>
    </row>
    <row r="1598" spans="3:3" ht="12.75" x14ac:dyDescent="0.2">
      <c r="C1598" s="6"/>
    </row>
    <row r="1599" spans="3:3" ht="12.75" x14ac:dyDescent="0.2">
      <c r="C1599" s="6"/>
    </row>
    <row r="1600" spans="3:3" ht="12.75" x14ac:dyDescent="0.2">
      <c r="C1600" s="6"/>
    </row>
    <row r="1601" spans="3:3" ht="12.75" x14ac:dyDescent="0.2">
      <c r="C1601" s="6"/>
    </row>
    <row r="1602" spans="3:3" ht="12.75" x14ac:dyDescent="0.2">
      <c r="C1602" s="6"/>
    </row>
    <row r="1603" spans="3:3" ht="12.75" x14ac:dyDescent="0.2">
      <c r="C1603" s="6"/>
    </row>
    <row r="1604" spans="3:3" ht="12.75" x14ac:dyDescent="0.2">
      <c r="C1604" s="6"/>
    </row>
    <row r="1605" spans="3:3" ht="12.75" x14ac:dyDescent="0.2">
      <c r="C1605" s="6"/>
    </row>
    <row r="1606" spans="3:3" ht="12.75" x14ac:dyDescent="0.2">
      <c r="C1606" s="6"/>
    </row>
    <row r="1607" spans="3:3" ht="12.75" x14ac:dyDescent="0.2">
      <c r="C1607" s="6"/>
    </row>
    <row r="1608" spans="3:3" ht="12.75" x14ac:dyDescent="0.2">
      <c r="C1608" s="6"/>
    </row>
    <row r="1609" spans="3:3" ht="12.75" x14ac:dyDescent="0.2">
      <c r="C1609" s="6"/>
    </row>
    <row r="1610" spans="3:3" ht="12.75" x14ac:dyDescent="0.2">
      <c r="C1610" s="6"/>
    </row>
    <row r="1611" spans="3:3" ht="12.75" x14ac:dyDescent="0.2">
      <c r="C1611" s="6"/>
    </row>
    <row r="1612" spans="3:3" ht="12.75" x14ac:dyDescent="0.2">
      <c r="C1612" s="6"/>
    </row>
    <row r="1613" spans="3:3" ht="12.75" x14ac:dyDescent="0.2">
      <c r="C1613" s="6"/>
    </row>
    <row r="1614" spans="3:3" ht="12.75" x14ac:dyDescent="0.2">
      <c r="C1614" s="6"/>
    </row>
    <row r="1615" spans="3:3" ht="12.75" x14ac:dyDescent="0.2">
      <c r="C1615" s="6"/>
    </row>
    <row r="1616" spans="3:3" ht="12.75" x14ac:dyDescent="0.2">
      <c r="C1616" s="6"/>
    </row>
    <row r="1617" spans="3:3" ht="12.75" x14ac:dyDescent="0.2">
      <c r="C1617" s="6"/>
    </row>
    <row r="1618" spans="3:3" ht="12.75" x14ac:dyDescent="0.2">
      <c r="C1618" s="6"/>
    </row>
    <row r="1619" spans="3:3" ht="12.75" x14ac:dyDescent="0.2">
      <c r="C1619" s="6"/>
    </row>
    <row r="1620" spans="3:3" ht="12.75" x14ac:dyDescent="0.2">
      <c r="C1620" s="6"/>
    </row>
    <row r="1621" spans="3:3" ht="12.75" x14ac:dyDescent="0.2">
      <c r="C1621" s="6"/>
    </row>
    <row r="1622" spans="3:3" ht="12.75" x14ac:dyDescent="0.2">
      <c r="C1622" s="6"/>
    </row>
    <row r="1623" spans="3:3" ht="12.75" x14ac:dyDescent="0.2">
      <c r="C1623" s="6"/>
    </row>
    <row r="1624" spans="3:3" ht="12.75" x14ac:dyDescent="0.2">
      <c r="C1624" s="6"/>
    </row>
    <row r="1625" spans="3:3" ht="12.75" x14ac:dyDescent="0.2">
      <c r="C1625" s="6"/>
    </row>
    <row r="1626" spans="3:3" ht="12.75" x14ac:dyDescent="0.2">
      <c r="C1626" s="6"/>
    </row>
    <row r="1627" spans="3:3" ht="12.75" x14ac:dyDescent="0.2">
      <c r="C1627" s="6"/>
    </row>
    <row r="1628" spans="3:3" ht="12.75" x14ac:dyDescent="0.2">
      <c r="C1628" s="6"/>
    </row>
    <row r="1629" spans="3:3" ht="12.75" x14ac:dyDescent="0.2">
      <c r="C1629" s="6"/>
    </row>
    <row r="1630" spans="3:3" ht="12.75" x14ac:dyDescent="0.2">
      <c r="C1630" s="6"/>
    </row>
    <row r="1631" spans="3:3" ht="12.75" x14ac:dyDescent="0.2">
      <c r="C1631" s="6"/>
    </row>
    <row r="1632" spans="3:3" ht="12.75" x14ac:dyDescent="0.2">
      <c r="C1632" s="6"/>
    </row>
    <row r="1633" spans="3:3" ht="12.75" x14ac:dyDescent="0.2">
      <c r="C1633" s="6"/>
    </row>
    <row r="1634" spans="3:3" ht="12.75" x14ac:dyDescent="0.2">
      <c r="C1634" s="6"/>
    </row>
    <row r="1635" spans="3:3" ht="12.75" x14ac:dyDescent="0.2">
      <c r="C1635" s="6"/>
    </row>
    <row r="1636" spans="3:3" ht="12.75" x14ac:dyDescent="0.2">
      <c r="C1636" s="6"/>
    </row>
    <row r="1637" spans="3:3" ht="12.75" x14ac:dyDescent="0.2">
      <c r="C1637" s="6"/>
    </row>
    <row r="1638" spans="3:3" ht="12.75" x14ac:dyDescent="0.2">
      <c r="C1638" s="6"/>
    </row>
    <row r="1639" spans="3:3" ht="12.75" x14ac:dyDescent="0.2">
      <c r="C1639" s="6"/>
    </row>
    <row r="1640" spans="3:3" ht="12.75" x14ac:dyDescent="0.2">
      <c r="C1640" s="6"/>
    </row>
    <row r="1641" spans="3:3" ht="12.75" x14ac:dyDescent="0.2">
      <c r="C1641" s="6"/>
    </row>
    <row r="1642" spans="3:3" ht="12.75" x14ac:dyDescent="0.2">
      <c r="C1642" s="6"/>
    </row>
    <row r="1643" spans="3:3" ht="12.75" x14ac:dyDescent="0.2">
      <c r="C1643" s="6"/>
    </row>
    <row r="1644" spans="3:3" ht="12.75" x14ac:dyDescent="0.2">
      <c r="C1644" s="6"/>
    </row>
    <row r="1645" spans="3:3" ht="12.75" x14ac:dyDescent="0.2">
      <c r="C1645" s="6"/>
    </row>
    <row r="1646" spans="3:3" ht="12.75" x14ac:dyDescent="0.2">
      <c r="C1646" s="6"/>
    </row>
    <row r="1647" spans="3:3" ht="12.75" x14ac:dyDescent="0.2">
      <c r="C1647" s="6"/>
    </row>
    <row r="1648" spans="3:3" ht="12.75" x14ac:dyDescent="0.2">
      <c r="C1648" s="6"/>
    </row>
    <row r="1649" spans="3:3" ht="12.75" x14ac:dyDescent="0.2">
      <c r="C1649" s="6"/>
    </row>
    <row r="1650" spans="3:3" ht="12.75" x14ac:dyDescent="0.2">
      <c r="C1650" s="6"/>
    </row>
    <row r="1651" spans="3:3" ht="12.75" x14ac:dyDescent="0.2">
      <c r="C1651" s="6"/>
    </row>
    <row r="1652" spans="3:3" ht="12.75" x14ac:dyDescent="0.2">
      <c r="C1652" s="6"/>
    </row>
    <row r="1653" spans="3:3" ht="12.75" x14ac:dyDescent="0.2">
      <c r="C1653" s="6"/>
    </row>
    <row r="1654" spans="3:3" ht="12.75" x14ac:dyDescent="0.2">
      <c r="C1654" s="6"/>
    </row>
    <row r="1655" spans="3:3" ht="12.75" x14ac:dyDescent="0.2">
      <c r="C1655" s="6"/>
    </row>
    <row r="1656" spans="3:3" ht="12.75" x14ac:dyDescent="0.2">
      <c r="C1656" s="6"/>
    </row>
    <row r="1657" spans="3:3" ht="12.75" x14ac:dyDescent="0.2">
      <c r="C1657" s="6"/>
    </row>
    <row r="1658" spans="3:3" ht="12.75" x14ac:dyDescent="0.2">
      <c r="C1658" s="6"/>
    </row>
    <row r="1659" spans="3:3" ht="12.75" x14ac:dyDescent="0.2">
      <c r="C1659" s="6"/>
    </row>
    <row r="1660" spans="3:3" ht="12.75" x14ac:dyDescent="0.2">
      <c r="C1660" s="6"/>
    </row>
    <row r="1661" spans="3:3" ht="12.75" x14ac:dyDescent="0.2">
      <c r="C1661" s="6"/>
    </row>
    <row r="1662" spans="3:3" ht="12.75" x14ac:dyDescent="0.2">
      <c r="C1662" s="6"/>
    </row>
    <row r="1663" spans="3:3" ht="12.75" x14ac:dyDescent="0.2">
      <c r="C1663" s="6"/>
    </row>
    <row r="1664" spans="3:3" ht="12.75" x14ac:dyDescent="0.2">
      <c r="C1664" s="6"/>
    </row>
    <row r="1665" spans="3:3" ht="12.75" x14ac:dyDescent="0.2">
      <c r="C1665" s="6"/>
    </row>
    <row r="1666" spans="3:3" ht="12.75" x14ac:dyDescent="0.2">
      <c r="C1666" s="6"/>
    </row>
    <row r="1667" spans="3:3" ht="12.75" x14ac:dyDescent="0.2">
      <c r="C1667" s="6"/>
    </row>
    <row r="1668" spans="3:3" ht="12.75" x14ac:dyDescent="0.2">
      <c r="C1668" s="6"/>
    </row>
    <row r="1669" spans="3:3" ht="12.75" x14ac:dyDescent="0.2">
      <c r="C1669" s="6"/>
    </row>
    <row r="1670" spans="3:3" ht="12.75" x14ac:dyDescent="0.2">
      <c r="C1670" s="6"/>
    </row>
    <row r="1671" spans="3:3" ht="12.75" x14ac:dyDescent="0.2">
      <c r="C1671" s="6"/>
    </row>
    <row r="1672" spans="3:3" ht="12.75" x14ac:dyDescent="0.2">
      <c r="C1672" s="6"/>
    </row>
    <row r="1673" spans="3:3" ht="12.75" x14ac:dyDescent="0.2">
      <c r="C1673" s="6"/>
    </row>
    <row r="1674" spans="3:3" ht="12.75" x14ac:dyDescent="0.2">
      <c r="C1674" s="6"/>
    </row>
    <row r="1675" spans="3:3" ht="12.75" x14ac:dyDescent="0.2">
      <c r="C1675" s="6"/>
    </row>
    <row r="1676" spans="3:3" ht="12.75" x14ac:dyDescent="0.2">
      <c r="C1676" s="6"/>
    </row>
    <row r="1677" spans="3:3" ht="12.75" x14ac:dyDescent="0.2">
      <c r="C1677" s="6"/>
    </row>
    <row r="1678" spans="3:3" ht="12.75" x14ac:dyDescent="0.2">
      <c r="C1678" s="6"/>
    </row>
    <row r="1679" spans="3:3" ht="12.75" x14ac:dyDescent="0.2">
      <c r="C1679" s="6"/>
    </row>
    <row r="1680" spans="3:3" ht="12.75" x14ac:dyDescent="0.2">
      <c r="C1680" s="6"/>
    </row>
    <row r="1681" spans="3:3" ht="12.75" x14ac:dyDescent="0.2">
      <c r="C1681" s="6"/>
    </row>
    <row r="1682" spans="3:3" ht="12.75" x14ac:dyDescent="0.2">
      <c r="C1682" s="6"/>
    </row>
    <row r="1683" spans="3:3" ht="12.75" x14ac:dyDescent="0.2">
      <c r="C1683" s="6"/>
    </row>
    <row r="1684" spans="3:3" ht="12.75" x14ac:dyDescent="0.2">
      <c r="C1684" s="6"/>
    </row>
    <row r="1685" spans="3:3" ht="12.75" x14ac:dyDescent="0.2">
      <c r="C1685" s="6"/>
    </row>
    <row r="1686" spans="3:3" ht="12.75" x14ac:dyDescent="0.2">
      <c r="C1686" s="6"/>
    </row>
    <row r="1687" spans="3:3" ht="12.75" x14ac:dyDescent="0.2">
      <c r="C1687" s="6"/>
    </row>
    <row r="1688" spans="3:3" ht="12.75" x14ac:dyDescent="0.2">
      <c r="C1688" s="6"/>
    </row>
    <row r="1689" spans="3:3" ht="12.75" x14ac:dyDescent="0.2">
      <c r="C1689" s="6"/>
    </row>
    <row r="1690" spans="3:3" ht="12.75" x14ac:dyDescent="0.2">
      <c r="C1690" s="6"/>
    </row>
    <row r="1691" spans="3:3" ht="12.75" x14ac:dyDescent="0.2">
      <c r="C1691" s="6"/>
    </row>
    <row r="1692" spans="3:3" ht="12.75" x14ac:dyDescent="0.2">
      <c r="C1692" s="6"/>
    </row>
    <row r="1693" spans="3:3" ht="12.75" x14ac:dyDescent="0.2">
      <c r="C1693" s="6"/>
    </row>
    <row r="1694" spans="3:3" ht="12.75" x14ac:dyDescent="0.2">
      <c r="C1694" s="6"/>
    </row>
    <row r="1695" spans="3:3" ht="12.75" x14ac:dyDescent="0.2">
      <c r="C1695" s="6"/>
    </row>
    <row r="1696" spans="3:3" ht="12.75" x14ac:dyDescent="0.2">
      <c r="C1696" s="6"/>
    </row>
    <row r="1697" spans="3:3" ht="12.75" x14ac:dyDescent="0.2">
      <c r="C1697" s="6"/>
    </row>
    <row r="1698" spans="3:3" ht="12.75" x14ac:dyDescent="0.2">
      <c r="C1698" s="6"/>
    </row>
    <row r="1699" spans="3:3" ht="12.75" x14ac:dyDescent="0.2">
      <c r="C1699" s="6"/>
    </row>
    <row r="1700" spans="3:3" ht="12.75" x14ac:dyDescent="0.2">
      <c r="C1700" s="6"/>
    </row>
    <row r="1701" spans="3:3" ht="12.75" x14ac:dyDescent="0.2">
      <c r="C1701" s="6"/>
    </row>
    <row r="1702" spans="3:3" ht="12.75" x14ac:dyDescent="0.2">
      <c r="C1702" s="6"/>
    </row>
    <row r="1703" spans="3:3" ht="12.75" x14ac:dyDescent="0.2">
      <c r="C1703" s="6"/>
    </row>
    <row r="1704" spans="3:3" ht="12.75" x14ac:dyDescent="0.2">
      <c r="C1704" s="6"/>
    </row>
    <row r="1705" spans="3:3" ht="12.75" x14ac:dyDescent="0.2">
      <c r="C1705" s="6"/>
    </row>
    <row r="1706" spans="3:3" ht="12.75" x14ac:dyDescent="0.2">
      <c r="C1706" s="6"/>
    </row>
    <row r="1707" spans="3:3" ht="12.75" x14ac:dyDescent="0.2">
      <c r="C1707" s="6"/>
    </row>
    <row r="1708" spans="3:3" ht="12.75" x14ac:dyDescent="0.2">
      <c r="C1708" s="6"/>
    </row>
    <row r="1709" spans="3:3" ht="12.75" x14ac:dyDescent="0.2">
      <c r="C1709" s="6"/>
    </row>
    <row r="1710" spans="3:3" ht="12.75" x14ac:dyDescent="0.2">
      <c r="C1710" s="6"/>
    </row>
    <row r="1711" spans="3:3" ht="12.75" x14ac:dyDescent="0.2">
      <c r="C1711" s="6"/>
    </row>
    <row r="1712" spans="3:3" ht="12.75" x14ac:dyDescent="0.2">
      <c r="C1712" s="6"/>
    </row>
    <row r="1713" spans="3:3" ht="12.75" x14ac:dyDescent="0.2">
      <c r="C1713" s="6"/>
    </row>
    <row r="1714" spans="3:3" ht="12.75" x14ac:dyDescent="0.2">
      <c r="C1714" s="6"/>
    </row>
    <row r="1715" spans="3:3" ht="12.75" x14ac:dyDescent="0.2">
      <c r="C1715" s="6"/>
    </row>
    <row r="1716" spans="3:3" ht="12.75" x14ac:dyDescent="0.2">
      <c r="C1716" s="6"/>
    </row>
    <row r="1717" spans="3:3" ht="12.75" x14ac:dyDescent="0.2">
      <c r="C1717" s="6"/>
    </row>
    <row r="1718" spans="3:3" ht="12.75" x14ac:dyDescent="0.2">
      <c r="C1718" s="6"/>
    </row>
    <row r="1719" spans="3:3" ht="12.75" x14ac:dyDescent="0.2">
      <c r="C1719" s="6"/>
    </row>
    <row r="1720" spans="3:3" ht="12.75" x14ac:dyDescent="0.2">
      <c r="C1720" s="6"/>
    </row>
    <row r="1721" spans="3:3" ht="12.75" x14ac:dyDescent="0.2">
      <c r="C1721" s="6"/>
    </row>
    <row r="1722" spans="3:3" ht="12.75" x14ac:dyDescent="0.2">
      <c r="C1722" s="6"/>
    </row>
    <row r="1723" spans="3:3" ht="12.75" x14ac:dyDescent="0.2">
      <c r="C1723" s="6"/>
    </row>
    <row r="1724" spans="3:3" ht="12.75" x14ac:dyDescent="0.2">
      <c r="C1724" s="6"/>
    </row>
    <row r="1725" spans="3:3" ht="12.75" x14ac:dyDescent="0.2">
      <c r="C1725" s="6"/>
    </row>
    <row r="1726" spans="3:3" ht="12.75" x14ac:dyDescent="0.2">
      <c r="C1726" s="6"/>
    </row>
    <row r="1727" spans="3:3" ht="12.75" x14ac:dyDescent="0.2">
      <c r="C1727" s="6"/>
    </row>
    <row r="1728" spans="3:3" ht="12.75" x14ac:dyDescent="0.2">
      <c r="C1728" s="6"/>
    </row>
    <row r="1729" spans="3:3" ht="12.75" x14ac:dyDescent="0.2">
      <c r="C1729" s="6"/>
    </row>
    <row r="1730" spans="3:3" ht="12.75" x14ac:dyDescent="0.2">
      <c r="C1730" s="6"/>
    </row>
    <row r="1731" spans="3:3" ht="12.75" x14ac:dyDescent="0.2">
      <c r="C1731" s="6"/>
    </row>
    <row r="1732" spans="3:3" ht="12.75" x14ac:dyDescent="0.2">
      <c r="C1732" s="6"/>
    </row>
    <row r="1733" spans="3:3" ht="12.75" x14ac:dyDescent="0.2">
      <c r="C1733" s="6"/>
    </row>
    <row r="1734" spans="3:3" ht="12.75" x14ac:dyDescent="0.2">
      <c r="C1734" s="6"/>
    </row>
    <row r="1735" spans="3:3" ht="12.75" x14ac:dyDescent="0.2">
      <c r="C1735" s="6"/>
    </row>
    <row r="1736" spans="3:3" ht="12.75" x14ac:dyDescent="0.2">
      <c r="C1736" s="6"/>
    </row>
    <row r="1737" spans="3:3" ht="12.75" x14ac:dyDescent="0.2">
      <c r="C1737" s="6"/>
    </row>
    <row r="1738" spans="3:3" ht="12.75" x14ac:dyDescent="0.2">
      <c r="C1738" s="6"/>
    </row>
    <row r="1739" spans="3:3" ht="12.75" x14ac:dyDescent="0.2">
      <c r="C1739" s="6"/>
    </row>
    <row r="1740" spans="3:3" ht="12.75" x14ac:dyDescent="0.2">
      <c r="C1740" s="6"/>
    </row>
    <row r="1741" spans="3:3" ht="12.75" x14ac:dyDescent="0.2">
      <c r="C1741" s="6"/>
    </row>
    <row r="1742" spans="3:3" ht="12.75" x14ac:dyDescent="0.2">
      <c r="C1742" s="6"/>
    </row>
    <row r="1743" spans="3:3" ht="12.75" x14ac:dyDescent="0.2">
      <c r="C1743" s="6"/>
    </row>
    <row r="1744" spans="3:3" ht="12.75" x14ac:dyDescent="0.2">
      <c r="C1744" s="6"/>
    </row>
    <row r="1745" spans="3:3" ht="12.75" x14ac:dyDescent="0.2">
      <c r="C1745" s="6"/>
    </row>
    <row r="1746" spans="3:3" ht="12.75" x14ac:dyDescent="0.2">
      <c r="C1746" s="6"/>
    </row>
    <row r="1747" spans="3:3" ht="12.75" x14ac:dyDescent="0.2">
      <c r="C1747" s="6"/>
    </row>
    <row r="1748" spans="3:3" ht="12.75" x14ac:dyDescent="0.2">
      <c r="C1748" s="6"/>
    </row>
    <row r="1749" spans="3:3" ht="12.75" x14ac:dyDescent="0.2">
      <c r="C1749" s="6"/>
    </row>
    <row r="1750" spans="3:3" ht="12.75" x14ac:dyDescent="0.2">
      <c r="C1750" s="6"/>
    </row>
    <row r="1751" spans="3:3" ht="12.75" x14ac:dyDescent="0.2">
      <c r="C1751" s="6"/>
    </row>
    <row r="1752" spans="3:3" ht="12.75" x14ac:dyDescent="0.2">
      <c r="C1752" s="6"/>
    </row>
    <row r="1753" spans="3:3" ht="12.75" x14ac:dyDescent="0.2">
      <c r="C1753" s="6"/>
    </row>
    <row r="1754" spans="3:3" ht="12.75" x14ac:dyDescent="0.2">
      <c r="C1754" s="6"/>
    </row>
    <row r="1755" spans="3:3" ht="12.75" x14ac:dyDescent="0.2">
      <c r="C1755" s="6"/>
    </row>
    <row r="1756" spans="3:3" ht="12.75" x14ac:dyDescent="0.2">
      <c r="C1756" s="6"/>
    </row>
    <row r="1757" spans="3:3" ht="12.75" x14ac:dyDescent="0.2">
      <c r="C1757" s="6"/>
    </row>
    <row r="1758" spans="3:3" ht="12.75" x14ac:dyDescent="0.2">
      <c r="C1758" s="6"/>
    </row>
    <row r="1759" spans="3:3" ht="12.75" x14ac:dyDescent="0.2">
      <c r="C1759" s="6"/>
    </row>
    <row r="1760" spans="3:3" ht="12.75" x14ac:dyDescent="0.2">
      <c r="C1760" s="6"/>
    </row>
    <row r="1761" spans="3:3" ht="12.75" x14ac:dyDescent="0.2">
      <c r="C1761" s="6"/>
    </row>
    <row r="1762" spans="3:3" ht="12.75" x14ac:dyDescent="0.2">
      <c r="C1762" s="6"/>
    </row>
    <row r="1763" spans="3:3" ht="12.75" x14ac:dyDescent="0.2">
      <c r="C1763" s="6"/>
    </row>
    <row r="1764" spans="3:3" ht="12.75" x14ac:dyDescent="0.2">
      <c r="C1764" s="6"/>
    </row>
    <row r="1765" spans="3:3" ht="12.75" x14ac:dyDescent="0.2">
      <c r="C1765" s="6"/>
    </row>
    <row r="1766" spans="3:3" ht="12.75" x14ac:dyDescent="0.2">
      <c r="C1766" s="6"/>
    </row>
    <row r="1767" spans="3:3" ht="12.75" x14ac:dyDescent="0.2">
      <c r="C1767" s="6"/>
    </row>
    <row r="1768" spans="3:3" ht="12.75" x14ac:dyDescent="0.2">
      <c r="C1768" s="6"/>
    </row>
    <row r="1769" spans="3:3" ht="12.75" x14ac:dyDescent="0.2">
      <c r="C1769" s="6"/>
    </row>
    <row r="1770" spans="3:3" ht="12.75" x14ac:dyDescent="0.2">
      <c r="C1770" s="6"/>
    </row>
    <row r="1771" spans="3:3" ht="12.75" x14ac:dyDescent="0.2">
      <c r="C1771" s="6"/>
    </row>
    <row r="1772" spans="3:3" ht="12.75" x14ac:dyDescent="0.2">
      <c r="C1772" s="6"/>
    </row>
    <row r="1773" spans="3:3" ht="12.75" x14ac:dyDescent="0.2">
      <c r="C1773" s="6"/>
    </row>
    <row r="1774" spans="3:3" ht="12.75" x14ac:dyDescent="0.2">
      <c r="C1774" s="6"/>
    </row>
    <row r="1775" spans="3:3" ht="12.75" x14ac:dyDescent="0.2">
      <c r="C1775" s="6"/>
    </row>
    <row r="1776" spans="3:3" ht="12.75" x14ac:dyDescent="0.2">
      <c r="C1776" s="6"/>
    </row>
    <row r="1777" spans="3:3" ht="12.75" x14ac:dyDescent="0.2">
      <c r="C1777" s="6"/>
    </row>
    <row r="1778" spans="3:3" ht="12.75" x14ac:dyDescent="0.2">
      <c r="C1778" s="6"/>
    </row>
    <row r="1779" spans="3:3" ht="12.75" x14ac:dyDescent="0.2">
      <c r="C1779" s="6"/>
    </row>
    <row r="1780" spans="3:3" ht="12.75" x14ac:dyDescent="0.2">
      <c r="C1780" s="6"/>
    </row>
    <row r="1781" spans="3:3" ht="12.75" x14ac:dyDescent="0.2">
      <c r="C1781" s="6"/>
    </row>
    <row r="1782" spans="3:3" ht="12.75" x14ac:dyDescent="0.2">
      <c r="C1782" s="6"/>
    </row>
    <row r="1783" spans="3:3" ht="12.75" x14ac:dyDescent="0.2">
      <c r="C1783" s="6"/>
    </row>
    <row r="1784" spans="3:3" ht="12.75" x14ac:dyDescent="0.2">
      <c r="C1784" s="6"/>
    </row>
    <row r="1785" spans="3:3" ht="12.75" x14ac:dyDescent="0.2">
      <c r="C1785" s="6"/>
    </row>
    <row r="1786" spans="3:3" ht="12.75" x14ac:dyDescent="0.2">
      <c r="C1786" s="6"/>
    </row>
    <row r="1787" spans="3:3" ht="12.75" x14ac:dyDescent="0.2">
      <c r="C1787" s="6"/>
    </row>
    <row r="1788" spans="3:3" ht="12.75" x14ac:dyDescent="0.2">
      <c r="C1788" s="6"/>
    </row>
    <row r="1789" spans="3:3" ht="12.75" x14ac:dyDescent="0.2">
      <c r="C1789" s="6"/>
    </row>
    <row r="1790" spans="3:3" ht="12.75" x14ac:dyDescent="0.2">
      <c r="C1790" s="6"/>
    </row>
    <row r="1791" spans="3:3" ht="12.75" x14ac:dyDescent="0.2">
      <c r="C1791" s="6"/>
    </row>
    <row r="1792" spans="3:3" ht="12.75" x14ac:dyDescent="0.2">
      <c r="C1792" s="6"/>
    </row>
    <row r="1793" spans="3:3" ht="12.75" x14ac:dyDescent="0.2">
      <c r="C1793" s="6"/>
    </row>
    <row r="1794" spans="3:3" ht="12.75" x14ac:dyDescent="0.2">
      <c r="C1794" s="6"/>
    </row>
    <row r="1795" spans="3:3" ht="12.75" x14ac:dyDescent="0.2">
      <c r="C1795" s="6"/>
    </row>
    <row r="1796" spans="3:3" ht="12.75" x14ac:dyDescent="0.2">
      <c r="C1796" s="6"/>
    </row>
    <row r="1797" spans="3:3" ht="12.75" x14ac:dyDescent="0.2">
      <c r="C1797" s="6"/>
    </row>
    <row r="1798" spans="3:3" ht="12.75" x14ac:dyDescent="0.2">
      <c r="C1798" s="6"/>
    </row>
    <row r="1799" spans="3:3" ht="12.75" x14ac:dyDescent="0.2">
      <c r="C1799" s="6"/>
    </row>
    <row r="1800" spans="3:3" ht="12.75" x14ac:dyDescent="0.2">
      <c r="C1800" s="6"/>
    </row>
    <row r="1801" spans="3:3" ht="12.75" x14ac:dyDescent="0.2">
      <c r="C1801" s="6"/>
    </row>
    <row r="1802" spans="3:3" ht="12.75" x14ac:dyDescent="0.2">
      <c r="C1802" s="6"/>
    </row>
    <row r="1803" spans="3:3" ht="12.75" x14ac:dyDescent="0.2">
      <c r="C1803" s="6"/>
    </row>
    <row r="1804" spans="3:3" ht="12.75" x14ac:dyDescent="0.2">
      <c r="C1804" s="6"/>
    </row>
    <row r="1805" spans="3:3" ht="12.75" x14ac:dyDescent="0.2">
      <c r="C1805" s="6"/>
    </row>
    <row r="1806" spans="3:3" ht="12.75" x14ac:dyDescent="0.2">
      <c r="C1806" s="6"/>
    </row>
    <row r="1807" spans="3:3" ht="12.75" x14ac:dyDescent="0.2">
      <c r="C1807" s="6"/>
    </row>
    <row r="1808" spans="3:3" ht="12.75" x14ac:dyDescent="0.2">
      <c r="C1808" s="6"/>
    </row>
    <row r="1809" spans="3:3" ht="12.75" x14ac:dyDescent="0.2">
      <c r="C1809" s="6"/>
    </row>
    <row r="1810" spans="3:3" ht="12.75" x14ac:dyDescent="0.2">
      <c r="C1810" s="6"/>
    </row>
    <row r="1811" spans="3:3" ht="12.75" x14ac:dyDescent="0.2">
      <c r="C1811" s="6"/>
    </row>
    <row r="1812" spans="3:3" ht="12.75" x14ac:dyDescent="0.2">
      <c r="C1812" s="6"/>
    </row>
    <row r="1813" spans="3:3" ht="12.75" x14ac:dyDescent="0.2">
      <c r="C1813" s="6"/>
    </row>
    <row r="1814" spans="3:3" ht="12.75" x14ac:dyDescent="0.2">
      <c r="C1814" s="6"/>
    </row>
    <row r="1815" spans="3:3" ht="12.75" x14ac:dyDescent="0.2">
      <c r="C1815" s="6"/>
    </row>
    <row r="1816" spans="3:3" ht="12.75" x14ac:dyDescent="0.2">
      <c r="C1816" s="6"/>
    </row>
    <row r="1817" spans="3:3" ht="12.75" x14ac:dyDescent="0.2">
      <c r="C1817" s="6"/>
    </row>
    <row r="1818" spans="3:3" ht="12.75" x14ac:dyDescent="0.2">
      <c r="C1818" s="6"/>
    </row>
    <row r="1819" spans="3:3" ht="12.75" x14ac:dyDescent="0.2">
      <c r="C1819" s="6"/>
    </row>
    <row r="1820" spans="3:3" ht="12.75" x14ac:dyDescent="0.2">
      <c r="C1820" s="6"/>
    </row>
    <row r="1821" spans="3:3" ht="12.75" x14ac:dyDescent="0.2">
      <c r="C1821" s="6"/>
    </row>
    <row r="1822" spans="3:3" ht="12.75" x14ac:dyDescent="0.2">
      <c r="C1822" s="6"/>
    </row>
    <row r="1823" spans="3:3" ht="12.75" x14ac:dyDescent="0.2">
      <c r="C1823" s="6"/>
    </row>
    <row r="1824" spans="3:3" ht="12.75" x14ac:dyDescent="0.2">
      <c r="C1824" s="6"/>
    </row>
    <row r="1825" spans="3:3" ht="12.75" x14ac:dyDescent="0.2">
      <c r="C1825" s="6"/>
    </row>
    <row r="1826" spans="3:3" ht="12.75" x14ac:dyDescent="0.2">
      <c r="C1826" s="6"/>
    </row>
    <row r="1827" spans="3:3" ht="12.75" x14ac:dyDescent="0.2">
      <c r="C1827" s="6"/>
    </row>
    <row r="1828" spans="3:3" ht="12.75" x14ac:dyDescent="0.2">
      <c r="C1828" s="6"/>
    </row>
    <row r="1829" spans="3:3" ht="12.75" x14ac:dyDescent="0.2">
      <c r="C1829" s="6"/>
    </row>
    <row r="1830" spans="3:3" ht="12.75" x14ac:dyDescent="0.2">
      <c r="C1830" s="6"/>
    </row>
    <row r="1831" spans="3:3" ht="12.75" x14ac:dyDescent="0.2">
      <c r="C1831" s="6"/>
    </row>
    <row r="1832" spans="3:3" ht="12.75" x14ac:dyDescent="0.2">
      <c r="C1832" s="6"/>
    </row>
    <row r="1833" spans="3:3" ht="12.75" x14ac:dyDescent="0.2">
      <c r="C1833" s="6"/>
    </row>
    <row r="1834" spans="3:3" ht="12.75" x14ac:dyDescent="0.2">
      <c r="C1834" s="6"/>
    </row>
    <row r="1835" spans="3:3" ht="12.75" x14ac:dyDescent="0.2">
      <c r="C1835" s="6"/>
    </row>
    <row r="1836" spans="3:3" ht="12.75" x14ac:dyDescent="0.2">
      <c r="C1836" s="6"/>
    </row>
    <row r="1837" spans="3:3" ht="12.75" x14ac:dyDescent="0.2">
      <c r="C1837" s="6"/>
    </row>
    <row r="1838" spans="3:3" ht="12.75" x14ac:dyDescent="0.2">
      <c r="C1838" s="6"/>
    </row>
    <row r="1839" spans="3:3" ht="12.75" x14ac:dyDescent="0.2">
      <c r="C1839" s="6"/>
    </row>
    <row r="1840" spans="3:3" ht="12.75" x14ac:dyDescent="0.2">
      <c r="C1840" s="6"/>
    </row>
    <row r="1841" spans="3:3" ht="12.75" x14ac:dyDescent="0.2">
      <c r="C1841" s="6"/>
    </row>
    <row r="1842" spans="3:3" ht="12.75" x14ac:dyDescent="0.2">
      <c r="C1842" s="6"/>
    </row>
    <row r="1843" spans="3:3" ht="12.75" x14ac:dyDescent="0.2">
      <c r="C1843" s="6"/>
    </row>
    <row r="1844" spans="3:3" ht="12.75" x14ac:dyDescent="0.2">
      <c r="C1844" s="6"/>
    </row>
    <row r="1845" spans="3:3" ht="12.75" x14ac:dyDescent="0.2">
      <c r="C1845" s="6"/>
    </row>
    <row r="1846" spans="3:3" ht="12.75" x14ac:dyDescent="0.2">
      <c r="C1846" s="6"/>
    </row>
    <row r="1847" spans="3:3" ht="12.75" x14ac:dyDescent="0.2">
      <c r="C1847" s="6"/>
    </row>
    <row r="1848" spans="3:3" ht="12.75" x14ac:dyDescent="0.2">
      <c r="C1848" s="6"/>
    </row>
    <row r="1849" spans="3:3" ht="12.75" x14ac:dyDescent="0.2">
      <c r="C1849" s="6"/>
    </row>
    <row r="1850" spans="3:3" ht="12.75" x14ac:dyDescent="0.2">
      <c r="C1850" s="6"/>
    </row>
    <row r="1851" spans="3:3" ht="12.75" x14ac:dyDescent="0.2">
      <c r="C1851" s="6"/>
    </row>
    <row r="1852" spans="3:3" ht="12.75" x14ac:dyDescent="0.2">
      <c r="C1852" s="6"/>
    </row>
    <row r="1853" spans="3:3" ht="12.75" x14ac:dyDescent="0.2">
      <c r="C1853" s="6"/>
    </row>
    <row r="1854" spans="3:3" ht="12.75" x14ac:dyDescent="0.2">
      <c r="C1854" s="6"/>
    </row>
    <row r="1855" spans="3:3" ht="12.75" x14ac:dyDescent="0.2">
      <c r="C1855" s="6"/>
    </row>
    <row r="1856" spans="3:3" ht="12.75" x14ac:dyDescent="0.2">
      <c r="C1856" s="6"/>
    </row>
    <row r="1857" spans="3:3" ht="12.75" x14ac:dyDescent="0.2">
      <c r="C1857" s="6"/>
    </row>
    <row r="1858" spans="3:3" ht="12.75" x14ac:dyDescent="0.2">
      <c r="C1858" s="6"/>
    </row>
    <row r="1859" spans="3:3" ht="12.75" x14ac:dyDescent="0.2">
      <c r="C1859" s="6"/>
    </row>
    <row r="1860" spans="3:3" ht="12.75" x14ac:dyDescent="0.2">
      <c r="C1860" s="6"/>
    </row>
    <row r="1861" spans="3:3" ht="12.75" x14ac:dyDescent="0.2">
      <c r="C1861" s="6"/>
    </row>
    <row r="1862" spans="3:3" ht="12.75" x14ac:dyDescent="0.2">
      <c r="C1862" s="6"/>
    </row>
    <row r="1863" spans="3:3" ht="12.75" x14ac:dyDescent="0.2">
      <c r="C1863" s="6"/>
    </row>
    <row r="1864" spans="3:3" ht="12.75" x14ac:dyDescent="0.2">
      <c r="C1864" s="6"/>
    </row>
    <row r="1865" spans="3:3" ht="12.75" x14ac:dyDescent="0.2">
      <c r="C1865" s="6"/>
    </row>
    <row r="1866" spans="3:3" ht="12.75" x14ac:dyDescent="0.2">
      <c r="C1866" s="6"/>
    </row>
    <row r="1867" spans="3:3" ht="12.75" x14ac:dyDescent="0.2">
      <c r="C1867" s="6"/>
    </row>
    <row r="1868" spans="3:3" ht="12.75" x14ac:dyDescent="0.2">
      <c r="C1868" s="6"/>
    </row>
    <row r="1869" spans="3:3" ht="12.75" x14ac:dyDescent="0.2">
      <c r="C1869" s="6"/>
    </row>
    <row r="1870" spans="3:3" ht="12.75" x14ac:dyDescent="0.2">
      <c r="C1870" s="6"/>
    </row>
    <row r="1871" spans="3:3" ht="12.75" x14ac:dyDescent="0.2">
      <c r="C1871" s="6"/>
    </row>
    <row r="1872" spans="3:3" ht="12.75" x14ac:dyDescent="0.2">
      <c r="C1872" s="6"/>
    </row>
    <row r="1873" spans="3:3" ht="12.75" x14ac:dyDescent="0.2">
      <c r="C1873" s="6"/>
    </row>
    <row r="1874" spans="3:3" ht="12.75" x14ac:dyDescent="0.2">
      <c r="C1874" s="6"/>
    </row>
    <row r="1875" spans="3:3" ht="12.75" x14ac:dyDescent="0.2">
      <c r="C1875" s="6"/>
    </row>
    <row r="1876" spans="3:3" ht="12.75" x14ac:dyDescent="0.2">
      <c r="C1876" s="6"/>
    </row>
    <row r="1877" spans="3:3" ht="12.75" x14ac:dyDescent="0.2">
      <c r="C1877" s="6"/>
    </row>
    <row r="1878" spans="3:3" ht="12.75" x14ac:dyDescent="0.2">
      <c r="C1878" s="6"/>
    </row>
    <row r="1879" spans="3:3" ht="12.75" x14ac:dyDescent="0.2">
      <c r="C1879" s="6"/>
    </row>
    <row r="1880" spans="3:3" ht="12.75" x14ac:dyDescent="0.2">
      <c r="C1880" s="6"/>
    </row>
    <row r="1881" spans="3:3" ht="12.75" x14ac:dyDescent="0.2">
      <c r="C1881" s="6"/>
    </row>
    <row r="1882" spans="3:3" ht="12.75" x14ac:dyDescent="0.2">
      <c r="C1882" s="6"/>
    </row>
    <row r="1883" spans="3:3" ht="12.75" x14ac:dyDescent="0.2">
      <c r="C1883" s="6"/>
    </row>
    <row r="1884" spans="3:3" ht="12.75" x14ac:dyDescent="0.2">
      <c r="C1884" s="6"/>
    </row>
    <row r="1885" spans="3:3" ht="12.75" x14ac:dyDescent="0.2">
      <c r="C1885" s="6"/>
    </row>
    <row r="1886" spans="3:3" ht="12.75" x14ac:dyDescent="0.2">
      <c r="C1886" s="6"/>
    </row>
    <row r="1887" spans="3:3" ht="12.75" x14ac:dyDescent="0.2">
      <c r="C1887" s="6"/>
    </row>
    <row r="1888" spans="3:3" ht="12.75" x14ac:dyDescent="0.2">
      <c r="C1888" s="6"/>
    </row>
    <row r="1889" spans="3:3" ht="12.75" x14ac:dyDescent="0.2">
      <c r="C1889" s="6"/>
    </row>
    <row r="1890" spans="3:3" ht="12.75" x14ac:dyDescent="0.2">
      <c r="C1890" s="6"/>
    </row>
    <row r="1891" spans="3:3" ht="12.75" x14ac:dyDescent="0.2">
      <c r="C1891" s="6"/>
    </row>
    <row r="1892" spans="3:3" ht="12.75" x14ac:dyDescent="0.2">
      <c r="C1892" s="6"/>
    </row>
    <row r="1893" spans="3:3" ht="12.75" x14ac:dyDescent="0.2">
      <c r="C1893" s="6"/>
    </row>
    <row r="1894" spans="3:3" ht="12.75" x14ac:dyDescent="0.2">
      <c r="C1894" s="6"/>
    </row>
    <row r="1895" spans="3:3" ht="12.75" x14ac:dyDescent="0.2">
      <c r="C1895" s="6"/>
    </row>
    <row r="1896" spans="3:3" ht="12.75" x14ac:dyDescent="0.2">
      <c r="C1896" s="6"/>
    </row>
    <row r="1897" spans="3:3" ht="12.75" x14ac:dyDescent="0.2">
      <c r="C1897" s="6"/>
    </row>
    <row r="1898" spans="3:3" ht="12.75" x14ac:dyDescent="0.2">
      <c r="C1898" s="6"/>
    </row>
    <row r="1899" spans="3:3" ht="12.75" x14ac:dyDescent="0.2">
      <c r="C1899" s="6"/>
    </row>
    <row r="1900" spans="3:3" ht="12.75" x14ac:dyDescent="0.2">
      <c r="C1900" s="6"/>
    </row>
    <row r="1901" spans="3:3" ht="12.75" x14ac:dyDescent="0.2">
      <c r="C1901" s="6"/>
    </row>
    <row r="1902" spans="3:3" ht="12.75" x14ac:dyDescent="0.2">
      <c r="C1902" s="6"/>
    </row>
    <row r="1903" spans="3:3" ht="12.75" x14ac:dyDescent="0.2">
      <c r="C1903" s="6"/>
    </row>
    <row r="1904" spans="3:3" ht="12.75" x14ac:dyDescent="0.2">
      <c r="C1904" s="6"/>
    </row>
    <row r="1905" spans="3:3" ht="12.75" x14ac:dyDescent="0.2">
      <c r="C1905" s="6"/>
    </row>
    <row r="1906" spans="3:3" ht="12.75" x14ac:dyDescent="0.2">
      <c r="C1906" s="6"/>
    </row>
    <row r="1907" spans="3:3" ht="12.75" x14ac:dyDescent="0.2">
      <c r="C1907" s="6"/>
    </row>
    <row r="1908" spans="3:3" ht="12.75" x14ac:dyDescent="0.2">
      <c r="C1908" s="6"/>
    </row>
    <row r="1909" spans="3:3" ht="12.75" x14ac:dyDescent="0.2">
      <c r="C1909" s="6"/>
    </row>
    <row r="1910" spans="3:3" ht="12.75" x14ac:dyDescent="0.2">
      <c r="C1910" s="6"/>
    </row>
    <row r="1911" spans="3:3" ht="12.75" x14ac:dyDescent="0.2">
      <c r="C1911" s="6"/>
    </row>
    <row r="1912" spans="3:3" ht="12.75" x14ac:dyDescent="0.2">
      <c r="C1912" s="6"/>
    </row>
    <row r="1913" spans="3:3" ht="12.75" x14ac:dyDescent="0.2">
      <c r="C1913" s="6"/>
    </row>
    <row r="1914" spans="3:3" ht="12.75" x14ac:dyDescent="0.2">
      <c r="C1914" s="6"/>
    </row>
    <row r="1915" spans="3:3" ht="12.75" x14ac:dyDescent="0.2">
      <c r="C1915" s="6"/>
    </row>
    <row r="1916" spans="3:3" ht="12.75" x14ac:dyDescent="0.2">
      <c r="C1916" s="6"/>
    </row>
    <row r="1917" spans="3:3" ht="12.75" x14ac:dyDescent="0.2">
      <c r="C1917" s="6"/>
    </row>
    <row r="1918" spans="3:3" ht="12.75" x14ac:dyDescent="0.2">
      <c r="C1918" s="6"/>
    </row>
    <row r="1919" spans="3:3" ht="12.75" x14ac:dyDescent="0.2">
      <c r="C1919" s="6"/>
    </row>
    <row r="1920" spans="3:3" ht="12.75" x14ac:dyDescent="0.2">
      <c r="C1920" s="6"/>
    </row>
    <row r="1921" spans="3:3" ht="12.75" x14ac:dyDescent="0.2">
      <c r="C1921" s="6"/>
    </row>
    <row r="1922" spans="3:3" ht="12.75" x14ac:dyDescent="0.2">
      <c r="C1922" s="6"/>
    </row>
    <row r="1923" spans="3:3" ht="12.75" x14ac:dyDescent="0.2">
      <c r="C1923" s="6"/>
    </row>
    <row r="1924" spans="3:3" ht="12.75" x14ac:dyDescent="0.2">
      <c r="C1924" s="6"/>
    </row>
    <row r="1925" spans="3:3" ht="12.75" x14ac:dyDescent="0.2">
      <c r="C1925" s="6"/>
    </row>
    <row r="1926" spans="3:3" ht="12.75" x14ac:dyDescent="0.2">
      <c r="C1926" s="6"/>
    </row>
    <row r="1927" spans="3:3" ht="12.75" x14ac:dyDescent="0.2">
      <c r="C1927" s="6"/>
    </row>
    <row r="1928" spans="3:3" ht="12.75" x14ac:dyDescent="0.2">
      <c r="C1928" s="6"/>
    </row>
    <row r="1929" spans="3:3" ht="12.75" x14ac:dyDescent="0.2">
      <c r="C1929" s="6"/>
    </row>
    <row r="1930" spans="3:3" ht="12.75" x14ac:dyDescent="0.2">
      <c r="C1930" s="6"/>
    </row>
    <row r="1931" spans="3:3" ht="12.75" x14ac:dyDescent="0.2">
      <c r="C1931" s="6"/>
    </row>
    <row r="1932" spans="3:3" ht="12.75" x14ac:dyDescent="0.2">
      <c r="C1932" s="6"/>
    </row>
    <row r="1933" spans="3:3" ht="12.75" x14ac:dyDescent="0.2">
      <c r="C1933" s="6"/>
    </row>
    <row r="1934" spans="3:3" ht="12.75" x14ac:dyDescent="0.2">
      <c r="C1934" s="6"/>
    </row>
    <row r="1935" spans="3:3" ht="12.75" x14ac:dyDescent="0.2">
      <c r="C1935" s="6"/>
    </row>
    <row r="1936" spans="3:3" ht="12.75" x14ac:dyDescent="0.2">
      <c r="C1936" s="6"/>
    </row>
    <row r="1937" spans="3:3" ht="12.75" x14ac:dyDescent="0.2">
      <c r="C1937" s="6"/>
    </row>
    <row r="1938" spans="3:3" ht="12.75" x14ac:dyDescent="0.2">
      <c r="C1938" s="6"/>
    </row>
    <row r="1939" spans="3:3" ht="12.75" x14ac:dyDescent="0.2">
      <c r="C1939" s="6"/>
    </row>
    <row r="1940" spans="3:3" ht="12.75" x14ac:dyDescent="0.2">
      <c r="C1940" s="6"/>
    </row>
    <row r="1941" spans="3:3" ht="12.75" x14ac:dyDescent="0.2">
      <c r="C1941" s="6"/>
    </row>
    <row r="1942" spans="3:3" ht="12.75" x14ac:dyDescent="0.2">
      <c r="C1942" s="6"/>
    </row>
    <row r="1943" spans="3:3" ht="12.75" x14ac:dyDescent="0.2">
      <c r="C1943" s="6"/>
    </row>
    <row r="1944" spans="3:3" ht="12.75" x14ac:dyDescent="0.2">
      <c r="C1944" s="6"/>
    </row>
    <row r="1945" spans="3:3" ht="12.75" x14ac:dyDescent="0.2">
      <c r="C1945" s="6"/>
    </row>
    <row r="1946" spans="3:3" ht="12.75" x14ac:dyDescent="0.2">
      <c r="C1946" s="6"/>
    </row>
    <row r="1947" spans="3:3" ht="12.75" x14ac:dyDescent="0.2">
      <c r="C1947" s="6"/>
    </row>
    <row r="1948" spans="3:3" ht="12.75" x14ac:dyDescent="0.2">
      <c r="C1948" s="6"/>
    </row>
    <row r="1949" spans="3:3" ht="12.75" x14ac:dyDescent="0.2">
      <c r="C1949" s="6"/>
    </row>
    <row r="1950" spans="3:3" ht="12.75" x14ac:dyDescent="0.2">
      <c r="C1950" s="6"/>
    </row>
    <row r="1951" spans="3:3" ht="12.75" x14ac:dyDescent="0.2">
      <c r="C1951" s="6"/>
    </row>
    <row r="1952" spans="3:3" ht="12.75" x14ac:dyDescent="0.2">
      <c r="C1952" s="6"/>
    </row>
    <row r="1953" spans="3:3" ht="12.75" x14ac:dyDescent="0.2">
      <c r="C1953" s="6"/>
    </row>
    <row r="1954" spans="3:3" ht="12.75" x14ac:dyDescent="0.2">
      <c r="C1954" s="6"/>
    </row>
    <row r="1955" spans="3:3" ht="12.75" x14ac:dyDescent="0.2">
      <c r="C1955" s="6"/>
    </row>
    <row r="1956" spans="3:3" ht="12.75" x14ac:dyDescent="0.2">
      <c r="C1956" s="6"/>
    </row>
    <row r="1957" spans="3:3" ht="12.75" x14ac:dyDescent="0.2">
      <c r="C1957" s="6"/>
    </row>
    <row r="1958" spans="3:3" ht="12.75" x14ac:dyDescent="0.2">
      <c r="C1958" s="6"/>
    </row>
    <row r="1959" spans="3:3" ht="12.75" x14ac:dyDescent="0.2">
      <c r="C1959" s="6"/>
    </row>
    <row r="1960" spans="3:3" ht="12.75" x14ac:dyDescent="0.2">
      <c r="C1960" s="6"/>
    </row>
    <row r="1961" spans="3:3" ht="12.75" x14ac:dyDescent="0.2">
      <c r="C1961" s="6"/>
    </row>
    <row r="1962" spans="3:3" ht="12.75" x14ac:dyDescent="0.2">
      <c r="C1962" s="6"/>
    </row>
    <row r="1963" spans="3:3" ht="12.75" x14ac:dyDescent="0.2">
      <c r="C1963" s="6"/>
    </row>
    <row r="1964" spans="3:3" ht="12.75" x14ac:dyDescent="0.2">
      <c r="C1964" s="6"/>
    </row>
    <row r="1965" spans="3:3" ht="12.75" x14ac:dyDescent="0.2">
      <c r="C1965" s="6"/>
    </row>
    <row r="1966" spans="3:3" ht="12.75" x14ac:dyDescent="0.2">
      <c r="C1966" s="6"/>
    </row>
    <row r="1967" spans="3:3" ht="12.75" x14ac:dyDescent="0.2">
      <c r="C1967" s="6"/>
    </row>
    <row r="1968" spans="3:3" ht="12.75" x14ac:dyDescent="0.2">
      <c r="C1968" s="6"/>
    </row>
    <row r="1969" spans="3:3" ht="12.75" x14ac:dyDescent="0.2">
      <c r="C1969" s="6"/>
    </row>
    <row r="1970" spans="3:3" ht="12.75" x14ac:dyDescent="0.2">
      <c r="C1970" s="6"/>
    </row>
    <row r="1971" spans="3:3" ht="12.75" x14ac:dyDescent="0.2">
      <c r="C1971" s="6"/>
    </row>
    <row r="1972" spans="3:3" ht="12.75" x14ac:dyDescent="0.2">
      <c r="C1972" s="6"/>
    </row>
    <row r="1973" spans="3:3" ht="12.75" x14ac:dyDescent="0.2">
      <c r="C1973" s="6"/>
    </row>
    <row r="1974" spans="3:3" ht="12.75" x14ac:dyDescent="0.2">
      <c r="C1974" s="6"/>
    </row>
    <row r="1975" spans="3:3" ht="12.75" x14ac:dyDescent="0.2">
      <c r="C1975" s="6"/>
    </row>
    <row r="1976" spans="3:3" ht="12.75" x14ac:dyDescent="0.2">
      <c r="C1976" s="6"/>
    </row>
    <row r="1977" spans="3:3" ht="12.75" x14ac:dyDescent="0.2">
      <c r="C1977" s="6"/>
    </row>
    <row r="1978" spans="3:3" ht="12.75" x14ac:dyDescent="0.2">
      <c r="C1978" s="6"/>
    </row>
    <row r="1979" spans="3:3" ht="12.75" x14ac:dyDescent="0.2">
      <c r="C1979" s="6"/>
    </row>
    <row r="1980" spans="3:3" ht="12.75" x14ac:dyDescent="0.2">
      <c r="C1980" s="6"/>
    </row>
    <row r="1981" spans="3:3" ht="12.75" x14ac:dyDescent="0.2">
      <c r="C1981" s="6"/>
    </row>
    <row r="1982" spans="3:3" ht="12.75" x14ac:dyDescent="0.2">
      <c r="C1982" s="6"/>
    </row>
    <row r="1983" spans="3:3" ht="12.75" x14ac:dyDescent="0.2">
      <c r="C1983" s="6"/>
    </row>
    <row r="1984" spans="3:3" ht="12.75" x14ac:dyDescent="0.2">
      <c r="C1984" s="6"/>
    </row>
    <row r="1985" spans="3:3" ht="12.75" x14ac:dyDescent="0.2">
      <c r="C1985" s="6"/>
    </row>
    <row r="1986" spans="3:3" ht="12.75" x14ac:dyDescent="0.2">
      <c r="C1986" s="6"/>
    </row>
  </sheetData>
  <printOptions horizontalCentered="1"/>
  <pageMargins left="0.7" right="0.7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84"/>
  <sheetViews>
    <sheetView showGridLines="0" workbookViewId="0">
      <selection activeCell="D3" sqref="D3"/>
    </sheetView>
  </sheetViews>
  <sheetFormatPr defaultColWidth="12.5703125" defaultRowHeight="15.75" customHeight="1" x14ac:dyDescent="0.2"/>
  <cols>
    <col min="1" max="1" width="20.42578125" bestFit="1" customWidth="1"/>
    <col min="2" max="2" width="9" bestFit="1" customWidth="1"/>
    <col min="3" max="3" width="14.7109375" bestFit="1" customWidth="1"/>
    <col min="4" max="4" width="21.7109375" bestFit="1" customWidth="1"/>
    <col min="5" max="5" width="21.5703125" bestFit="1" customWidth="1"/>
    <col min="6" max="6" width="7.85546875" bestFit="1" customWidth="1"/>
  </cols>
  <sheetData>
    <row r="1" spans="1:6" x14ac:dyDescent="0.25">
      <c r="A1" s="1" t="str">
        <f ca="1">IFERROR(__xludf.DUMMYFUNCTION("GOOGLEFINANCE(""NSE:TCS"", ""CLOSE"",DATE(2020,1,1),DATE(2025,12,31),""DAILY"")"),"Date")</f>
        <v>Date</v>
      </c>
      <c r="B1" s="1" t="str">
        <f ca="1">IFERROR(__xludf.DUMMYFUNCTION("""COMPUTED_VALUE"""),"Close")</f>
        <v>Close</v>
      </c>
      <c r="C1" s="2" t="s">
        <v>6</v>
      </c>
      <c r="D1" s="1" t="s">
        <v>7</v>
      </c>
      <c r="E1" s="1" t="s">
        <v>8</v>
      </c>
      <c r="F1" s="5"/>
    </row>
    <row r="2" spans="1:6" ht="12.75" x14ac:dyDescent="0.2">
      <c r="A2" s="13">
        <f ca="1">IFERROR(__xludf.DUMMYFUNCTION("""COMPUTED_VALUE"""),43831.6458333333)</f>
        <v>43831.645833333299</v>
      </c>
      <c r="B2" s="14">
        <f ca="1">IFERROR(__xludf.DUMMYFUNCTION("""COMPUTED_VALUE"""),2167.6)</f>
        <v>2167.6</v>
      </c>
      <c r="C2" s="15"/>
      <c r="D2" s="17"/>
      <c r="E2" s="16" t="s">
        <v>3</v>
      </c>
      <c r="F2" s="15">
        <f ca="1">AVERAGE(C:C)</f>
        <v>3.7782792852438559E-4</v>
      </c>
    </row>
    <row r="3" spans="1:6" ht="12.75" x14ac:dyDescent="0.2">
      <c r="A3" s="13">
        <f ca="1">IFERROR(__xludf.DUMMYFUNCTION("""COMPUTED_VALUE"""),43832.6458333333)</f>
        <v>43832.645833333299</v>
      </c>
      <c r="B3" s="14">
        <f ca="1">IFERROR(__xludf.DUMMYFUNCTION("""COMPUTED_VALUE"""),2157.65)</f>
        <v>2157.65</v>
      </c>
      <c r="C3" s="15">
        <f t="shared" ref="C3:C257" ca="1" si="0">(B3/B2)-1</f>
        <v>-4.590330319247049E-3</v>
      </c>
      <c r="D3" s="17"/>
      <c r="E3" s="16" t="s">
        <v>4</v>
      </c>
      <c r="F3" s="15">
        <f ca="1">STDEV(C:C)</f>
        <v>1.5086499726736098E-2</v>
      </c>
    </row>
    <row r="4" spans="1:6" ht="12.75" x14ac:dyDescent="0.2">
      <c r="A4" s="13">
        <f ca="1">IFERROR(__xludf.DUMMYFUNCTION("""COMPUTED_VALUE"""),43833.6458333333)</f>
        <v>43833.645833333299</v>
      </c>
      <c r="B4" s="14">
        <f ca="1">IFERROR(__xludf.DUMMYFUNCTION("""COMPUTED_VALUE"""),2200.65)</f>
        <v>2200.65</v>
      </c>
      <c r="C4" s="15">
        <f t="shared" ca="1" si="0"/>
        <v>1.9929089518689214E-2</v>
      </c>
      <c r="D4" s="17"/>
      <c r="E4" s="16" t="s">
        <v>5</v>
      </c>
      <c r="F4" s="15">
        <f ca="1">(B1484/B2)*(1/5)-1</f>
        <v>-0.70417051116442142</v>
      </c>
    </row>
    <row r="5" spans="1:6" ht="15.75" customHeight="1" x14ac:dyDescent="0.2">
      <c r="A5" s="13">
        <f ca="1">IFERROR(__xludf.DUMMYFUNCTION("""COMPUTED_VALUE"""),43836.6458333333)</f>
        <v>43836.645833333299</v>
      </c>
      <c r="B5" s="14">
        <f ca="1">IFERROR(__xludf.DUMMYFUNCTION("""COMPUTED_VALUE"""),2200.45)</f>
        <v>2200.4499999999998</v>
      </c>
      <c r="C5" s="15">
        <f t="shared" ca="1" si="0"/>
        <v>-9.0882239338507809E-5</v>
      </c>
      <c r="D5" s="17"/>
      <c r="E5" s="17"/>
      <c r="F5" s="17"/>
    </row>
    <row r="6" spans="1:6" ht="15.75" customHeight="1" x14ac:dyDescent="0.2">
      <c r="A6" s="13">
        <f ca="1">IFERROR(__xludf.DUMMYFUNCTION("""COMPUTED_VALUE"""),43837.6458333333)</f>
        <v>43837.645833333299</v>
      </c>
      <c r="B6" s="14">
        <f ca="1">IFERROR(__xludf.DUMMYFUNCTION("""COMPUTED_VALUE"""),2205.85)</f>
        <v>2205.85</v>
      </c>
      <c r="C6" s="15">
        <f t="shared" ca="1" si="0"/>
        <v>2.4540434911042297E-3</v>
      </c>
      <c r="D6" s="17"/>
      <c r="E6" s="17"/>
      <c r="F6" s="17"/>
    </row>
    <row r="7" spans="1:6" ht="15.75" customHeight="1" x14ac:dyDescent="0.2">
      <c r="A7" s="13">
        <f ca="1">IFERROR(__xludf.DUMMYFUNCTION("""COMPUTED_VALUE"""),43838.6458333333)</f>
        <v>43838.645833333299</v>
      </c>
      <c r="B7" s="14">
        <f ca="1">IFERROR(__xludf.DUMMYFUNCTION("""COMPUTED_VALUE"""),2255.25)</f>
        <v>2255.25</v>
      </c>
      <c r="C7" s="15">
        <f t="shared" ca="1" si="0"/>
        <v>2.2394995126595152E-2</v>
      </c>
      <c r="D7" s="17"/>
      <c r="E7" s="17"/>
      <c r="F7" s="17"/>
    </row>
    <row r="8" spans="1:6" ht="15.75" customHeight="1" x14ac:dyDescent="0.2">
      <c r="A8" s="13">
        <f ca="1">IFERROR(__xludf.DUMMYFUNCTION("""COMPUTED_VALUE"""),43839.6458333333)</f>
        <v>43839.645833333299</v>
      </c>
      <c r="B8" s="14">
        <f ca="1">IFERROR(__xludf.DUMMYFUNCTION("""COMPUTED_VALUE"""),2214.35)</f>
        <v>2214.35</v>
      </c>
      <c r="C8" s="15">
        <f t="shared" ca="1" si="0"/>
        <v>-1.8135461700476752E-2</v>
      </c>
      <c r="D8" s="17"/>
      <c r="E8" s="17"/>
      <c r="F8" s="17"/>
    </row>
    <row r="9" spans="1:6" ht="15.75" customHeight="1" x14ac:dyDescent="0.2">
      <c r="A9" s="13">
        <f ca="1">IFERROR(__xludf.DUMMYFUNCTION("""COMPUTED_VALUE"""),43840.6458333333)</f>
        <v>43840.645833333299</v>
      </c>
      <c r="B9" s="14">
        <f ca="1">IFERROR(__xludf.DUMMYFUNCTION("""COMPUTED_VALUE"""),2213.55)</f>
        <v>2213.5500000000002</v>
      </c>
      <c r="C9" s="15">
        <f t="shared" ca="1" si="0"/>
        <v>-3.612798338111789E-4</v>
      </c>
      <c r="D9" s="17"/>
      <c r="E9" s="17"/>
      <c r="F9" s="17"/>
    </row>
    <row r="10" spans="1:6" ht="15.75" customHeight="1" x14ac:dyDescent="0.2">
      <c r="A10" s="13">
        <f ca="1">IFERROR(__xludf.DUMMYFUNCTION("""COMPUTED_VALUE"""),43843.6458333333)</f>
        <v>43843.645833333299</v>
      </c>
      <c r="B10" s="14">
        <f ca="1">IFERROR(__xludf.DUMMYFUNCTION("""COMPUTED_VALUE"""),2190.35)</f>
        <v>2190.35</v>
      </c>
      <c r="C10" s="15">
        <f t="shared" ca="1" si="0"/>
        <v>-1.0480901718958324E-2</v>
      </c>
      <c r="D10" s="17"/>
      <c r="E10" s="17"/>
      <c r="F10" s="17"/>
    </row>
    <row r="11" spans="1:6" ht="15.75" customHeight="1" x14ac:dyDescent="0.2">
      <c r="A11" s="13">
        <f ca="1">IFERROR(__xludf.DUMMYFUNCTION("""COMPUTED_VALUE"""),43844.6458333333)</f>
        <v>43844.645833333299</v>
      </c>
      <c r="B11" s="14">
        <f ca="1">IFERROR(__xludf.DUMMYFUNCTION("""COMPUTED_VALUE"""),2206.9)</f>
        <v>2206.9</v>
      </c>
      <c r="C11" s="15">
        <f t="shared" ca="1" si="0"/>
        <v>7.5558700664277723E-3</v>
      </c>
      <c r="D11" s="17"/>
      <c r="E11" s="17"/>
      <c r="F11" s="17"/>
    </row>
    <row r="12" spans="1:6" ht="15.75" customHeight="1" x14ac:dyDescent="0.2">
      <c r="A12" s="13">
        <f ca="1">IFERROR(__xludf.DUMMYFUNCTION("""COMPUTED_VALUE"""),43845.6458333333)</f>
        <v>43845.645833333299</v>
      </c>
      <c r="B12" s="14">
        <f ca="1">IFERROR(__xludf.DUMMYFUNCTION("""COMPUTED_VALUE"""),2226.9)</f>
        <v>2226.9</v>
      </c>
      <c r="C12" s="15">
        <f t="shared" ca="1" si="0"/>
        <v>9.062485839865797E-3</v>
      </c>
      <c r="D12" s="17"/>
      <c r="E12" s="17"/>
      <c r="F12" s="17"/>
    </row>
    <row r="13" spans="1:6" ht="15.75" customHeight="1" x14ac:dyDescent="0.2">
      <c r="A13" s="13">
        <f ca="1">IFERROR(__xludf.DUMMYFUNCTION("""COMPUTED_VALUE"""),43846.6458333333)</f>
        <v>43846.645833333299</v>
      </c>
      <c r="B13" s="14">
        <f ca="1">IFERROR(__xludf.DUMMYFUNCTION("""COMPUTED_VALUE"""),2238.8)</f>
        <v>2238.8000000000002</v>
      </c>
      <c r="C13" s="15">
        <f t="shared" ca="1" si="0"/>
        <v>5.3437514032961264E-3</v>
      </c>
      <c r="D13" s="17"/>
      <c r="E13" s="17"/>
      <c r="F13" s="17"/>
    </row>
    <row r="14" spans="1:6" ht="15.75" customHeight="1" x14ac:dyDescent="0.2">
      <c r="A14" s="13">
        <f ca="1">IFERROR(__xludf.DUMMYFUNCTION("""COMPUTED_VALUE"""),43847.6458333333)</f>
        <v>43847.645833333299</v>
      </c>
      <c r="B14" s="14">
        <f ca="1">IFERROR(__xludf.DUMMYFUNCTION("""COMPUTED_VALUE"""),2219.1)</f>
        <v>2219.1</v>
      </c>
      <c r="C14" s="15">
        <f t="shared" ca="1" si="0"/>
        <v>-8.7993567982849186E-3</v>
      </c>
      <c r="D14" s="17"/>
      <c r="E14" s="17"/>
      <c r="F14" s="17"/>
    </row>
    <row r="15" spans="1:6" ht="15.75" customHeight="1" x14ac:dyDescent="0.2">
      <c r="A15" s="13">
        <f ca="1">IFERROR(__xludf.DUMMYFUNCTION("""COMPUTED_VALUE"""),43850.6458333333)</f>
        <v>43850.645833333299</v>
      </c>
      <c r="B15" s="14">
        <f ca="1">IFERROR(__xludf.DUMMYFUNCTION("""COMPUTED_VALUE"""),2170.35)</f>
        <v>2170.35</v>
      </c>
      <c r="C15" s="15">
        <f t="shared" ca="1" si="0"/>
        <v>-2.196836555360282E-2</v>
      </c>
      <c r="D15" s="17"/>
      <c r="E15" s="17"/>
      <c r="F15" s="17"/>
    </row>
    <row r="16" spans="1:6" ht="15.75" customHeight="1" x14ac:dyDescent="0.2">
      <c r="A16" s="13">
        <f ca="1">IFERROR(__xludf.DUMMYFUNCTION("""COMPUTED_VALUE"""),43851.6458333333)</f>
        <v>43851.645833333299</v>
      </c>
      <c r="B16" s="14">
        <f ca="1">IFERROR(__xludf.DUMMYFUNCTION("""COMPUTED_VALUE"""),2171.05)</f>
        <v>2171.0500000000002</v>
      </c>
      <c r="C16" s="15">
        <f t="shared" ca="1" si="0"/>
        <v>3.2252862441550789E-4</v>
      </c>
      <c r="D16" s="17"/>
      <c r="E16" s="17"/>
      <c r="F16" s="17"/>
    </row>
    <row r="17" spans="1:6" ht="15.75" customHeight="1" x14ac:dyDescent="0.2">
      <c r="A17" s="13">
        <f ca="1">IFERROR(__xludf.DUMMYFUNCTION("""COMPUTED_VALUE"""),43852.6458333333)</f>
        <v>43852.645833333299</v>
      </c>
      <c r="B17" s="14">
        <f ca="1">IFERROR(__xludf.DUMMYFUNCTION("""COMPUTED_VALUE"""),2206.9)</f>
        <v>2206.9</v>
      </c>
      <c r="C17" s="15">
        <f t="shared" ca="1" si="0"/>
        <v>1.6512747288178531E-2</v>
      </c>
      <c r="D17" s="17"/>
      <c r="E17" s="17"/>
      <c r="F17" s="17"/>
    </row>
    <row r="18" spans="1:6" ht="15.75" customHeight="1" x14ac:dyDescent="0.2">
      <c r="A18" s="13">
        <f ca="1">IFERROR(__xludf.DUMMYFUNCTION("""COMPUTED_VALUE"""),43853.6458333333)</f>
        <v>43853.645833333299</v>
      </c>
      <c r="B18" s="14">
        <f ca="1">IFERROR(__xludf.DUMMYFUNCTION("""COMPUTED_VALUE"""),2190.95)</f>
        <v>2190.9499999999998</v>
      </c>
      <c r="C18" s="15">
        <f t="shared" ca="1" si="0"/>
        <v>-7.227332457293123E-3</v>
      </c>
      <c r="D18" s="17"/>
      <c r="E18" s="17"/>
      <c r="F18" s="17"/>
    </row>
    <row r="19" spans="1:6" ht="15.75" customHeight="1" x14ac:dyDescent="0.2">
      <c r="A19" s="13">
        <f ca="1">IFERROR(__xludf.DUMMYFUNCTION("""COMPUTED_VALUE"""),43854.6458333333)</f>
        <v>43854.645833333299</v>
      </c>
      <c r="B19" s="14">
        <f ca="1">IFERROR(__xludf.DUMMYFUNCTION("""COMPUTED_VALUE"""),2183.4)</f>
        <v>2183.4</v>
      </c>
      <c r="C19" s="15">
        <f t="shared" ca="1" si="0"/>
        <v>-3.4459937470046054E-3</v>
      </c>
      <c r="D19" s="17"/>
      <c r="E19" s="17"/>
      <c r="F19" s="17"/>
    </row>
    <row r="20" spans="1:6" ht="15.75" customHeight="1" x14ac:dyDescent="0.2">
      <c r="A20" s="13">
        <f ca="1">IFERROR(__xludf.DUMMYFUNCTION("""COMPUTED_VALUE"""),43857.6458333333)</f>
        <v>43857.645833333299</v>
      </c>
      <c r="B20" s="14">
        <f ca="1">IFERROR(__xludf.DUMMYFUNCTION("""COMPUTED_VALUE"""),2169.25)</f>
        <v>2169.25</v>
      </c>
      <c r="C20" s="15">
        <f t="shared" ca="1" si="0"/>
        <v>-6.480718146010811E-3</v>
      </c>
      <c r="D20" s="17"/>
      <c r="E20" s="17"/>
      <c r="F20" s="17"/>
    </row>
    <row r="21" spans="1:6" ht="15.75" customHeight="1" x14ac:dyDescent="0.2">
      <c r="A21" s="13">
        <f ca="1">IFERROR(__xludf.DUMMYFUNCTION("""COMPUTED_VALUE"""),43858.6458333333)</f>
        <v>43858.645833333299</v>
      </c>
      <c r="B21" s="14">
        <f ca="1">IFERROR(__xludf.DUMMYFUNCTION("""COMPUTED_VALUE"""),2183.75)</f>
        <v>2183.75</v>
      </c>
      <c r="C21" s="15">
        <f t="shared" ca="1" si="0"/>
        <v>6.684337904805826E-3</v>
      </c>
      <c r="D21" s="17"/>
      <c r="E21" s="17"/>
      <c r="F21" s="17"/>
    </row>
    <row r="22" spans="1:6" ht="15.75" customHeight="1" x14ac:dyDescent="0.2">
      <c r="A22" s="13">
        <f ca="1">IFERROR(__xludf.DUMMYFUNCTION("""COMPUTED_VALUE"""),43859.6458333333)</f>
        <v>43859.645833333299</v>
      </c>
      <c r="B22" s="14">
        <f ca="1">IFERROR(__xludf.DUMMYFUNCTION("""COMPUTED_VALUE"""),2154.6)</f>
        <v>2154.6</v>
      </c>
      <c r="C22" s="15">
        <f t="shared" ca="1" si="0"/>
        <v>-1.3348597595878697E-2</v>
      </c>
      <c r="D22" s="17"/>
      <c r="E22" s="17"/>
      <c r="F22" s="17"/>
    </row>
    <row r="23" spans="1:6" ht="15.75" customHeight="1" x14ac:dyDescent="0.2">
      <c r="A23" s="13">
        <f ca="1">IFERROR(__xludf.DUMMYFUNCTION("""COMPUTED_VALUE"""),43860.6458333333)</f>
        <v>43860.645833333299</v>
      </c>
      <c r="B23" s="14">
        <f ca="1">IFERROR(__xludf.DUMMYFUNCTION("""COMPUTED_VALUE"""),2137.85)</f>
        <v>2137.85</v>
      </c>
      <c r="C23" s="15">
        <f t="shared" ca="1" si="0"/>
        <v>-7.7740647916086925E-3</v>
      </c>
      <c r="D23" s="17"/>
      <c r="E23" s="17"/>
      <c r="F23" s="17"/>
    </row>
    <row r="24" spans="1:6" ht="15.75" customHeight="1" x14ac:dyDescent="0.2">
      <c r="A24" s="13">
        <f ca="1">IFERROR(__xludf.DUMMYFUNCTION("""COMPUTED_VALUE"""),43861.6458333333)</f>
        <v>43861.645833333299</v>
      </c>
      <c r="B24" s="14">
        <f ca="1">IFERROR(__xludf.DUMMYFUNCTION("""COMPUTED_VALUE"""),2079.05)</f>
        <v>2079.0500000000002</v>
      </c>
      <c r="C24" s="15">
        <f t="shared" ca="1" si="0"/>
        <v>-2.7504268306943747E-2</v>
      </c>
      <c r="D24" s="17"/>
      <c r="E24" s="17"/>
      <c r="F24" s="17"/>
    </row>
    <row r="25" spans="1:6" ht="15.75" customHeight="1" x14ac:dyDescent="0.2">
      <c r="A25" s="13">
        <f ca="1">IFERROR(__xludf.DUMMYFUNCTION("""COMPUTED_VALUE"""),43862.7083333333)</f>
        <v>43862.708333333299</v>
      </c>
      <c r="B25" s="14">
        <f ca="1">IFERROR(__xludf.DUMMYFUNCTION("""COMPUTED_VALUE"""),2175)</f>
        <v>2175</v>
      </c>
      <c r="C25" s="15">
        <f t="shared" ca="1" si="0"/>
        <v>4.6150886222072529E-2</v>
      </c>
      <c r="D25" s="17"/>
      <c r="E25" s="17"/>
      <c r="F25" s="17"/>
    </row>
    <row r="26" spans="1:6" ht="15.75" customHeight="1" x14ac:dyDescent="0.2">
      <c r="A26" s="13">
        <f ca="1">IFERROR(__xludf.DUMMYFUNCTION("""COMPUTED_VALUE"""),43864.6458333333)</f>
        <v>43864.645833333299</v>
      </c>
      <c r="B26" s="14">
        <f ca="1">IFERROR(__xludf.DUMMYFUNCTION("""COMPUTED_VALUE"""),2102.5)</f>
        <v>2102.5</v>
      </c>
      <c r="C26" s="15">
        <f t="shared" ca="1" si="0"/>
        <v>-3.3333333333333326E-2</v>
      </c>
      <c r="D26" s="17"/>
      <c r="E26" s="17"/>
      <c r="F26" s="17"/>
    </row>
    <row r="27" spans="1:6" ht="15.75" customHeight="1" x14ac:dyDescent="0.2">
      <c r="A27" s="13">
        <f ca="1">IFERROR(__xludf.DUMMYFUNCTION("""COMPUTED_VALUE"""),43865.6458333333)</f>
        <v>43865.645833333299</v>
      </c>
      <c r="B27" s="14">
        <f ca="1">IFERROR(__xludf.DUMMYFUNCTION("""COMPUTED_VALUE"""),2107.75)</f>
        <v>2107.75</v>
      </c>
      <c r="C27" s="15">
        <f t="shared" ca="1" si="0"/>
        <v>2.4970273483948535E-3</v>
      </c>
      <c r="D27" s="17"/>
      <c r="E27" s="17"/>
      <c r="F27" s="17"/>
    </row>
    <row r="28" spans="1:6" ht="15.75" customHeight="1" x14ac:dyDescent="0.2">
      <c r="A28" s="13">
        <f ca="1">IFERROR(__xludf.DUMMYFUNCTION("""COMPUTED_VALUE"""),43866.6458333333)</f>
        <v>43866.645833333299</v>
      </c>
      <c r="B28" s="14">
        <f ca="1">IFERROR(__xludf.DUMMYFUNCTION("""COMPUTED_VALUE"""),2146.55)</f>
        <v>2146.5500000000002</v>
      </c>
      <c r="C28" s="15">
        <f t="shared" ca="1" si="0"/>
        <v>1.8408255248487881E-2</v>
      </c>
      <c r="D28" s="17"/>
      <c r="E28" s="17"/>
      <c r="F28" s="17"/>
    </row>
    <row r="29" spans="1:6" ht="15.75" customHeight="1" x14ac:dyDescent="0.2">
      <c r="A29" s="13">
        <f ca="1">IFERROR(__xludf.DUMMYFUNCTION("""COMPUTED_VALUE"""),43867.6458333333)</f>
        <v>43867.645833333299</v>
      </c>
      <c r="B29" s="14">
        <f ca="1">IFERROR(__xludf.DUMMYFUNCTION("""COMPUTED_VALUE"""),2128.35)</f>
        <v>2128.35</v>
      </c>
      <c r="C29" s="15">
        <f t="shared" ca="1" si="0"/>
        <v>-8.4787216696561307E-3</v>
      </c>
      <c r="D29" s="17"/>
      <c r="E29" s="17"/>
      <c r="F29" s="17"/>
    </row>
    <row r="30" spans="1:6" ht="15.75" customHeight="1" x14ac:dyDescent="0.2">
      <c r="A30" s="13">
        <f ca="1">IFERROR(__xludf.DUMMYFUNCTION("""COMPUTED_VALUE"""),43868.6458333333)</f>
        <v>43868.645833333299</v>
      </c>
      <c r="B30" s="14">
        <f ca="1">IFERROR(__xludf.DUMMYFUNCTION("""COMPUTED_VALUE"""),2136.55)</f>
        <v>2136.5500000000002</v>
      </c>
      <c r="C30" s="15">
        <f t="shared" ca="1" si="0"/>
        <v>3.8527497826956747E-3</v>
      </c>
      <c r="D30" s="17"/>
      <c r="E30" s="17"/>
      <c r="F30" s="17"/>
    </row>
    <row r="31" spans="1:6" ht="15.75" customHeight="1" x14ac:dyDescent="0.2">
      <c r="A31" s="13">
        <f ca="1">IFERROR(__xludf.DUMMYFUNCTION("""COMPUTED_VALUE"""),43871.6458333333)</f>
        <v>43871.645833333299</v>
      </c>
      <c r="B31" s="14">
        <f ca="1">IFERROR(__xludf.DUMMYFUNCTION("""COMPUTED_VALUE"""),2161.95)</f>
        <v>2161.9499999999998</v>
      </c>
      <c r="C31" s="15">
        <f t="shared" ca="1" si="0"/>
        <v>1.1888324635510372E-2</v>
      </c>
      <c r="D31" s="17"/>
      <c r="E31" s="17"/>
      <c r="F31" s="17"/>
    </row>
    <row r="32" spans="1:6" ht="15.75" customHeight="1" x14ac:dyDescent="0.2">
      <c r="A32" s="13">
        <f ca="1">IFERROR(__xludf.DUMMYFUNCTION("""COMPUTED_VALUE"""),43872.6458333333)</f>
        <v>43872.645833333299</v>
      </c>
      <c r="B32" s="14">
        <f ca="1">IFERROR(__xludf.DUMMYFUNCTION("""COMPUTED_VALUE"""),2153.4)</f>
        <v>2153.4</v>
      </c>
      <c r="C32" s="15">
        <f t="shared" ca="1" si="0"/>
        <v>-3.9547630611252993E-3</v>
      </c>
      <c r="D32" s="17"/>
      <c r="E32" s="17"/>
      <c r="F32" s="17"/>
    </row>
    <row r="33" spans="1:6" ht="15.75" customHeight="1" x14ac:dyDescent="0.2">
      <c r="A33" s="13">
        <f ca="1">IFERROR(__xludf.DUMMYFUNCTION("""COMPUTED_VALUE"""),43873.6458333333)</f>
        <v>43873.645833333299</v>
      </c>
      <c r="B33" s="14">
        <f ca="1">IFERROR(__xludf.DUMMYFUNCTION("""COMPUTED_VALUE"""),2170.75)</f>
        <v>2170.75</v>
      </c>
      <c r="C33" s="15">
        <f t="shared" ca="1" si="0"/>
        <v>8.057026098263087E-3</v>
      </c>
      <c r="D33" s="17"/>
      <c r="E33" s="17"/>
      <c r="F33" s="17"/>
    </row>
    <row r="34" spans="1:6" ht="15.75" customHeight="1" x14ac:dyDescent="0.2">
      <c r="A34" s="13">
        <f ca="1">IFERROR(__xludf.DUMMYFUNCTION("""COMPUTED_VALUE"""),43874.6458333333)</f>
        <v>43874.645833333299</v>
      </c>
      <c r="B34" s="14">
        <f ca="1">IFERROR(__xludf.DUMMYFUNCTION("""COMPUTED_VALUE"""),2191.95)</f>
        <v>2191.9499999999998</v>
      </c>
      <c r="C34" s="15">
        <f t="shared" ca="1" si="0"/>
        <v>9.7662098353104021E-3</v>
      </c>
      <c r="D34" s="17"/>
      <c r="E34" s="17"/>
      <c r="F34" s="17"/>
    </row>
    <row r="35" spans="1:6" ht="15.75" customHeight="1" x14ac:dyDescent="0.2">
      <c r="A35" s="13">
        <f ca="1">IFERROR(__xludf.DUMMYFUNCTION("""COMPUTED_VALUE"""),43875.6458333333)</f>
        <v>43875.645833333299</v>
      </c>
      <c r="B35" s="14">
        <f ca="1">IFERROR(__xludf.DUMMYFUNCTION("""COMPUTED_VALUE"""),2184.2)</f>
        <v>2184.1999999999998</v>
      </c>
      <c r="C35" s="15">
        <f t="shared" ca="1" si="0"/>
        <v>-3.5356645908893869E-3</v>
      </c>
      <c r="D35" s="17"/>
      <c r="E35" s="17"/>
      <c r="F35" s="17"/>
    </row>
    <row r="36" spans="1:6" ht="15.75" customHeight="1" x14ac:dyDescent="0.2">
      <c r="A36" s="13">
        <f ca="1">IFERROR(__xludf.DUMMYFUNCTION("""COMPUTED_VALUE"""),43878.6458333333)</f>
        <v>43878.645833333299</v>
      </c>
      <c r="B36" s="14">
        <f ca="1">IFERROR(__xludf.DUMMYFUNCTION("""COMPUTED_VALUE"""),2203.25)</f>
        <v>2203.25</v>
      </c>
      <c r="C36" s="15">
        <f t="shared" ca="1" si="0"/>
        <v>8.7217287794159049E-3</v>
      </c>
      <c r="D36" s="17"/>
      <c r="E36" s="17"/>
      <c r="F36" s="17"/>
    </row>
    <row r="37" spans="1:6" ht="12.75" x14ac:dyDescent="0.2">
      <c r="A37" s="13">
        <f ca="1">IFERROR(__xludf.DUMMYFUNCTION("""COMPUTED_VALUE"""),43879.6458333333)</f>
        <v>43879.645833333299</v>
      </c>
      <c r="B37" s="14">
        <f ca="1">IFERROR(__xludf.DUMMYFUNCTION("""COMPUTED_VALUE"""),2215.75)</f>
        <v>2215.75</v>
      </c>
      <c r="C37" s="15">
        <f t="shared" ca="1" si="0"/>
        <v>5.6734369681152863E-3</v>
      </c>
      <c r="D37" s="17"/>
      <c r="E37" s="17"/>
      <c r="F37" s="17"/>
    </row>
    <row r="38" spans="1:6" ht="12.75" x14ac:dyDescent="0.2">
      <c r="A38" s="13">
        <f ca="1">IFERROR(__xludf.DUMMYFUNCTION("""COMPUTED_VALUE"""),43880.6458333333)</f>
        <v>43880.645833333299</v>
      </c>
      <c r="B38" s="14">
        <f ca="1">IFERROR(__xludf.DUMMYFUNCTION("""COMPUTED_VALUE"""),2196.35)</f>
        <v>2196.35</v>
      </c>
      <c r="C38" s="15">
        <f t="shared" ca="1" si="0"/>
        <v>-8.7555003949001398E-3</v>
      </c>
      <c r="D38" s="17"/>
      <c r="E38" s="17"/>
      <c r="F38" s="17"/>
    </row>
    <row r="39" spans="1:6" ht="12.75" x14ac:dyDescent="0.2">
      <c r="A39" s="13">
        <f ca="1">IFERROR(__xludf.DUMMYFUNCTION("""COMPUTED_VALUE"""),43881.6458333333)</f>
        <v>43881.645833333299</v>
      </c>
      <c r="B39" s="14">
        <f ca="1">IFERROR(__xludf.DUMMYFUNCTION("""COMPUTED_VALUE"""),2156.8)</f>
        <v>2156.8000000000002</v>
      </c>
      <c r="C39" s="15">
        <f t="shared" ca="1" si="0"/>
        <v>-1.8007148223188385E-2</v>
      </c>
      <c r="D39" s="17"/>
      <c r="E39" s="17"/>
      <c r="F39" s="17"/>
    </row>
    <row r="40" spans="1:6" ht="12.75" x14ac:dyDescent="0.2">
      <c r="A40" s="13">
        <f ca="1">IFERROR(__xludf.DUMMYFUNCTION("""COMPUTED_VALUE"""),43885.6458333333)</f>
        <v>43885.645833333299</v>
      </c>
      <c r="B40" s="14">
        <f ca="1">IFERROR(__xludf.DUMMYFUNCTION("""COMPUTED_VALUE"""),2115.35)</f>
        <v>2115.35</v>
      </c>
      <c r="C40" s="15">
        <f t="shared" ca="1" si="0"/>
        <v>-1.9218286350148439E-2</v>
      </c>
      <c r="D40" s="17"/>
      <c r="E40" s="17"/>
      <c r="F40" s="17"/>
    </row>
    <row r="41" spans="1:6" ht="12.75" x14ac:dyDescent="0.2">
      <c r="A41" s="13">
        <f ca="1">IFERROR(__xludf.DUMMYFUNCTION("""COMPUTED_VALUE"""),43886.6458333333)</f>
        <v>43886.645833333299</v>
      </c>
      <c r="B41" s="14">
        <f ca="1">IFERROR(__xludf.DUMMYFUNCTION("""COMPUTED_VALUE"""),2156.15)</f>
        <v>2156.15</v>
      </c>
      <c r="C41" s="15">
        <f t="shared" ca="1" si="0"/>
        <v>1.9287588342354889E-2</v>
      </c>
      <c r="D41" s="17"/>
      <c r="E41" s="17"/>
      <c r="F41" s="17"/>
    </row>
    <row r="42" spans="1:6" ht="12.75" x14ac:dyDescent="0.2">
      <c r="A42" s="13">
        <f ca="1">IFERROR(__xludf.DUMMYFUNCTION("""COMPUTED_VALUE"""),43887.6458333333)</f>
        <v>43887.645833333299</v>
      </c>
      <c r="B42" s="14">
        <f ca="1">IFERROR(__xludf.DUMMYFUNCTION("""COMPUTED_VALUE"""),2123.6)</f>
        <v>2123.6</v>
      </c>
      <c r="C42" s="15">
        <f t="shared" ca="1" si="0"/>
        <v>-1.5096352294599269E-2</v>
      </c>
      <c r="D42" s="17"/>
      <c r="E42" s="17"/>
      <c r="F42" s="17"/>
    </row>
    <row r="43" spans="1:6" ht="12.75" x14ac:dyDescent="0.2">
      <c r="A43" s="13">
        <f ca="1">IFERROR(__xludf.DUMMYFUNCTION("""COMPUTED_VALUE"""),43888.6458333333)</f>
        <v>43888.645833333299</v>
      </c>
      <c r="B43" s="14">
        <f ca="1">IFERROR(__xludf.DUMMYFUNCTION("""COMPUTED_VALUE"""),2105.5)</f>
        <v>2105.5</v>
      </c>
      <c r="C43" s="15">
        <f t="shared" ca="1" si="0"/>
        <v>-8.5232623846298594E-3</v>
      </c>
      <c r="D43" s="17"/>
      <c r="E43" s="17"/>
      <c r="F43" s="17"/>
    </row>
    <row r="44" spans="1:6" ht="12.75" x14ac:dyDescent="0.2">
      <c r="A44" s="13">
        <f ca="1">IFERROR(__xludf.DUMMYFUNCTION("""COMPUTED_VALUE"""),43889.6458333333)</f>
        <v>43889.645833333299</v>
      </c>
      <c r="B44" s="14">
        <f ca="1">IFERROR(__xludf.DUMMYFUNCTION("""COMPUTED_VALUE"""),2000.15)</f>
        <v>2000.15</v>
      </c>
      <c r="C44" s="15">
        <f t="shared" ca="1" si="0"/>
        <v>-5.0035620992638252E-2</v>
      </c>
      <c r="D44" s="17"/>
      <c r="E44" s="17"/>
      <c r="F44" s="17"/>
    </row>
    <row r="45" spans="1:6" ht="12.75" x14ac:dyDescent="0.2">
      <c r="A45" s="13">
        <f ca="1">IFERROR(__xludf.DUMMYFUNCTION("""COMPUTED_VALUE"""),43892.6458333333)</f>
        <v>43892.645833333299</v>
      </c>
      <c r="B45" s="14">
        <f ca="1">IFERROR(__xludf.DUMMYFUNCTION("""COMPUTED_VALUE"""),2001.3)</f>
        <v>2001.3</v>
      </c>
      <c r="C45" s="15">
        <f t="shared" ca="1" si="0"/>
        <v>5.7495687823405639E-4</v>
      </c>
      <c r="D45" s="17"/>
      <c r="E45" s="17"/>
      <c r="F45" s="17"/>
    </row>
    <row r="46" spans="1:6" ht="12.75" x14ac:dyDescent="0.2">
      <c r="A46" s="13">
        <f ca="1">IFERROR(__xludf.DUMMYFUNCTION("""COMPUTED_VALUE"""),43893.6458333333)</f>
        <v>43893.645833333299</v>
      </c>
      <c r="B46" s="14">
        <f ca="1">IFERROR(__xludf.DUMMYFUNCTION("""COMPUTED_VALUE"""),2036.2)</f>
        <v>2036.2</v>
      </c>
      <c r="C46" s="15">
        <f t="shared" ca="1" si="0"/>
        <v>1.7438664867835962E-2</v>
      </c>
      <c r="D46" s="17"/>
      <c r="E46" s="17"/>
      <c r="F46" s="17"/>
    </row>
    <row r="47" spans="1:6" ht="12.75" x14ac:dyDescent="0.2">
      <c r="A47" s="13">
        <f ca="1">IFERROR(__xludf.DUMMYFUNCTION("""COMPUTED_VALUE"""),43894.6458333333)</f>
        <v>43894.645833333299</v>
      </c>
      <c r="B47" s="14">
        <f ca="1">IFERROR(__xludf.DUMMYFUNCTION("""COMPUTED_VALUE"""),2083.2)</f>
        <v>2083.1999999999998</v>
      </c>
      <c r="C47" s="15">
        <f t="shared" ca="1" si="0"/>
        <v>2.3082211963461274E-2</v>
      </c>
      <c r="D47" s="17"/>
      <c r="E47" s="17"/>
      <c r="F47" s="17"/>
    </row>
    <row r="48" spans="1:6" ht="12.75" x14ac:dyDescent="0.2">
      <c r="A48" s="13">
        <f ca="1">IFERROR(__xludf.DUMMYFUNCTION("""COMPUTED_VALUE"""),43895.6458333333)</f>
        <v>43895.645833333299</v>
      </c>
      <c r="B48" s="14">
        <f ca="1">IFERROR(__xludf.DUMMYFUNCTION("""COMPUTED_VALUE"""),2125.05)</f>
        <v>2125.0500000000002</v>
      </c>
      <c r="C48" s="15">
        <f t="shared" ca="1" si="0"/>
        <v>2.0089285714285809E-2</v>
      </c>
      <c r="D48" s="17"/>
      <c r="E48" s="17"/>
      <c r="F48" s="17"/>
    </row>
    <row r="49" spans="1:6" ht="12.75" x14ac:dyDescent="0.2">
      <c r="A49" s="13">
        <f ca="1">IFERROR(__xludf.DUMMYFUNCTION("""COMPUTED_VALUE"""),43896.6458333333)</f>
        <v>43896.645833333299</v>
      </c>
      <c r="B49" s="14">
        <f ca="1">IFERROR(__xludf.DUMMYFUNCTION("""COMPUTED_VALUE"""),2116.45)</f>
        <v>2116.4499999999998</v>
      </c>
      <c r="C49" s="15">
        <f t="shared" ca="1" si="0"/>
        <v>-4.0469636008566567E-3</v>
      </c>
      <c r="D49" s="17"/>
      <c r="E49" s="17"/>
      <c r="F49" s="17"/>
    </row>
    <row r="50" spans="1:6" ht="12.75" x14ac:dyDescent="0.2">
      <c r="A50" s="13">
        <f ca="1">IFERROR(__xludf.DUMMYFUNCTION("""COMPUTED_VALUE"""),43899.6458333333)</f>
        <v>43899.645833333299</v>
      </c>
      <c r="B50" s="14">
        <f ca="1">IFERROR(__xludf.DUMMYFUNCTION("""COMPUTED_VALUE"""),1972.35)</f>
        <v>1972.35</v>
      </c>
      <c r="C50" s="15">
        <f t="shared" ca="1" si="0"/>
        <v>-6.8085709560821162E-2</v>
      </c>
      <c r="D50" s="17"/>
      <c r="E50" s="17"/>
      <c r="F50" s="17"/>
    </row>
    <row r="51" spans="1:6" ht="12.75" x14ac:dyDescent="0.2">
      <c r="A51" s="13">
        <f ca="1">IFERROR(__xludf.DUMMYFUNCTION("""COMPUTED_VALUE"""),43901.6458333333)</f>
        <v>43901.645833333299</v>
      </c>
      <c r="B51" s="14">
        <f ca="1">IFERROR(__xludf.DUMMYFUNCTION("""COMPUTED_VALUE"""),1953.7)</f>
        <v>1953.7</v>
      </c>
      <c r="C51" s="15">
        <f t="shared" ca="1" si="0"/>
        <v>-9.4557254037062055E-3</v>
      </c>
      <c r="D51" s="14">
        <f t="shared" ref="D51:D305" ca="1" si="1">AVERAGE(B2:B51)</f>
        <v>2151.2929999999997</v>
      </c>
      <c r="E51" s="17"/>
      <c r="F51" s="17"/>
    </row>
    <row r="52" spans="1:6" ht="12.75" x14ac:dyDescent="0.2">
      <c r="A52" s="13">
        <f ca="1">IFERROR(__xludf.DUMMYFUNCTION("""COMPUTED_VALUE"""),43902.6458333333)</f>
        <v>43902.645833333299</v>
      </c>
      <c r="B52" s="14">
        <f ca="1">IFERROR(__xludf.DUMMYFUNCTION("""COMPUTED_VALUE"""),1769.85)</f>
        <v>1769.85</v>
      </c>
      <c r="C52" s="15">
        <f t="shared" ca="1" si="0"/>
        <v>-9.4103495930798031E-2</v>
      </c>
      <c r="D52" s="14">
        <f t="shared" ca="1" si="1"/>
        <v>2143.3380000000002</v>
      </c>
      <c r="E52" s="17"/>
      <c r="F52" s="17"/>
    </row>
    <row r="53" spans="1:6" ht="12.75" x14ac:dyDescent="0.2">
      <c r="A53" s="13">
        <f ca="1">IFERROR(__xludf.DUMMYFUNCTION("""COMPUTED_VALUE"""),43903.6458333333)</f>
        <v>43903.645833333299</v>
      </c>
      <c r="B53" s="14">
        <f ca="1">IFERROR(__xludf.DUMMYFUNCTION("""COMPUTED_VALUE"""),1806.3)</f>
        <v>1806.3</v>
      </c>
      <c r="C53" s="15">
        <f t="shared" ca="1" si="0"/>
        <v>2.0594965675057253E-2</v>
      </c>
      <c r="D53" s="14">
        <f t="shared" ca="1" si="1"/>
        <v>2136.3110000000001</v>
      </c>
      <c r="E53" s="17"/>
      <c r="F53" s="17"/>
    </row>
    <row r="54" spans="1:6" ht="12.75" x14ac:dyDescent="0.2">
      <c r="A54" s="13">
        <f ca="1">IFERROR(__xludf.DUMMYFUNCTION("""COMPUTED_VALUE"""),43906.6458333333)</f>
        <v>43906.645833333299</v>
      </c>
      <c r="B54" s="14">
        <f ca="1">IFERROR(__xludf.DUMMYFUNCTION("""COMPUTED_VALUE"""),1696.4)</f>
        <v>1696.4</v>
      </c>
      <c r="C54" s="15">
        <f t="shared" ca="1" si="0"/>
        <v>-6.0842606433039848E-2</v>
      </c>
      <c r="D54" s="14">
        <f t="shared" ca="1" si="1"/>
        <v>2126.2260000000006</v>
      </c>
      <c r="E54" s="17"/>
      <c r="F54" s="17"/>
    </row>
    <row r="55" spans="1:6" ht="12.75" x14ac:dyDescent="0.2">
      <c r="A55" s="13">
        <f ca="1">IFERROR(__xludf.DUMMYFUNCTION("""COMPUTED_VALUE"""),43907.6458333333)</f>
        <v>43907.645833333299</v>
      </c>
      <c r="B55" s="14">
        <f ca="1">IFERROR(__xludf.DUMMYFUNCTION("""COMPUTED_VALUE"""),1658)</f>
        <v>1658</v>
      </c>
      <c r="C55" s="15">
        <f t="shared" ca="1" si="0"/>
        <v>-2.2636170714454229E-2</v>
      </c>
      <c r="D55" s="14">
        <f t="shared" ca="1" si="1"/>
        <v>2115.377</v>
      </c>
      <c r="E55" s="17"/>
      <c r="F55" s="17"/>
    </row>
    <row r="56" spans="1:6" ht="12.75" x14ac:dyDescent="0.2">
      <c r="A56" s="13">
        <f ca="1">IFERROR(__xludf.DUMMYFUNCTION("""COMPUTED_VALUE"""),43908.6458333333)</f>
        <v>43908.645833333299</v>
      </c>
      <c r="B56" s="14">
        <f ca="1">IFERROR(__xludf.DUMMYFUNCTION("""COMPUTED_VALUE"""),1654.4)</f>
        <v>1654.4</v>
      </c>
      <c r="C56" s="15">
        <f t="shared" ca="1" si="0"/>
        <v>-2.1712907117007463E-3</v>
      </c>
      <c r="D56" s="14">
        <f t="shared" ca="1" si="1"/>
        <v>2104.348</v>
      </c>
      <c r="E56" s="17"/>
      <c r="F56" s="17"/>
    </row>
    <row r="57" spans="1:6" ht="12.75" x14ac:dyDescent="0.2">
      <c r="A57" s="13">
        <f ca="1">IFERROR(__xludf.DUMMYFUNCTION("""COMPUTED_VALUE"""),43909.6458333333)</f>
        <v>43909.645833333299</v>
      </c>
      <c r="B57" s="14">
        <f ca="1">IFERROR(__xludf.DUMMYFUNCTION("""COMPUTED_VALUE"""),1636.35)</f>
        <v>1636.35</v>
      </c>
      <c r="C57" s="15">
        <f t="shared" ca="1" si="0"/>
        <v>-1.091029980657654E-2</v>
      </c>
      <c r="D57" s="14">
        <f t="shared" ca="1" si="1"/>
        <v>2091.9700000000003</v>
      </c>
      <c r="E57" s="17"/>
      <c r="F57" s="17"/>
    </row>
    <row r="58" spans="1:6" ht="12.75" x14ac:dyDescent="0.2">
      <c r="A58" s="13">
        <f ca="1">IFERROR(__xludf.DUMMYFUNCTION("""COMPUTED_VALUE"""),43910.6458333333)</f>
        <v>43910.645833333299</v>
      </c>
      <c r="B58" s="14">
        <f ca="1">IFERROR(__xludf.DUMMYFUNCTION("""COMPUTED_VALUE"""),1797.45)</f>
        <v>1797.45</v>
      </c>
      <c r="C58" s="15">
        <f t="shared" ca="1" si="0"/>
        <v>9.8450820423503727E-2</v>
      </c>
      <c r="D58" s="14">
        <f t="shared" ca="1" si="1"/>
        <v>2083.6320000000001</v>
      </c>
      <c r="E58" s="17"/>
      <c r="F58" s="17"/>
    </row>
    <row r="59" spans="1:6" ht="12.75" x14ac:dyDescent="0.2">
      <c r="A59" s="13">
        <f ca="1">IFERROR(__xludf.DUMMYFUNCTION("""COMPUTED_VALUE"""),43913.6458333333)</f>
        <v>43913.645833333299</v>
      </c>
      <c r="B59" s="14">
        <f ca="1">IFERROR(__xludf.DUMMYFUNCTION("""COMPUTED_VALUE"""),1669.7)</f>
        <v>1669.7</v>
      </c>
      <c r="C59" s="15">
        <f t="shared" ca="1" si="0"/>
        <v>-7.107290884308326E-2</v>
      </c>
      <c r="D59" s="14">
        <f t="shared" ca="1" si="1"/>
        <v>2072.7549999999997</v>
      </c>
      <c r="E59" s="17"/>
      <c r="F59" s="17"/>
    </row>
    <row r="60" spans="1:6" ht="12.75" x14ac:dyDescent="0.2">
      <c r="A60" s="13">
        <f ca="1">IFERROR(__xludf.DUMMYFUNCTION("""COMPUTED_VALUE"""),43914.6458333333)</f>
        <v>43914.645833333299</v>
      </c>
      <c r="B60" s="14">
        <f ca="1">IFERROR(__xludf.DUMMYFUNCTION("""COMPUTED_VALUE"""),1703.15)</f>
        <v>1703.15</v>
      </c>
      <c r="C60" s="15">
        <f t="shared" ca="1" si="0"/>
        <v>2.0033538959094432E-2</v>
      </c>
      <c r="D60" s="14">
        <f t="shared" ca="1" si="1"/>
        <v>2063.011</v>
      </c>
      <c r="E60" s="17"/>
      <c r="F60" s="17"/>
    </row>
    <row r="61" spans="1:6" ht="12.75" x14ac:dyDescent="0.2">
      <c r="A61" s="13">
        <f ca="1">IFERROR(__xludf.DUMMYFUNCTION("""COMPUTED_VALUE"""),43915.6458333333)</f>
        <v>43915.645833333299</v>
      </c>
      <c r="B61" s="14">
        <f ca="1">IFERROR(__xludf.DUMMYFUNCTION("""COMPUTED_VALUE"""),1750.3)</f>
        <v>1750.3</v>
      </c>
      <c r="C61" s="15">
        <f t="shared" ca="1" si="0"/>
        <v>2.7683997299122076E-2</v>
      </c>
      <c r="D61" s="14">
        <f t="shared" ca="1" si="1"/>
        <v>2053.8789999999995</v>
      </c>
      <c r="E61" s="17"/>
      <c r="F61" s="17"/>
    </row>
    <row r="62" spans="1:6" ht="12.75" x14ac:dyDescent="0.2">
      <c r="A62" s="13">
        <f ca="1">IFERROR(__xludf.DUMMYFUNCTION("""COMPUTED_VALUE"""),43916.6458333333)</f>
        <v>43916.645833333299</v>
      </c>
      <c r="B62" s="14">
        <f ca="1">IFERROR(__xludf.DUMMYFUNCTION("""COMPUTED_VALUE"""),1790.95)</f>
        <v>1790.95</v>
      </c>
      <c r="C62" s="15">
        <f t="shared" ca="1" si="0"/>
        <v>2.3224590070273665E-2</v>
      </c>
      <c r="D62" s="14">
        <f t="shared" ca="1" si="1"/>
        <v>2045.1599999999994</v>
      </c>
      <c r="E62" s="17"/>
      <c r="F62" s="17"/>
    </row>
    <row r="63" spans="1:6" ht="12.75" x14ac:dyDescent="0.2">
      <c r="A63" s="13">
        <f ca="1">IFERROR(__xludf.DUMMYFUNCTION("""COMPUTED_VALUE"""),43917.6458333333)</f>
        <v>43917.645833333299</v>
      </c>
      <c r="B63" s="14">
        <f ca="1">IFERROR(__xludf.DUMMYFUNCTION("""COMPUTED_VALUE"""),1824.5)</f>
        <v>1824.5</v>
      </c>
      <c r="C63" s="15">
        <f t="shared" ca="1" si="0"/>
        <v>1.8733074625198798E-2</v>
      </c>
      <c r="D63" s="14">
        <f t="shared" ca="1" si="1"/>
        <v>2036.8739999999996</v>
      </c>
      <c r="E63" s="17"/>
      <c r="F63" s="17"/>
    </row>
    <row r="64" spans="1:6" ht="12.75" x14ac:dyDescent="0.2">
      <c r="A64" s="13">
        <f ca="1">IFERROR(__xludf.DUMMYFUNCTION("""COMPUTED_VALUE"""),43920.6458333333)</f>
        <v>43920.645833333299</v>
      </c>
      <c r="B64" s="14">
        <f ca="1">IFERROR(__xludf.DUMMYFUNCTION("""COMPUTED_VALUE"""),1778.5)</f>
        <v>1778.5</v>
      </c>
      <c r="C64" s="15">
        <f t="shared" ca="1" si="0"/>
        <v>-2.5212386955330235E-2</v>
      </c>
      <c r="D64" s="14">
        <f t="shared" ca="1" si="1"/>
        <v>2028.0619999999994</v>
      </c>
      <c r="E64" s="17"/>
      <c r="F64" s="17"/>
    </row>
    <row r="65" spans="1:6" ht="12.75" x14ac:dyDescent="0.2">
      <c r="A65" s="13">
        <f ca="1">IFERROR(__xludf.DUMMYFUNCTION("""COMPUTED_VALUE"""),43921.6458333333)</f>
        <v>43921.645833333299</v>
      </c>
      <c r="B65" s="14">
        <f ca="1">IFERROR(__xludf.DUMMYFUNCTION("""COMPUTED_VALUE"""),1826.1)</f>
        <v>1826.1</v>
      </c>
      <c r="C65" s="15">
        <f t="shared" ca="1" si="0"/>
        <v>2.6764127073376498E-2</v>
      </c>
      <c r="D65" s="14">
        <f t="shared" ca="1" si="1"/>
        <v>2021.1769999999999</v>
      </c>
      <c r="E65" s="17"/>
      <c r="F65" s="17"/>
    </row>
    <row r="66" spans="1:6" ht="12.75" x14ac:dyDescent="0.2">
      <c r="A66" s="13">
        <f ca="1">IFERROR(__xludf.DUMMYFUNCTION("""COMPUTED_VALUE"""),43922.6458333333)</f>
        <v>43922.645833333299</v>
      </c>
      <c r="B66" s="14">
        <f ca="1">IFERROR(__xludf.DUMMYFUNCTION("""COMPUTED_VALUE"""),1708.75)</f>
        <v>1708.75</v>
      </c>
      <c r="C66" s="15">
        <f t="shared" ca="1" si="0"/>
        <v>-6.426263621926509E-2</v>
      </c>
      <c r="D66" s="14">
        <f t="shared" ca="1" si="1"/>
        <v>2011.9309999999998</v>
      </c>
      <c r="E66" s="17"/>
      <c r="F66" s="17"/>
    </row>
    <row r="67" spans="1:6" ht="12.75" x14ac:dyDescent="0.2">
      <c r="A67" s="13">
        <f ca="1">IFERROR(__xludf.DUMMYFUNCTION("""COMPUTED_VALUE"""),43924.6458333333)</f>
        <v>43924.645833333299</v>
      </c>
      <c r="B67" s="14">
        <f ca="1">IFERROR(__xludf.DUMMYFUNCTION("""COMPUTED_VALUE"""),1654.2)</f>
        <v>1654.2</v>
      </c>
      <c r="C67" s="15">
        <f t="shared" ca="1" si="0"/>
        <v>-3.1923920994879285E-2</v>
      </c>
      <c r="D67" s="14">
        <f t="shared" ca="1" si="1"/>
        <v>2000.8769999999997</v>
      </c>
      <c r="E67" s="17"/>
      <c r="F67" s="17"/>
    </row>
    <row r="68" spans="1:6" ht="12.75" x14ac:dyDescent="0.2">
      <c r="A68" s="13">
        <f ca="1">IFERROR(__xludf.DUMMYFUNCTION("""COMPUTED_VALUE"""),43928.6458333333)</f>
        <v>43928.645833333299</v>
      </c>
      <c r="B68" s="14">
        <f ca="1">IFERROR(__xludf.DUMMYFUNCTION("""COMPUTED_VALUE"""),1775.2)</f>
        <v>1775.2</v>
      </c>
      <c r="C68" s="15">
        <f t="shared" ca="1" si="0"/>
        <v>7.3147140611776074E-2</v>
      </c>
      <c r="D68" s="14">
        <f t="shared" ca="1" si="1"/>
        <v>1992.5619999999999</v>
      </c>
      <c r="E68" s="17"/>
      <c r="F68" s="17"/>
    </row>
    <row r="69" spans="1:6" ht="12.75" x14ac:dyDescent="0.2">
      <c r="A69" s="13">
        <f ca="1">IFERROR(__xludf.DUMMYFUNCTION("""COMPUTED_VALUE"""),43929.6458333333)</f>
        <v>43929.645833333299</v>
      </c>
      <c r="B69" s="14">
        <f ca="1">IFERROR(__xludf.DUMMYFUNCTION("""COMPUTED_VALUE"""),1705.45)</f>
        <v>1705.45</v>
      </c>
      <c r="C69" s="15">
        <f t="shared" ca="1" si="0"/>
        <v>-3.9291347453808023E-2</v>
      </c>
      <c r="D69" s="14">
        <f t="shared" ca="1" si="1"/>
        <v>1983.0029999999997</v>
      </c>
      <c r="E69" s="17"/>
      <c r="F69" s="17"/>
    </row>
    <row r="70" spans="1:6" ht="12.75" x14ac:dyDescent="0.2">
      <c r="A70" s="13">
        <f ca="1">IFERROR(__xludf.DUMMYFUNCTION("""COMPUTED_VALUE"""),43930.6458333333)</f>
        <v>43930.645833333299</v>
      </c>
      <c r="B70" s="14">
        <f ca="1">IFERROR(__xludf.DUMMYFUNCTION("""COMPUTED_VALUE"""),1766.15)</f>
        <v>1766.15</v>
      </c>
      <c r="C70" s="15">
        <f t="shared" ca="1" si="0"/>
        <v>3.5591779295787163E-2</v>
      </c>
      <c r="D70" s="14">
        <f t="shared" ca="1" si="1"/>
        <v>1974.9409999999996</v>
      </c>
      <c r="E70" s="17"/>
      <c r="F70" s="17"/>
    </row>
    <row r="71" spans="1:6" ht="12.75" x14ac:dyDescent="0.2">
      <c r="A71" s="13">
        <f ca="1">IFERROR(__xludf.DUMMYFUNCTION("""COMPUTED_VALUE"""),43934.6458333333)</f>
        <v>43934.645833333299</v>
      </c>
      <c r="B71" s="14">
        <f ca="1">IFERROR(__xludf.DUMMYFUNCTION("""COMPUTED_VALUE"""),1759.25)</f>
        <v>1759.25</v>
      </c>
      <c r="C71" s="15">
        <f t="shared" ca="1" si="0"/>
        <v>-3.9068029329332177E-3</v>
      </c>
      <c r="D71" s="14">
        <f t="shared" ca="1" si="1"/>
        <v>1966.4509999999991</v>
      </c>
      <c r="E71" s="17"/>
      <c r="F71" s="17"/>
    </row>
    <row r="72" spans="1:6" ht="12.75" x14ac:dyDescent="0.2">
      <c r="A72" s="13">
        <f ca="1">IFERROR(__xludf.DUMMYFUNCTION("""COMPUTED_VALUE"""),43936.6458333333)</f>
        <v>43936.645833333299</v>
      </c>
      <c r="B72" s="14">
        <f ca="1">IFERROR(__xludf.DUMMYFUNCTION("""COMPUTED_VALUE"""),1735.15)</f>
        <v>1735.15</v>
      </c>
      <c r="C72" s="15">
        <f t="shared" ca="1" si="0"/>
        <v>-1.3699019468523477E-2</v>
      </c>
      <c r="D72" s="14">
        <f t="shared" ca="1" si="1"/>
        <v>1958.0619999999994</v>
      </c>
      <c r="E72" s="17"/>
      <c r="F72" s="17"/>
    </row>
    <row r="73" spans="1:6" ht="12.75" x14ac:dyDescent="0.2">
      <c r="A73" s="13">
        <f ca="1">IFERROR(__xludf.DUMMYFUNCTION("""COMPUTED_VALUE"""),43937.6458333333)</f>
        <v>43937.645833333299</v>
      </c>
      <c r="B73" s="14">
        <f ca="1">IFERROR(__xludf.DUMMYFUNCTION("""COMPUTED_VALUE"""),1716.05)</f>
        <v>1716.05</v>
      </c>
      <c r="C73" s="15">
        <f t="shared" ca="1" si="0"/>
        <v>-1.1007693859320544E-2</v>
      </c>
      <c r="D73" s="14">
        <f t="shared" ca="1" si="1"/>
        <v>1949.6259999999995</v>
      </c>
      <c r="E73" s="17"/>
      <c r="F73" s="17"/>
    </row>
    <row r="74" spans="1:6" ht="12.75" x14ac:dyDescent="0.2">
      <c r="A74" s="13">
        <f ca="1">IFERROR(__xludf.DUMMYFUNCTION("""COMPUTED_VALUE"""),43938.6458333333)</f>
        <v>43938.645833333299</v>
      </c>
      <c r="B74" s="14">
        <f ca="1">IFERROR(__xludf.DUMMYFUNCTION("""COMPUTED_VALUE"""),1806.2)</f>
        <v>1806.2</v>
      </c>
      <c r="C74" s="15">
        <f t="shared" ca="1" si="0"/>
        <v>5.2533434340491292E-2</v>
      </c>
      <c r="D74" s="14">
        <f t="shared" ca="1" si="1"/>
        <v>1944.1689999999996</v>
      </c>
      <c r="E74" s="17"/>
      <c r="F74" s="17"/>
    </row>
    <row r="75" spans="1:6" ht="12.75" x14ac:dyDescent="0.2">
      <c r="A75" s="13">
        <f ca="1">IFERROR(__xludf.DUMMYFUNCTION("""COMPUTED_VALUE"""),43941.6458333333)</f>
        <v>43941.645833333299</v>
      </c>
      <c r="B75" s="14">
        <f ca="1">IFERROR(__xludf.DUMMYFUNCTION("""COMPUTED_VALUE"""),1818.65)</f>
        <v>1818.65</v>
      </c>
      <c r="C75" s="15">
        <f t="shared" ca="1" si="0"/>
        <v>6.8929243716089328E-3</v>
      </c>
      <c r="D75" s="14">
        <f t="shared" ca="1" si="1"/>
        <v>1937.0419999999992</v>
      </c>
      <c r="E75" s="17"/>
      <c r="F75" s="17"/>
    </row>
    <row r="76" spans="1:6" ht="12.75" x14ac:dyDescent="0.2">
      <c r="A76" s="13">
        <f ca="1">IFERROR(__xludf.DUMMYFUNCTION("""COMPUTED_VALUE"""),43942.6458333333)</f>
        <v>43942.645833333299</v>
      </c>
      <c r="B76" s="14">
        <f ca="1">IFERROR(__xludf.DUMMYFUNCTION("""COMPUTED_VALUE"""),1737.65)</f>
        <v>1737.65</v>
      </c>
      <c r="C76" s="15">
        <f t="shared" ca="1" si="0"/>
        <v>-4.4538531328182973E-2</v>
      </c>
      <c r="D76" s="14">
        <f t="shared" ca="1" si="1"/>
        <v>1929.7449999999992</v>
      </c>
      <c r="E76" s="17"/>
      <c r="F76" s="17"/>
    </row>
    <row r="77" spans="1:6" ht="12.75" x14ac:dyDescent="0.2">
      <c r="A77" s="13">
        <f ca="1">IFERROR(__xludf.DUMMYFUNCTION("""COMPUTED_VALUE"""),43943.6458333333)</f>
        <v>43943.645833333299</v>
      </c>
      <c r="B77" s="14">
        <f ca="1">IFERROR(__xludf.DUMMYFUNCTION("""COMPUTED_VALUE"""),1769.5)</f>
        <v>1769.5</v>
      </c>
      <c r="C77" s="15">
        <f t="shared" ca="1" si="0"/>
        <v>1.8329352861623294E-2</v>
      </c>
      <c r="D77" s="14">
        <f t="shared" ca="1" si="1"/>
        <v>1922.9799999999991</v>
      </c>
      <c r="E77" s="17"/>
      <c r="F77" s="17"/>
    </row>
    <row r="78" spans="1:6" ht="12.75" x14ac:dyDescent="0.2">
      <c r="A78" s="13">
        <f ca="1">IFERROR(__xludf.DUMMYFUNCTION("""COMPUTED_VALUE"""),43944.6458333333)</f>
        <v>43944.645833333299</v>
      </c>
      <c r="B78" s="14">
        <f ca="1">IFERROR(__xludf.DUMMYFUNCTION("""COMPUTED_VALUE"""),1878.25)</f>
        <v>1878.25</v>
      </c>
      <c r="C78" s="15">
        <f t="shared" ca="1" si="0"/>
        <v>6.1458038994066211E-2</v>
      </c>
      <c r="D78" s="14">
        <f t="shared" ca="1" si="1"/>
        <v>1917.6139999999991</v>
      </c>
      <c r="E78" s="17"/>
      <c r="F78" s="17"/>
    </row>
    <row r="79" spans="1:6" ht="12.75" x14ac:dyDescent="0.2">
      <c r="A79" s="13">
        <f ca="1">IFERROR(__xludf.DUMMYFUNCTION("""COMPUTED_VALUE"""),43945.6458333333)</f>
        <v>43945.645833333299</v>
      </c>
      <c r="B79" s="14">
        <f ca="1">IFERROR(__xludf.DUMMYFUNCTION("""COMPUTED_VALUE"""),1818.55)</f>
        <v>1818.55</v>
      </c>
      <c r="C79" s="15">
        <f t="shared" ca="1" si="0"/>
        <v>-3.1784906162651394E-2</v>
      </c>
      <c r="D79" s="14">
        <f t="shared" ca="1" si="1"/>
        <v>1911.4179999999992</v>
      </c>
      <c r="E79" s="17"/>
      <c r="F79" s="17"/>
    </row>
    <row r="80" spans="1:6" ht="12.75" x14ac:dyDescent="0.2">
      <c r="A80" s="13">
        <f ca="1">IFERROR(__xludf.DUMMYFUNCTION("""COMPUTED_VALUE"""),43948.6458333333)</f>
        <v>43948.645833333299</v>
      </c>
      <c r="B80" s="14">
        <f ca="1">IFERROR(__xludf.DUMMYFUNCTION("""COMPUTED_VALUE"""),1836.6)</f>
        <v>1836.6</v>
      </c>
      <c r="C80" s="15">
        <f t="shared" ca="1" si="0"/>
        <v>9.9254900882570496E-3</v>
      </c>
      <c r="D80" s="14">
        <f t="shared" ca="1" si="1"/>
        <v>1905.4189999999994</v>
      </c>
      <c r="E80" s="17"/>
      <c r="F80" s="17"/>
    </row>
    <row r="81" spans="1:6" ht="12.75" x14ac:dyDescent="0.2">
      <c r="A81" s="13">
        <f ca="1">IFERROR(__xludf.DUMMYFUNCTION("""COMPUTED_VALUE"""),43949.6458333333)</f>
        <v>43949.645833333299</v>
      </c>
      <c r="B81" s="14">
        <f ca="1">IFERROR(__xludf.DUMMYFUNCTION("""COMPUTED_VALUE"""),1859.05)</f>
        <v>1859.05</v>
      </c>
      <c r="C81" s="15">
        <f t="shared" ca="1" si="0"/>
        <v>1.2223674180551036E-2</v>
      </c>
      <c r="D81" s="14">
        <f t="shared" ca="1" si="1"/>
        <v>1899.3609999999994</v>
      </c>
      <c r="E81" s="17"/>
      <c r="F81" s="17"/>
    </row>
    <row r="82" spans="1:6" ht="12.75" x14ac:dyDescent="0.2">
      <c r="A82" s="13">
        <f ca="1">IFERROR(__xludf.DUMMYFUNCTION("""COMPUTED_VALUE"""),43950.6458333333)</f>
        <v>43950.645833333299</v>
      </c>
      <c r="B82" s="14">
        <f ca="1">IFERROR(__xludf.DUMMYFUNCTION("""COMPUTED_VALUE"""),1905.65)</f>
        <v>1905.65</v>
      </c>
      <c r="C82" s="15">
        <f t="shared" ca="1" si="0"/>
        <v>2.5066566256959355E-2</v>
      </c>
      <c r="D82" s="14">
        <f t="shared" ca="1" si="1"/>
        <v>1894.4059999999995</v>
      </c>
      <c r="E82" s="17"/>
      <c r="F82" s="17"/>
    </row>
    <row r="83" spans="1:6" ht="12.75" x14ac:dyDescent="0.2">
      <c r="A83" s="13">
        <f ca="1">IFERROR(__xludf.DUMMYFUNCTION("""COMPUTED_VALUE"""),43951.6458333333)</f>
        <v>43951.645833333299</v>
      </c>
      <c r="B83" s="14">
        <f ca="1">IFERROR(__xludf.DUMMYFUNCTION("""COMPUTED_VALUE"""),2014.45)</f>
        <v>2014.45</v>
      </c>
      <c r="C83" s="15">
        <f t="shared" ca="1" si="0"/>
        <v>5.7093380211476363E-2</v>
      </c>
      <c r="D83" s="14">
        <f t="shared" ca="1" si="1"/>
        <v>1891.2799999999995</v>
      </c>
      <c r="E83" s="17"/>
      <c r="F83" s="17"/>
    </row>
    <row r="84" spans="1:6" ht="12.75" x14ac:dyDescent="0.2">
      <c r="A84" s="13">
        <f ca="1">IFERROR(__xludf.DUMMYFUNCTION("""COMPUTED_VALUE"""),43955.6458333333)</f>
        <v>43955.645833333299</v>
      </c>
      <c r="B84" s="14">
        <f ca="1">IFERROR(__xludf.DUMMYFUNCTION("""COMPUTED_VALUE"""),1930.45)</f>
        <v>1930.45</v>
      </c>
      <c r="C84" s="15">
        <f t="shared" ca="1" si="0"/>
        <v>-4.1698726699595401E-2</v>
      </c>
      <c r="D84" s="14">
        <f t="shared" ca="1" si="1"/>
        <v>1886.0499999999995</v>
      </c>
      <c r="E84" s="17"/>
      <c r="F84" s="17"/>
    </row>
    <row r="85" spans="1:6" ht="12.75" x14ac:dyDescent="0.2">
      <c r="A85" s="13">
        <f ca="1">IFERROR(__xludf.DUMMYFUNCTION("""COMPUTED_VALUE"""),43956.6458333333)</f>
        <v>43956.645833333299</v>
      </c>
      <c r="B85" s="14">
        <f ca="1">IFERROR(__xludf.DUMMYFUNCTION("""COMPUTED_VALUE"""),1932.75)</f>
        <v>1932.75</v>
      </c>
      <c r="C85" s="15">
        <f t="shared" ca="1" si="0"/>
        <v>1.1914320495221009E-3</v>
      </c>
      <c r="D85" s="14">
        <f t="shared" ca="1" si="1"/>
        <v>1881.0209999999995</v>
      </c>
      <c r="E85" s="17"/>
      <c r="F85" s="17"/>
    </row>
    <row r="86" spans="1:6" ht="12.75" x14ac:dyDescent="0.2">
      <c r="A86" s="13">
        <f ca="1">IFERROR(__xludf.DUMMYFUNCTION("""COMPUTED_VALUE"""),43957.6458333333)</f>
        <v>43957.645833333299</v>
      </c>
      <c r="B86" s="14">
        <f ca="1">IFERROR(__xludf.DUMMYFUNCTION("""COMPUTED_VALUE"""),1903.6)</f>
        <v>1903.6</v>
      </c>
      <c r="C86" s="15">
        <f t="shared" ca="1" si="0"/>
        <v>-1.5082136851636285E-2</v>
      </c>
      <c r="D86" s="14">
        <f t="shared" ca="1" si="1"/>
        <v>1875.0279999999996</v>
      </c>
      <c r="E86" s="17"/>
      <c r="F86" s="17"/>
    </row>
    <row r="87" spans="1:6" ht="12.75" x14ac:dyDescent="0.2">
      <c r="A87" s="13">
        <f ca="1">IFERROR(__xludf.DUMMYFUNCTION("""COMPUTED_VALUE"""),43958.6458333333)</f>
        <v>43958.645833333299</v>
      </c>
      <c r="B87" s="14">
        <f ca="1">IFERROR(__xludf.DUMMYFUNCTION("""COMPUTED_VALUE"""),1891.65)</f>
        <v>1891.65</v>
      </c>
      <c r="C87" s="15">
        <f t="shared" ca="1" si="0"/>
        <v>-6.277579323387128E-3</v>
      </c>
      <c r="D87" s="14">
        <f t="shared" ca="1" si="1"/>
        <v>1868.5459999999994</v>
      </c>
      <c r="E87" s="17"/>
      <c r="F87" s="17"/>
    </row>
    <row r="88" spans="1:6" ht="12.75" x14ac:dyDescent="0.2">
      <c r="A88" s="13">
        <f ca="1">IFERROR(__xludf.DUMMYFUNCTION("""COMPUTED_VALUE"""),43959.6458333333)</f>
        <v>43959.645833333299</v>
      </c>
      <c r="B88" s="14">
        <f ca="1">IFERROR(__xludf.DUMMYFUNCTION("""COMPUTED_VALUE"""),1893.4)</f>
        <v>1893.4</v>
      </c>
      <c r="C88" s="15">
        <f t="shared" ca="1" si="0"/>
        <v>9.2511828298036392E-4</v>
      </c>
      <c r="D88" s="14">
        <f t="shared" ca="1" si="1"/>
        <v>1862.4869999999996</v>
      </c>
      <c r="E88" s="17"/>
      <c r="F88" s="17"/>
    </row>
    <row r="89" spans="1:6" ht="12.75" x14ac:dyDescent="0.2">
      <c r="A89" s="13">
        <f ca="1">IFERROR(__xludf.DUMMYFUNCTION("""COMPUTED_VALUE"""),43962.6458333333)</f>
        <v>43962.645833333299</v>
      </c>
      <c r="B89" s="14">
        <f ca="1">IFERROR(__xludf.DUMMYFUNCTION("""COMPUTED_VALUE"""),1935.3)</f>
        <v>1935.3</v>
      </c>
      <c r="C89" s="15">
        <f t="shared" ca="1" si="0"/>
        <v>2.212950248230694E-2</v>
      </c>
      <c r="D89" s="14">
        <f t="shared" ca="1" si="1"/>
        <v>1858.0569999999996</v>
      </c>
      <c r="E89" s="17"/>
      <c r="F89" s="17"/>
    </row>
    <row r="90" spans="1:6" ht="12.75" x14ac:dyDescent="0.2">
      <c r="A90" s="13">
        <f ca="1">IFERROR(__xludf.DUMMYFUNCTION("""COMPUTED_VALUE"""),43963.6458333333)</f>
        <v>43963.645833333299</v>
      </c>
      <c r="B90" s="14">
        <f ca="1">IFERROR(__xludf.DUMMYFUNCTION("""COMPUTED_VALUE"""),1949.5)</f>
        <v>1949.5</v>
      </c>
      <c r="C90" s="15">
        <f t="shared" ca="1" si="0"/>
        <v>7.3373637162197358E-3</v>
      </c>
      <c r="D90" s="14">
        <f t="shared" ca="1" si="1"/>
        <v>1854.7399999999998</v>
      </c>
      <c r="E90" s="17"/>
      <c r="F90" s="17"/>
    </row>
    <row r="91" spans="1:6" ht="12.75" x14ac:dyDescent="0.2">
      <c r="A91" s="13">
        <f ca="1">IFERROR(__xludf.DUMMYFUNCTION("""COMPUTED_VALUE"""),43964.6458333333)</f>
        <v>43964.645833333299</v>
      </c>
      <c r="B91" s="14">
        <f ca="1">IFERROR(__xludf.DUMMYFUNCTION("""COMPUTED_VALUE"""),1949.65)</f>
        <v>1949.65</v>
      </c>
      <c r="C91" s="15">
        <f t="shared" ca="1" si="0"/>
        <v>7.6942805847801665E-5</v>
      </c>
      <c r="D91" s="14">
        <f t="shared" ca="1" si="1"/>
        <v>1850.6099999999997</v>
      </c>
      <c r="E91" s="17"/>
      <c r="F91" s="17"/>
    </row>
    <row r="92" spans="1:6" ht="12.75" x14ac:dyDescent="0.2">
      <c r="A92" s="13">
        <f ca="1">IFERROR(__xludf.DUMMYFUNCTION("""COMPUTED_VALUE"""),43965.6458333333)</f>
        <v>43965.645833333299</v>
      </c>
      <c r="B92" s="14">
        <f ca="1">IFERROR(__xludf.DUMMYFUNCTION("""COMPUTED_VALUE"""),1902.35)</f>
        <v>1902.35</v>
      </c>
      <c r="C92" s="15">
        <f t="shared" ca="1" si="0"/>
        <v>-2.4260764752648045E-2</v>
      </c>
      <c r="D92" s="14">
        <f t="shared" ca="1" si="1"/>
        <v>1846.1849999999997</v>
      </c>
      <c r="E92" s="17"/>
      <c r="F92" s="17"/>
    </row>
    <row r="93" spans="1:6" ht="12.75" x14ac:dyDescent="0.2">
      <c r="A93" s="13">
        <f ca="1">IFERROR(__xludf.DUMMYFUNCTION("""COMPUTED_VALUE"""),43966.6458333333)</f>
        <v>43966.645833333299</v>
      </c>
      <c r="B93" s="14">
        <f ca="1">IFERROR(__xludf.DUMMYFUNCTION("""COMPUTED_VALUE"""),1892.9)</f>
        <v>1892.9</v>
      </c>
      <c r="C93" s="15">
        <f t="shared" ca="1" si="0"/>
        <v>-4.9675401477119463E-3</v>
      </c>
      <c r="D93" s="14">
        <f t="shared" ca="1" si="1"/>
        <v>1841.9329999999995</v>
      </c>
      <c r="E93" s="17"/>
      <c r="F93" s="17"/>
    </row>
    <row r="94" spans="1:6" ht="12.75" x14ac:dyDescent="0.2">
      <c r="A94" s="13">
        <f ca="1">IFERROR(__xludf.DUMMYFUNCTION("""COMPUTED_VALUE"""),43969.6458333333)</f>
        <v>43969.645833333299</v>
      </c>
      <c r="B94" s="14">
        <f ca="1">IFERROR(__xludf.DUMMYFUNCTION("""COMPUTED_VALUE"""),1945.6)</f>
        <v>1945.6</v>
      </c>
      <c r="C94" s="15">
        <f t="shared" ca="1" si="0"/>
        <v>2.7840879074435998E-2</v>
      </c>
      <c r="D94" s="14">
        <f t="shared" ca="1" si="1"/>
        <v>1840.8419999999999</v>
      </c>
      <c r="E94" s="17"/>
      <c r="F94" s="17"/>
    </row>
    <row r="95" spans="1:6" ht="12.75" x14ac:dyDescent="0.2">
      <c r="A95" s="13">
        <f ca="1">IFERROR(__xludf.DUMMYFUNCTION("""COMPUTED_VALUE"""),43970.6458333333)</f>
        <v>43970.645833333299</v>
      </c>
      <c r="B95" s="14">
        <f ca="1">IFERROR(__xludf.DUMMYFUNCTION("""COMPUTED_VALUE"""),1948.65)</f>
        <v>1948.65</v>
      </c>
      <c r="C95" s="15">
        <f t="shared" ca="1" si="0"/>
        <v>1.5676398026316374E-3</v>
      </c>
      <c r="D95" s="14">
        <f t="shared" ca="1" si="1"/>
        <v>1839.7889999999998</v>
      </c>
      <c r="E95" s="17"/>
      <c r="F95" s="17"/>
    </row>
    <row r="96" spans="1:6" ht="12.75" x14ac:dyDescent="0.2">
      <c r="A96" s="13">
        <f ca="1">IFERROR(__xludf.DUMMYFUNCTION("""COMPUTED_VALUE"""),43971.6458333333)</f>
        <v>43971.645833333299</v>
      </c>
      <c r="B96" s="14">
        <f ca="1">IFERROR(__xludf.DUMMYFUNCTION("""COMPUTED_VALUE"""),1953.6)</f>
        <v>1953.6</v>
      </c>
      <c r="C96" s="15">
        <f t="shared" ca="1" si="0"/>
        <v>2.5402201524131751E-3</v>
      </c>
      <c r="D96" s="14">
        <f t="shared" ca="1" si="1"/>
        <v>1838.1370000000002</v>
      </c>
      <c r="E96" s="17"/>
      <c r="F96" s="17"/>
    </row>
    <row r="97" spans="1:6" ht="12.75" x14ac:dyDescent="0.2">
      <c r="A97" s="13">
        <f ca="1">IFERROR(__xludf.DUMMYFUNCTION("""COMPUTED_VALUE"""),43972.6458333333)</f>
        <v>43972.645833333299</v>
      </c>
      <c r="B97" s="14">
        <f ca="1">IFERROR(__xludf.DUMMYFUNCTION("""COMPUTED_VALUE"""),1991.2)</f>
        <v>1991.2</v>
      </c>
      <c r="C97" s="15">
        <f t="shared" ca="1" si="0"/>
        <v>1.9246519246519211E-2</v>
      </c>
      <c r="D97" s="14">
        <f t="shared" ca="1" si="1"/>
        <v>1836.2969999999998</v>
      </c>
      <c r="E97" s="17"/>
      <c r="F97" s="17"/>
    </row>
    <row r="98" spans="1:6" ht="12.75" x14ac:dyDescent="0.2">
      <c r="A98" s="13">
        <f ca="1">IFERROR(__xludf.DUMMYFUNCTION("""COMPUTED_VALUE"""),43973.6458333333)</f>
        <v>43973.645833333299</v>
      </c>
      <c r="B98" s="14">
        <f ca="1">IFERROR(__xludf.DUMMYFUNCTION("""COMPUTED_VALUE"""),2020.35)</f>
        <v>2020.35</v>
      </c>
      <c r="C98" s="15">
        <f t="shared" ca="1" si="0"/>
        <v>1.4639413419043734E-2</v>
      </c>
      <c r="D98" s="14">
        <f t="shared" ca="1" si="1"/>
        <v>1834.203</v>
      </c>
      <c r="E98" s="17"/>
      <c r="F98" s="17"/>
    </row>
    <row r="99" spans="1:6" ht="12.75" x14ac:dyDescent="0.2">
      <c r="A99" s="13">
        <f ca="1">IFERROR(__xludf.DUMMYFUNCTION("""COMPUTED_VALUE"""),43977.6458333333)</f>
        <v>43977.645833333299</v>
      </c>
      <c r="B99" s="14">
        <f ca="1">IFERROR(__xludf.DUMMYFUNCTION("""COMPUTED_VALUE"""),1943)</f>
        <v>1943</v>
      </c>
      <c r="C99" s="15">
        <f t="shared" ca="1" si="0"/>
        <v>-3.8285445591110356E-2</v>
      </c>
      <c r="D99" s="14">
        <f t="shared" ca="1" si="1"/>
        <v>1830.7339999999999</v>
      </c>
      <c r="E99" s="17"/>
      <c r="F99" s="17"/>
    </row>
    <row r="100" spans="1:6" ht="12.75" x14ac:dyDescent="0.2">
      <c r="A100" s="13">
        <f ca="1">IFERROR(__xludf.DUMMYFUNCTION("""COMPUTED_VALUE"""),43978.6458333333)</f>
        <v>43978.645833333299</v>
      </c>
      <c r="B100" s="14">
        <f ca="1">IFERROR(__xludf.DUMMYFUNCTION("""COMPUTED_VALUE"""),2005.3)</f>
        <v>2005.3</v>
      </c>
      <c r="C100" s="15">
        <f t="shared" ca="1" si="0"/>
        <v>3.2063818836850277E-2</v>
      </c>
      <c r="D100" s="14">
        <f t="shared" ca="1" si="1"/>
        <v>1831.3930000000003</v>
      </c>
      <c r="E100" s="17"/>
      <c r="F100" s="17"/>
    </row>
    <row r="101" spans="1:6" ht="12.75" x14ac:dyDescent="0.2">
      <c r="A101" s="13">
        <f ca="1">IFERROR(__xludf.DUMMYFUNCTION("""COMPUTED_VALUE"""),43979.6458333333)</f>
        <v>43979.645833333299</v>
      </c>
      <c r="B101" s="14">
        <f ca="1">IFERROR(__xludf.DUMMYFUNCTION("""COMPUTED_VALUE"""),2004.3)</f>
        <v>2004.3</v>
      </c>
      <c r="C101" s="15">
        <f t="shared" ca="1" si="0"/>
        <v>-4.9867850196982921E-4</v>
      </c>
      <c r="D101" s="14">
        <f t="shared" ca="1" si="1"/>
        <v>1832.4050000000002</v>
      </c>
      <c r="E101" s="17"/>
      <c r="F101" s="17"/>
    </row>
    <row r="102" spans="1:6" ht="12.75" x14ac:dyDescent="0.2">
      <c r="A102" s="13">
        <f ca="1">IFERROR(__xludf.DUMMYFUNCTION("""COMPUTED_VALUE"""),43980.6458333333)</f>
        <v>43980.645833333299</v>
      </c>
      <c r="B102" s="14">
        <f ca="1">IFERROR(__xludf.DUMMYFUNCTION("""COMPUTED_VALUE"""),1972.35)</f>
        <v>1972.35</v>
      </c>
      <c r="C102" s="15">
        <f t="shared" ca="1" si="0"/>
        <v>-1.5940727436012603E-2</v>
      </c>
      <c r="D102" s="14">
        <f t="shared" ca="1" si="1"/>
        <v>1836.4550000000006</v>
      </c>
      <c r="E102" s="17"/>
      <c r="F102" s="17"/>
    </row>
    <row r="103" spans="1:6" ht="12.75" x14ac:dyDescent="0.2">
      <c r="A103" s="13">
        <f ca="1">IFERROR(__xludf.DUMMYFUNCTION("""COMPUTED_VALUE"""),43983.6458333333)</f>
        <v>43983.645833333299</v>
      </c>
      <c r="B103" s="14">
        <f ca="1">IFERROR(__xludf.DUMMYFUNCTION("""COMPUTED_VALUE"""),2045.25)</f>
        <v>2045.25</v>
      </c>
      <c r="C103" s="15">
        <f t="shared" ca="1" si="0"/>
        <v>3.696098562628336E-2</v>
      </c>
      <c r="D103" s="14">
        <f t="shared" ca="1" si="1"/>
        <v>1841.2340000000006</v>
      </c>
      <c r="E103" s="17"/>
      <c r="F103" s="17"/>
    </row>
    <row r="104" spans="1:6" ht="12.75" x14ac:dyDescent="0.2">
      <c r="A104" s="13">
        <f ca="1">IFERROR(__xludf.DUMMYFUNCTION("""COMPUTED_VALUE"""),43984.6458333333)</f>
        <v>43984.645833333299</v>
      </c>
      <c r="B104" s="14">
        <f ca="1">IFERROR(__xludf.DUMMYFUNCTION("""COMPUTED_VALUE"""),2047.15)</f>
        <v>2047.15</v>
      </c>
      <c r="C104" s="15">
        <f t="shared" ca="1" si="0"/>
        <v>9.2898178706768419E-4</v>
      </c>
      <c r="D104" s="14">
        <f t="shared" ca="1" si="1"/>
        <v>1848.2490000000005</v>
      </c>
      <c r="E104" s="17"/>
      <c r="F104" s="17"/>
    </row>
    <row r="105" spans="1:6" ht="12.75" x14ac:dyDescent="0.2">
      <c r="A105" s="13">
        <f ca="1">IFERROR(__xludf.DUMMYFUNCTION("""COMPUTED_VALUE"""),43985.6458333333)</f>
        <v>43985.645833333299</v>
      </c>
      <c r="B105" s="14">
        <f ca="1">IFERROR(__xludf.DUMMYFUNCTION("""COMPUTED_VALUE"""),2046.15)</f>
        <v>2046.15</v>
      </c>
      <c r="C105" s="15">
        <f t="shared" ca="1" si="0"/>
        <v>-4.8848398993728281E-4</v>
      </c>
      <c r="D105" s="14">
        <f t="shared" ca="1" si="1"/>
        <v>1856.0120000000004</v>
      </c>
      <c r="E105" s="17"/>
      <c r="F105" s="17"/>
    </row>
    <row r="106" spans="1:6" ht="12.75" x14ac:dyDescent="0.2">
      <c r="A106" s="13">
        <f ca="1">IFERROR(__xludf.DUMMYFUNCTION("""COMPUTED_VALUE"""),43986.6458333333)</f>
        <v>43986.645833333299</v>
      </c>
      <c r="B106" s="14">
        <f ca="1">IFERROR(__xludf.DUMMYFUNCTION("""COMPUTED_VALUE"""),2091.55)</f>
        <v>2091.5500000000002</v>
      </c>
      <c r="C106" s="15">
        <f t="shared" ca="1" si="0"/>
        <v>2.218801163160089E-2</v>
      </c>
      <c r="D106" s="14">
        <f t="shared" ca="1" si="1"/>
        <v>1864.7550000000003</v>
      </c>
      <c r="E106" s="17"/>
      <c r="F106" s="17"/>
    </row>
    <row r="107" spans="1:6" ht="12.75" x14ac:dyDescent="0.2">
      <c r="A107" s="13">
        <f ca="1">IFERROR(__xludf.DUMMYFUNCTION("""COMPUTED_VALUE"""),43987.6458333333)</f>
        <v>43987.645833333299</v>
      </c>
      <c r="B107" s="14">
        <f ca="1">IFERROR(__xludf.DUMMYFUNCTION("""COMPUTED_VALUE"""),2048.25)</f>
        <v>2048.25</v>
      </c>
      <c r="C107" s="15">
        <f t="shared" ca="1" si="0"/>
        <v>-2.0702349931868813E-2</v>
      </c>
      <c r="D107" s="14">
        <f t="shared" ca="1" si="1"/>
        <v>1872.9930000000004</v>
      </c>
      <c r="E107" s="17"/>
      <c r="F107" s="17"/>
    </row>
    <row r="108" spans="1:6" ht="12.75" x14ac:dyDescent="0.2">
      <c r="A108" s="13">
        <f ca="1">IFERROR(__xludf.DUMMYFUNCTION("""COMPUTED_VALUE"""),43990.6458333333)</f>
        <v>43990.645833333299</v>
      </c>
      <c r="B108" s="14">
        <f ca="1">IFERROR(__xludf.DUMMYFUNCTION("""COMPUTED_VALUE"""),2071.75)</f>
        <v>2071.75</v>
      </c>
      <c r="C108" s="15">
        <f t="shared" ca="1" si="0"/>
        <v>1.147320883681191E-2</v>
      </c>
      <c r="D108" s="14">
        <f t="shared" ca="1" si="1"/>
        <v>1878.4790000000005</v>
      </c>
      <c r="E108" s="17"/>
      <c r="F108" s="17"/>
    </row>
    <row r="109" spans="1:6" ht="12.75" x14ac:dyDescent="0.2">
      <c r="A109" s="13">
        <f ca="1">IFERROR(__xludf.DUMMYFUNCTION("""COMPUTED_VALUE"""),43991.6458333333)</f>
        <v>43991.645833333299</v>
      </c>
      <c r="B109" s="14">
        <f ca="1">IFERROR(__xludf.DUMMYFUNCTION("""COMPUTED_VALUE"""),2072.05)</f>
        <v>2072.0500000000002</v>
      </c>
      <c r="C109" s="15">
        <f t="shared" ca="1" si="0"/>
        <v>1.4480511644743288E-4</v>
      </c>
      <c r="D109" s="14">
        <f t="shared" ca="1" si="1"/>
        <v>1886.5260000000007</v>
      </c>
      <c r="E109" s="17"/>
      <c r="F109" s="17"/>
    </row>
    <row r="110" spans="1:6" ht="12.75" x14ac:dyDescent="0.2">
      <c r="A110" s="13">
        <f ca="1">IFERROR(__xludf.DUMMYFUNCTION("""COMPUTED_VALUE"""),43992.6458333333)</f>
        <v>43992.645833333299</v>
      </c>
      <c r="B110" s="14">
        <f ca="1">IFERROR(__xludf.DUMMYFUNCTION("""COMPUTED_VALUE"""),2108.75)</f>
        <v>2108.75</v>
      </c>
      <c r="C110" s="15">
        <f t="shared" ca="1" si="0"/>
        <v>1.7711927800969862E-2</v>
      </c>
      <c r="D110" s="14">
        <f t="shared" ca="1" si="1"/>
        <v>1894.6380000000004</v>
      </c>
      <c r="E110" s="17"/>
      <c r="F110" s="17"/>
    </row>
    <row r="111" spans="1:6" ht="12.75" x14ac:dyDescent="0.2">
      <c r="A111" s="13">
        <f ca="1">IFERROR(__xludf.DUMMYFUNCTION("""COMPUTED_VALUE"""),43993.6458333333)</f>
        <v>43993.645833333299</v>
      </c>
      <c r="B111" s="14">
        <f ca="1">IFERROR(__xludf.DUMMYFUNCTION("""COMPUTED_VALUE"""),2067.65)</f>
        <v>2067.65</v>
      </c>
      <c r="C111" s="15">
        <f t="shared" ca="1" si="0"/>
        <v>-1.9490219324244218E-2</v>
      </c>
      <c r="D111" s="14">
        <f t="shared" ca="1" si="1"/>
        <v>1900.9850000000004</v>
      </c>
      <c r="E111" s="17"/>
      <c r="F111" s="17"/>
    </row>
    <row r="112" spans="1:6" ht="12.75" x14ac:dyDescent="0.2">
      <c r="A112" s="13">
        <f ca="1">IFERROR(__xludf.DUMMYFUNCTION("""COMPUTED_VALUE"""),43994.6458333333)</f>
        <v>43994.645833333299</v>
      </c>
      <c r="B112" s="14">
        <f ca="1">IFERROR(__xludf.DUMMYFUNCTION("""COMPUTED_VALUE"""),2039.5)</f>
        <v>2039.5</v>
      </c>
      <c r="C112" s="15">
        <f t="shared" ca="1" si="0"/>
        <v>-1.3614489879815284E-2</v>
      </c>
      <c r="D112" s="14">
        <f t="shared" ca="1" si="1"/>
        <v>1905.9560000000001</v>
      </c>
      <c r="E112" s="17"/>
      <c r="F112" s="17"/>
    </row>
    <row r="113" spans="1:6" ht="12.75" x14ac:dyDescent="0.2">
      <c r="A113" s="13">
        <f ca="1">IFERROR(__xludf.DUMMYFUNCTION("""COMPUTED_VALUE"""),43997.6458333333)</f>
        <v>43997.645833333299</v>
      </c>
      <c r="B113" s="14">
        <f ca="1">IFERROR(__xludf.DUMMYFUNCTION("""COMPUTED_VALUE"""),2029.9)</f>
        <v>2029.9</v>
      </c>
      <c r="C113" s="15">
        <f t="shared" ca="1" si="0"/>
        <v>-4.7070360382446275E-3</v>
      </c>
      <c r="D113" s="14">
        <f t="shared" ca="1" si="1"/>
        <v>1910.0639999999996</v>
      </c>
      <c r="E113" s="17"/>
      <c r="F113" s="17"/>
    </row>
    <row r="114" spans="1:6" ht="12.75" x14ac:dyDescent="0.2">
      <c r="A114" s="13">
        <f ca="1">IFERROR(__xludf.DUMMYFUNCTION("""COMPUTED_VALUE"""),43998.6458333333)</f>
        <v>43998.645833333299</v>
      </c>
      <c r="B114" s="14">
        <f ca="1">IFERROR(__xludf.DUMMYFUNCTION("""COMPUTED_VALUE"""),2045.8)</f>
        <v>2045.8</v>
      </c>
      <c r="C114" s="15">
        <f t="shared" ca="1" si="0"/>
        <v>7.8328981723236879E-3</v>
      </c>
      <c r="D114" s="14">
        <f t="shared" ca="1" si="1"/>
        <v>1915.4099999999996</v>
      </c>
      <c r="E114" s="17"/>
      <c r="F114" s="17"/>
    </row>
    <row r="115" spans="1:6" ht="12.75" x14ac:dyDescent="0.2">
      <c r="A115" s="13">
        <f ca="1">IFERROR(__xludf.DUMMYFUNCTION("""COMPUTED_VALUE"""),43999.6458333333)</f>
        <v>43999.645833333299</v>
      </c>
      <c r="B115" s="14">
        <f ca="1">IFERROR(__xludf.DUMMYFUNCTION("""COMPUTED_VALUE"""),2047.8)</f>
        <v>2047.8</v>
      </c>
      <c r="C115" s="15">
        <f t="shared" ca="1" si="0"/>
        <v>9.7761266986018391E-4</v>
      </c>
      <c r="D115" s="14">
        <f t="shared" ca="1" si="1"/>
        <v>1919.8440000000001</v>
      </c>
      <c r="E115" s="17"/>
      <c r="F115" s="17"/>
    </row>
    <row r="116" spans="1:6" ht="12.75" x14ac:dyDescent="0.2">
      <c r="A116" s="13">
        <f ca="1">IFERROR(__xludf.DUMMYFUNCTION("""COMPUTED_VALUE"""),44000.6458333333)</f>
        <v>44000.645833333299</v>
      </c>
      <c r="B116" s="14">
        <f ca="1">IFERROR(__xludf.DUMMYFUNCTION("""COMPUTED_VALUE"""),2038.1)</f>
        <v>2038.1</v>
      </c>
      <c r="C116" s="15">
        <f t="shared" ca="1" si="0"/>
        <v>-4.7367907022169975E-3</v>
      </c>
      <c r="D116" s="14">
        <f t="shared" ca="1" si="1"/>
        <v>1926.431</v>
      </c>
      <c r="E116" s="17"/>
      <c r="F116" s="17"/>
    </row>
    <row r="117" spans="1:6" ht="12.75" x14ac:dyDescent="0.2">
      <c r="A117" s="13">
        <f ca="1">IFERROR(__xludf.DUMMYFUNCTION("""COMPUTED_VALUE"""),44001.6458333333)</f>
        <v>44001.645833333299</v>
      </c>
      <c r="B117" s="14">
        <f ca="1">IFERROR(__xludf.DUMMYFUNCTION("""COMPUTED_VALUE"""),2044.6)</f>
        <v>2044.6</v>
      </c>
      <c r="C117" s="15">
        <f t="shared" ca="1" si="0"/>
        <v>3.1892448849417665E-3</v>
      </c>
      <c r="D117" s="14">
        <f t="shared" ca="1" si="1"/>
        <v>1934.2390000000003</v>
      </c>
      <c r="E117" s="17"/>
      <c r="F117" s="17"/>
    </row>
    <row r="118" spans="1:6" ht="12.75" x14ac:dyDescent="0.2">
      <c r="A118" s="13">
        <f ca="1">IFERROR(__xludf.DUMMYFUNCTION("""COMPUTED_VALUE"""),44004.6458333333)</f>
        <v>44004.645833333299</v>
      </c>
      <c r="B118" s="14">
        <f ca="1">IFERROR(__xludf.DUMMYFUNCTION("""COMPUTED_VALUE"""),2027.95)</f>
        <v>2027.95</v>
      </c>
      <c r="C118" s="15">
        <f t="shared" ca="1" si="0"/>
        <v>-8.1434021324463535E-3</v>
      </c>
      <c r="D118" s="14">
        <f t="shared" ca="1" si="1"/>
        <v>1939.2939999999999</v>
      </c>
      <c r="E118" s="17"/>
      <c r="F118" s="17"/>
    </row>
    <row r="119" spans="1:6" ht="12.75" x14ac:dyDescent="0.2">
      <c r="A119" s="13">
        <f ca="1">IFERROR(__xludf.DUMMYFUNCTION("""COMPUTED_VALUE"""),44005.6458333333)</f>
        <v>44005.645833333299</v>
      </c>
      <c r="B119" s="14">
        <f ca="1">IFERROR(__xludf.DUMMYFUNCTION("""COMPUTED_VALUE"""),2035.3)</f>
        <v>2035.3</v>
      </c>
      <c r="C119" s="15">
        <f t="shared" ca="1" si="0"/>
        <v>3.6243497127641522E-3</v>
      </c>
      <c r="D119" s="14">
        <f t="shared" ca="1" si="1"/>
        <v>1945.8910000000001</v>
      </c>
      <c r="E119" s="17"/>
      <c r="F119" s="17"/>
    </row>
    <row r="120" spans="1:6" ht="12.75" x14ac:dyDescent="0.2">
      <c r="A120" s="13">
        <f ca="1">IFERROR(__xludf.DUMMYFUNCTION("""COMPUTED_VALUE"""),44006.6458333333)</f>
        <v>44006.645833333299</v>
      </c>
      <c r="B120" s="14">
        <f ca="1">IFERROR(__xludf.DUMMYFUNCTION("""COMPUTED_VALUE"""),2042.2)</f>
        <v>2042.2</v>
      </c>
      <c r="C120" s="15">
        <f t="shared" ca="1" si="0"/>
        <v>3.3901636122439793E-3</v>
      </c>
      <c r="D120" s="14">
        <f t="shared" ca="1" si="1"/>
        <v>1951.412</v>
      </c>
      <c r="E120" s="17"/>
      <c r="F120" s="17"/>
    </row>
    <row r="121" spans="1:6" ht="12.75" x14ac:dyDescent="0.2">
      <c r="A121" s="13">
        <f ca="1">IFERROR(__xludf.DUMMYFUNCTION("""COMPUTED_VALUE"""),44007.6458333333)</f>
        <v>44007.645833333299</v>
      </c>
      <c r="B121" s="14">
        <f ca="1">IFERROR(__xludf.DUMMYFUNCTION("""COMPUTED_VALUE"""),2016.1)</f>
        <v>2016.1</v>
      </c>
      <c r="C121" s="15">
        <f t="shared" ca="1" si="0"/>
        <v>-1.2780334932915527E-2</v>
      </c>
      <c r="D121" s="14">
        <f t="shared" ca="1" si="1"/>
        <v>1956.5490000000002</v>
      </c>
      <c r="E121" s="17"/>
      <c r="F121" s="17"/>
    </row>
    <row r="122" spans="1:6" ht="12.75" x14ac:dyDescent="0.2">
      <c r="A122" s="13">
        <f ca="1">IFERROR(__xludf.DUMMYFUNCTION("""COMPUTED_VALUE"""),44008.6458333333)</f>
        <v>44008.645833333299</v>
      </c>
      <c r="B122" s="14">
        <f ca="1">IFERROR(__xludf.DUMMYFUNCTION("""COMPUTED_VALUE"""),2118.85)</f>
        <v>2118.85</v>
      </c>
      <c r="C122" s="15">
        <f t="shared" ca="1" si="0"/>
        <v>5.0964733892168157E-2</v>
      </c>
      <c r="D122" s="14">
        <f t="shared" ca="1" si="1"/>
        <v>1964.2230000000004</v>
      </c>
      <c r="E122" s="17"/>
      <c r="F122" s="17"/>
    </row>
    <row r="123" spans="1:6" ht="12.75" x14ac:dyDescent="0.2">
      <c r="A123" s="13">
        <f ca="1">IFERROR(__xludf.DUMMYFUNCTION("""COMPUTED_VALUE"""),44011.6458333333)</f>
        <v>44011.645833333299</v>
      </c>
      <c r="B123" s="14">
        <f ca="1">IFERROR(__xludf.DUMMYFUNCTION("""COMPUTED_VALUE"""),2101.65)</f>
        <v>2101.65</v>
      </c>
      <c r="C123" s="15">
        <f t="shared" ca="1" si="0"/>
        <v>-8.1176109682138398E-3</v>
      </c>
      <c r="D123" s="14">
        <f t="shared" ca="1" si="1"/>
        <v>1971.9350000000004</v>
      </c>
      <c r="E123" s="17"/>
      <c r="F123" s="17"/>
    </row>
    <row r="124" spans="1:6" ht="12.75" x14ac:dyDescent="0.2">
      <c r="A124" s="13">
        <f ca="1">IFERROR(__xludf.DUMMYFUNCTION("""COMPUTED_VALUE"""),44012.6458333333)</f>
        <v>44012.645833333299</v>
      </c>
      <c r="B124" s="14">
        <f ca="1">IFERROR(__xludf.DUMMYFUNCTION("""COMPUTED_VALUE"""),2082.15)</f>
        <v>2082.15</v>
      </c>
      <c r="C124" s="15">
        <f t="shared" ca="1" si="0"/>
        <v>-9.2784240953536212E-3</v>
      </c>
      <c r="D124" s="14">
        <f t="shared" ca="1" si="1"/>
        <v>1977.4540000000002</v>
      </c>
      <c r="E124" s="17"/>
      <c r="F124" s="17"/>
    </row>
    <row r="125" spans="1:6" ht="12.75" x14ac:dyDescent="0.2">
      <c r="A125" s="13">
        <f ca="1">IFERROR(__xludf.DUMMYFUNCTION("""COMPUTED_VALUE"""),44013.6458333333)</f>
        <v>44013.645833333299</v>
      </c>
      <c r="B125" s="14">
        <f ca="1">IFERROR(__xludf.DUMMYFUNCTION("""COMPUTED_VALUE"""),2092.05)</f>
        <v>2092.0500000000002</v>
      </c>
      <c r="C125" s="15">
        <f t="shared" ca="1" si="0"/>
        <v>4.7547006699806271E-3</v>
      </c>
      <c r="D125" s="14">
        <f t="shared" ca="1" si="1"/>
        <v>1982.922</v>
      </c>
      <c r="E125" s="17"/>
      <c r="F125" s="17"/>
    </row>
    <row r="126" spans="1:6" ht="12.75" x14ac:dyDescent="0.2">
      <c r="A126" s="13">
        <f ca="1">IFERROR(__xludf.DUMMYFUNCTION("""COMPUTED_VALUE"""),44014.6458333333)</f>
        <v>44014.645833333299</v>
      </c>
      <c r="B126" s="14">
        <f ca="1">IFERROR(__xludf.DUMMYFUNCTION("""COMPUTED_VALUE"""),2157.15)</f>
        <v>2157.15</v>
      </c>
      <c r="C126" s="15">
        <f t="shared" ca="1" si="0"/>
        <v>3.1117803111780251E-2</v>
      </c>
      <c r="D126" s="14">
        <f t="shared" ca="1" si="1"/>
        <v>1991.3120000000001</v>
      </c>
      <c r="E126" s="17"/>
      <c r="F126" s="17"/>
    </row>
    <row r="127" spans="1:6" ht="12.75" x14ac:dyDescent="0.2">
      <c r="A127" s="13">
        <f ca="1">IFERROR(__xludf.DUMMYFUNCTION("""COMPUTED_VALUE"""),44015.6458333333)</f>
        <v>44015.645833333299</v>
      </c>
      <c r="B127" s="14">
        <f ca="1">IFERROR(__xludf.DUMMYFUNCTION("""COMPUTED_VALUE"""),2199.65)</f>
        <v>2199.65</v>
      </c>
      <c r="C127" s="15">
        <f t="shared" ca="1" si="0"/>
        <v>1.9701921516816157E-2</v>
      </c>
      <c r="D127" s="14">
        <f t="shared" ca="1" si="1"/>
        <v>1999.9150000000002</v>
      </c>
      <c r="E127" s="17"/>
      <c r="F127" s="17"/>
    </row>
    <row r="128" spans="1:6" ht="12.75" x14ac:dyDescent="0.2">
      <c r="A128" s="13">
        <f ca="1">IFERROR(__xludf.DUMMYFUNCTION("""COMPUTED_VALUE"""),44018.6458333333)</f>
        <v>44018.645833333299</v>
      </c>
      <c r="B128" s="14">
        <f ca="1">IFERROR(__xludf.DUMMYFUNCTION("""COMPUTED_VALUE"""),2263.2)</f>
        <v>2263.1999999999998</v>
      </c>
      <c r="C128" s="15">
        <f t="shared" ca="1" si="0"/>
        <v>2.889095992544255E-2</v>
      </c>
      <c r="D128" s="14">
        <f t="shared" ca="1" si="1"/>
        <v>2007.6140000000003</v>
      </c>
      <c r="E128" s="17"/>
      <c r="F128" s="17"/>
    </row>
    <row r="129" spans="1:6" ht="12.75" x14ac:dyDescent="0.2">
      <c r="A129" s="13">
        <f ca="1">IFERROR(__xludf.DUMMYFUNCTION("""COMPUTED_VALUE"""),44019.6458333333)</f>
        <v>44019.645833333299</v>
      </c>
      <c r="B129" s="14">
        <f ca="1">IFERROR(__xludf.DUMMYFUNCTION("""COMPUTED_VALUE"""),2269.9)</f>
        <v>2269.9</v>
      </c>
      <c r="C129" s="15">
        <f t="shared" ca="1" si="0"/>
        <v>2.9604100388831434E-3</v>
      </c>
      <c r="D129" s="14">
        <f t="shared" ca="1" si="1"/>
        <v>2016.6410000000001</v>
      </c>
      <c r="E129" s="17"/>
      <c r="F129" s="17"/>
    </row>
    <row r="130" spans="1:6" ht="12.75" x14ac:dyDescent="0.2">
      <c r="A130" s="13">
        <f ca="1">IFERROR(__xludf.DUMMYFUNCTION("""COMPUTED_VALUE"""),44020.6458333333)</f>
        <v>44020.645833333299</v>
      </c>
      <c r="B130" s="14">
        <f ca="1">IFERROR(__xludf.DUMMYFUNCTION("""COMPUTED_VALUE"""),2218.9)</f>
        <v>2218.9</v>
      </c>
      <c r="C130" s="15">
        <f t="shared" ca="1" si="0"/>
        <v>-2.2467950129961722E-2</v>
      </c>
      <c r="D130" s="14">
        <f t="shared" ca="1" si="1"/>
        <v>2024.287</v>
      </c>
      <c r="E130" s="17"/>
      <c r="F130" s="17"/>
    </row>
    <row r="131" spans="1:6" ht="12.75" x14ac:dyDescent="0.2">
      <c r="A131" s="13">
        <f ca="1">IFERROR(__xludf.DUMMYFUNCTION("""COMPUTED_VALUE"""),44021.6458333333)</f>
        <v>44021.645833333299</v>
      </c>
      <c r="B131" s="14">
        <f ca="1">IFERROR(__xludf.DUMMYFUNCTION("""COMPUTED_VALUE"""),2204.35)</f>
        <v>2204.35</v>
      </c>
      <c r="C131" s="15">
        <f t="shared" ca="1" si="0"/>
        <v>-6.5573031682365501E-3</v>
      </c>
      <c r="D131" s="14">
        <f t="shared" ca="1" si="1"/>
        <v>2031.1930000000002</v>
      </c>
      <c r="E131" s="17"/>
      <c r="F131" s="17"/>
    </row>
    <row r="132" spans="1:6" ht="12.75" x14ac:dyDescent="0.2">
      <c r="A132" s="13">
        <f ca="1">IFERROR(__xludf.DUMMYFUNCTION("""COMPUTED_VALUE"""),44022.6458333333)</f>
        <v>44022.645833333299</v>
      </c>
      <c r="B132" s="14">
        <f ca="1">IFERROR(__xludf.DUMMYFUNCTION("""COMPUTED_VALUE"""),2222.35)</f>
        <v>2222.35</v>
      </c>
      <c r="C132" s="15">
        <f t="shared" ca="1" si="0"/>
        <v>8.1656724204413056E-3</v>
      </c>
      <c r="D132" s="14">
        <f t="shared" ca="1" si="1"/>
        <v>2037.527</v>
      </c>
      <c r="E132" s="17"/>
      <c r="F132" s="17"/>
    </row>
    <row r="133" spans="1:6" ht="12.75" x14ac:dyDescent="0.2">
      <c r="A133" s="13">
        <f ca="1">IFERROR(__xludf.DUMMYFUNCTION("""COMPUTED_VALUE"""),44025.6458333333)</f>
        <v>44025.645833333299</v>
      </c>
      <c r="B133" s="14">
        <f ca="1">IFERROR(__xludf.DUMMYFUNCTION("""COMPUTED_VALUE"""),2220)</f>
        <v>2220</v>
      </c>
      <c r="C133" s="15">
        <f t="shared" ca="1" si="0"/>
        <v>-1.0574391972461017E-3</v>
      </c>
      <c r="D133" s="14">
        <f t="shared" ca="1" si="1"/>
        <v>2041.6380000000001</v>
      </c>
      <c r="E133" s="17"/>
      <c r="F133" s="17"/>
    </row>
    <row r="134" spans="1:6" ht="12.75" x14ac:dyDescent="0.2">
      <c r="A134" s="13">
        <f ca="1">IFERROR(__xludf.DUMMYFUNCTION("""COMPUTED_VALUE"""),44026.6458333333)</f>
        <v>44026.645833333299</v>
      </c>
      <c r="B134" s="14">
        <f ca="1">IFERROR(__xludf.DUMMYFUNCTION("""COMPUTED_VALUE"""),2171.95)</f>
        <v>2171.9499999999998</v>
      </c>
      <c r="C134" s="15">
        <f t="shared" ca="1" si="0"/>
        <v>-2.1644144144144173E-2</v>
      </c>
      <c r="D134" s="14">
        <f t="shared" ca="1" si="1"/>
        <v>2046.4679999999998</v>
      </c>
      <c r="E134" s="17"/>
      <c r="F134" s="17"/>
    </row>
    <row r="135" spans="1:6" ht="12.75" x14ac:dyDescent="0.2">
      <c r="A135" s="13">
        <f ca="1">IFERROR(__xludf.DUMMYFUNCTION("""COMPUTED_VALUE"""),44027.6458333333)</f>
        <v>44027.645833333299</v>
      </c>
      <c r="B135" s="14">
        <f ca="1">IFERROR(__xludf.DUMMYFUNCTION("""COMPUTED_VALUE"""),2233.9)</f>
        <v>2233.9</v>
      </c>
      <c r="C135" s="15">
        <f t="shared" ca="1" si="0"/>
        <v>2.8522756048712017E-2</v>
      </c>
      <c r="D135" s="14">
        <f t="shared" ca="1" si="1"/>
        <v>2052.491</v>
      </c>
      <c r="E135" s="17"/>
      <c r="F135" s="17"/>
    </row>
    <row r="136" spans="1:6" ht="12.75" x14ac:dyDescent="0.2">
      <c r="A136" s="13">
        <f ca="1">IFERROR(__xludf.DUMMYFUNCTION("""COMPUTED_VALUE"""),44028.6458333333)</f>
        <v>44028.645833333299</v>
      </c>
      <c r="B136" s="14">
        <f ca="1">IFERROR(__xludf.DUMMYFUNCTION("""COMPUTED_VALUE"""),2234.75)</f>
        <v>2234.75</v>
      </c>
      <c r="C136" s="15">
        <f t="shared" ca="1" si="0"/>
        <v>3.8050047002990972E-4</v>
      </c>
      <c r="D136" s="14">
        <f t="shared" ca="1" si="1"/>
        <v>2059.1139999999996</v>
      </c>
      <c r="E136" s="17"/>
      <c r="F136" s="17"/>
    </row>
    <row r="137" spans="1:6" ht="12.75" x14ac:dyDescent="0.2">
      <c r="A137" s="13">
        <f ca="1">IFERROR(__xludf.DUMMYFUNCTION("""COMPUTED_VALUE"""),44029.6458333333)</f>
        <v>44029.645833333299</v>
      </c>
      <c r="B137" s="14">
        <f ca="1">IFERROR(__xludf.DUMMYFUNCTION("""COMPUTED_VALUE"""),2200.75)</f>
        <v>2200.75</v>
      </c>
      <c r="C137" s="15">
        <f t="shared" ca="1" si="0"/>
        <v>-1.5214229779617394E-2</v>
      </c>
      <c r="D137" s="14">
        <f t="shared" ca="1" si="1"/>
        <v>2065.2959999999998</v>
      </c>
      <c r="E137" s="17"/>
      <c r="F137" s="17"/>
    </row>
    <row r="138" spans="1:6" ht="12.75" x14ac:dyDescent="0.2">
      <c r="A138" s="13">
        <f ca="1">IFERROR(__xludf.DUMMYFUNCTION("""COMPUTED_VALUE"""),44032.6458333333)</f>
        <v>44032.645833333299</v>
      </c>
      <c r="B138" s="14">
        <f ca="1">IFERROR(__xludf.DUMMYFUNCTION("""COMPUTED_VALUE"""),2207.9)</f>
        <v>2207.9</v>
      </c>
      <c r="C138" s="15">
        <f t="shared" ca="1" si="0"/>
        <v>3.2488924230376082E-3</v>
      </c>
      <c r="D138" s="14">
        <f t="shared" ca="1" si="1"/>
        <v>2071.5859999999993</v>
      </c>
      <c r="E138" s="17"/>
      <c r="F138" s="17"/>
    </row>
    <row r="139" spans="1:6" ht="12.75" x14ac:dyDescent="0.2">
      <c r="A139" s="13">
        <f ca="1">IFERROR(__xludf.DUMMYFUNCTION("""COMPUTED_VALUE"""),44033.6458333333)</f>
        <v>44033.645833333299</v>
      </c>
      <c r="B139" s="14">
        <f ca="1">IFERROR(__xludf.DUMMYFUNCTION("""COMPUTED_VALUE"""),2225.05)</f>
        <v>2225.0500000000002</v>
      </c>
      <c r="C139" s="15">
        <f t="shared" ca="1" si="0"/>
        <v>7.7675619366819326E-3</v>
      </c>
      <c r="D139" s="14">
        <f t="shared" ca="1" si="1"/>
        <v>2077.3809999999994</v>
      </c>
      <c r="E139" s="17"/>
      <c r="F139" s="17"/>
    </row>
    <row r="140" spans="1:6" ht="12.75" x14ac:dyDescent="0.2">
      <c r="A140" s="13">
        <f ca="1">IFERROR(__xludf.DUMMYFUNCTION("""COMPUTED_VALUE"""),44034.6458333333)</f>
        <v>44034.645833333299</v>
      </c>
      <c r="B140" s="14">
        <f ca="1">IFERROR(__xludf.DUMMYFUNCTION("""COMPUTED_VALUE"""),2190.95)</f>
        <v>2190.9499999999998</v>
      </c>
      <c r="C140" s="15">
        <f t="shared" ca="1" si="0"/>
        <v>-1.5325498303409124E-2</v>
      </c>
      <c r="D140" s="14">
        <f t="shared" ca="1" si="1"/>
        <v>2082.2099999999996</v>
      </c>
      <c r="E140" s="17"/>
      <c r="F140" s="17"/>
    </row>
    <row r="141" spans="1:6" ht="12.75" x14ac:dyDescent="0.2">
      <c r="A141" s="13">
        <f ca="1">IFERROR(__xludf.DUMMYFUNCTION("""COMPUTED_VALUE"""),44035.6458333333)</f>
        <v>44035.645833333299</v>
      </c>
      <c r="B141" s="14">
        <f ca="1">IFERROR(__xludf.DUMMYFUNCTION("""COMPUTED_VALUE"""),2171.2)</f>
        <v>2171.1999999999998</v>
      </c>
      <c r="C141" s="15">
        <f t="shared" ca="1" si="0"/>
        <v>-9.0143545037540962E-3</v>
      </c>
      <c r="D141" s="14">
        <f t="shared" ca="1" si="1"/>
        <v>2086.6409999999996</v>
      </c>
      <c r="E141" s="17"/>
      <c r="F141" s="17"/>
    </row>
    <row r="142" spans="1:6" ht="12.75" x14ac:dyDescent="0.2">
      <c r="A142" s="13">
        <f ca="1">IFERROR(__xludf.DUMMYFUNCTION("""COMPUTED_VALUE"""),44036.6458333333)</f>
        <v>44036.645833333299</v>
      </c>
      <c r="B142" s="14">
        <f ca="1">IFERROR(__xludf.DUMMYFUNCTION("""COMPUTED_VALUE"""),2157.4)</f>
        <v>2157.4</v>
      </c>
      <c r="C142" s="15">
        <f t="shared" ca="1" si="0"/>
        <v>-6.3559322033897026E-3</v>
      </c>
      <c r="D142" s="14">
        <f t="shared" ca="1" si="1"/>
        <v>2091.7419999999993</v>
      </c>
      <c r="E142" s="17"/>
      <c r="F142" s="17"/>
    </row>
    <row r="143" spans="1:6" ht="12.75" x14ac:dyDescent="0.2">
      <c r="A143" s="13">
        <f ca="1">IFERROR(__xludf.DUMMYFUNCTION("""COMPUTED_VALUE"""),44039.6458333333)</f>
        <v>44039.645833333299</v>
      </c>
      <c r="B143" s="14">
        <f ca="1">IFERROR(__xludf.DUMMYFUNCTION("""COMPUTED_VALUE"""),2206.8)</f>
        <v>2206.8000000000002</v>
      </c>
      <c r="C143" s="15">
        <f t="shared" ca="1" si="0"/>
        <v>2.2897932696764656E-2</v>
      </c>
      <c r="D143" s="14">
        <f t="shared" ca="1" si="1"/>
        <v>2098.0199999999995</v>
      </c>
      <c r="E143" s="17"/>
      <c r="F143" s="17"/>
    </row>
    <row r="144" spans="1:6" ht="12.75" x14ac:dyDescent="0.2">
      <c r="A144" s="13">
        <f ca="1">IFERROR(__xludf.DUMMYFUNCTION("""COMPUTED_VALUE"""),44040.6458333333)</f>
        <v>44040.645833333299</v>
      </c>
      <c r="B144" s="14">
        <f ca="1">IFERROR(__xludf.DUMMYFUNCTION("""COMPUTED_VALUE"""),2309.75)</f>
        <v>2309.75</v>
      </c>
      <c r="C144" s="15">
        <f t="shared" ca="1" si="0"/>
        <v>4.6651259742613638E-2</v>
      </c>
      <c r="D144" s="14">
        <f t="shared" ca="1" si="1"/>
        <v>2105.3029999999994</v>
      </c>
      <c r="E144" s="17"/>
      <c r="F144" s="17"/>
    </row>
    <row r="145" spans="1:6" ht="12.75" x14ac:dyDescent="0.2">
      <c r="A145" s="13">
        <f ca="1">IFERROR(__xludf.DUMMYFUNCTION("""COMPUTED_VALUE"""),44041.6458333333)</f>
        <v>44041.645833333299</v>
      </c>
      <c r="B145" s="14">
        <f ca="1">IFERROR(__xludf.DUMMYFUNCTION("""COMPUTED_VALUE"""),2276.05)</f>
        <v>2276.0500000000002</v>
      </c>
      <c r="C145" s="15">
        <f t="shared" ca="1" si="0"/>
        <v>-1.4590323628098201E-2</v>
      </c>
      <c r="D145" s="14">
        <f t="shared" ca="1" si="1"/>
        <v>2111.8509999999997</v>
      </c>
      <c r="E145" s="17"/>
      <c r="F145" s="17"/>
    </row>
    <row r="146" spans="1:6" ht="12.75" x14ac:dyDescent="0.2">
      <c r="A146" s="13">
        <f ca="1">IFERROR(__xludf.DUMMYFUNCTION("""COMPUTED_VALUE"""),44042.6458333333)</f>
        <v>44042.645833333299</v>
      </c>
      <c r="B146" s="14">
        <f ca="1">IFERROR(__xludf.DUMMYFUNCTION("""COMPUTED_VALUE"""),2279.5)</f>
        <v>2279.5</v>
      </c>
      <c r="C146" s="15">
        <f t="shared" ca="1" si="0"/>
        <v>1.51578392390328E-3</v>
      </c>
      <c r="D146" s="14">
        <f t="shared" ca="1" si="1"/>
        <v>2118.3689999999997</v>
      </c>
      <c r="E146" s="17"/>
      <c r="F146" s="17"/>
    </row>
    <row r="147" spans="1:6" ht="12.75" x14ac:dyDescent="0.2">
      <c r="A147" s="13">
        <f ca="1">IFERROR(__xludf.DUMMYFUNCTION("""COMPUTED_VALUE"""),44043.6458333333)</f>
        <v>44043.645833333299</v>
      </c>
      <c r="B147" s="14">
        <f ca="1">IFERROR(__xludf.DUMMYFUNCTION("""COMPUTED_VALUE"""),2281.4)</f>
        <v>2281.4</v>
      </c>
      <c r="C147" s="15">
        <f t="shared" ca="1" si="0"/>
        <v>8.3351612195659008E-4</v>
      </c>
      <c r="D147" s="14">
        <f t="shared" ca="1" si="1"/>
        <v>2124.1729999999998</v>
      </c>
      <c r="E147" s="17"/>
      <c r="F147" s="17"/>
    </row>
    <row r="148" spans="1:6" ht="12.75" x14ac:dyDescent="0.2">
      <c r="A148" s="13">
        <f ca="1">IFERROR(__xludf.DUMMYFUNCTION("""COMPUTED_VALUE"""),44046.6458333333)</f>
        <v>44046.645833333299</v>
      </c>
      <c r="B148" s="14">
        <f ca="1">IFERROR(__xludf.DUMMYFUNCTION("""COMPUTED_VALUE"""),2254.15)</f>
        <v>2254.15</v>
      </c>
      <c r="C148" s="15">
        <f t="shared" ca="1" si="0"/>
        <v>-1.1944420092925401E-2</v>
      </c>
      <c r="D148" s="14">
        <f t="shared" ca="1" si="1"/>
        <v>2128.8489999999997</v>
      </c>
      <c r="E148" s="17"/>
      <c r="F148" s="17"/>
    </row>
    <row r="149" spans="1:6" ht="12.75" x14ac:dyDescent="0.2">
      <c r="A149" s="13">
        <f ca="1">IFERROR(__xludf.DUMMYFUNCTION("""COMPUTED_VALUE"""),44047.6458333333)</f>
        <v>44047.645833333299</v>
      </c>
      <c r="B149" s="14">
        <f ca="1">IFERROR(__xludf.DUMMYFUNCTION("""COMPUTED_VALUE"""),2249.7)</f>
        <v>2249.6999999999998</v>
      </c>
      <c r="C149" s="15">
        <f t="shared" ca="1" si="0"/>
        <v>-1.9741365925072252E-3</v>
      </c>
      <c r="D149" s="14">
        <f t="shared" ca="1" si="1"/>
        <v>2134.9829999999997</v>
      </c>
      <c r="E149" s="17"/>
      <c r="F149" s="17"/>
    </row>
    <row r="150" spans="1:6" ht="12.75" x14ac:dyDescent="0.2">
      <c r="A150" s="13">
        <f ca="1">IFERROR(__xludf.DUMMYFUNCTION("""COMPUTED_VALUE"""),44048.6458333333)</f>
        <v>44048.645833333299</v>
      </c>
      <c r="B150" s="14">
        <f ca="1">IFERROR(__xludf.DUMMYFUNCTION("""COMPUTED_VALUE"""),2259.5)</f>
        <v>2259.5</v>
      </c>
      <c r="C150" s="15">
        <f t="shared" ca="1" si="0"/>
        <v>4.3561363737387726E-3</v>
      </c>
      <c r="D150" s="14">
        <f t="shared" ca="1" si="1"/>
        <v>2140.0669999999996</v>
      </c>
      <c r="E150" s="17"/>
      <c r="F150" s="17"/>
    </row>
    <row r="151" spans="1:6" ht="12.75" x14ac:dyDescent="0.2">
      <c r="A151" s="13">
        <f ca="1">IFERROR(__xludf.DUMMYFUNCTION("""COMPUTED_VALUE"""),44049.6458333333)</f>
        <v>44049.645833333299</v>
      </c>
      <c r="B151" s="14">
        <f ca="1">IFERROR(__xludf.DUMMYFUNCTION("""COMPUTED_VALUE"""),2308.1)</f>
        <v>2308.1</v>
      </c>
      <c r="C151" s="15">
        <f t="shared" ca="1" si="0"/>
        <v>2.1509183447665281E-2</v>
      </c>
      <c r="D151" s="14">
        <f t="shared" ca="1" si="1"/>
        <v>2146.1429999999996</v>
      </c>
      <c r="E151" s="17"/>
      <c r="F151" s="17"/>
    </row>
    <row r="152" spans="1:6" ht="12.75" x14ac:dyDescent="0.2">
      <c r="A152" s="13">
        <f ca="1">IFERROR(__xludf.DUMMYFUNCTION("""COMPUTED_VALUE"""),44050.6458333333)</f>
        <v>44050.645833333299</v>
      </c>
      <c r="B152" s="14">
        <f ca="1">IFERROR(__xludf.DUMMYFUNCTION("""COMPUTED_VALUE"""),2295.35)</f>
        <v>2295.35</v>
      </c>
      <c r="C152" s="15">
        <f t="shared" ca="1" si="0"/>
        <v>-5.5240240890775949E-3</v>
      </c>
      <c r="D152" s="14">
        <f t="shared" ca="1" si="1"/>
        <v>2152.6029999999996</v>
      </c>
      <c r="E152" s="17"/>
      <c r="F152" s="17"/>
    </row>
    <row r="153" spans="1:6" ht="12.75" x14ac:dyDescent="0.2">
      <c r="A153" s="13">
        <f ca="1">IFERROR(__xludf.DUMMYFUNCTION("""COMPUTED_VALUE"""),44053.6458333333)</f>
        <v>44053.645833333299</v>
      </c>
      <c r="B153" s="14">
        <f ca="1">IFERROR(__xludf.DUMMYFUNCTION("""COMPUTED_VALUE"""),2282.8)</f>
        <v>2282.8000000000002</v>
      </c>
      <c r="C153" s="15">
        <f t="shared" ca="1" si="0"/>
        <v>-5.4675757509746736E-3</v>
      </c>
      <c r="D153" s="14">
        <f t="shared" ca="1" si="1"/>
        <v>2157.3539999999998</v>
      </c>
      <c r="E153" s="17"/>
      <c r="F153" s="17"/>
    </row>
    <row r="154" spans="1:6" ht="12.75" x14ac:dyDescent="0.2">
      <c r="A154" s="13">
        <f ca="1">IFERROR(__xludf.DUMMYFUNCTION("""COMPUTED_VALUE"""),44054.6458333333)</f>
        <v>44054.645833333299</v>
      </c>
      <c r="B154" s="14">
        <f ca="1">IFERROR(__xludf.DUMMYFUNCTION("""COMPUTED_VALUE"""),2279.9)</f>
        <v>2279.9</v>
      </c>
      <c r="C154" s="15">
        <f t="shared" ca="1" si="0"/>
        <v>-1.2703697213948262E-3</v>
      </c>
      <c r="D154" s="14">
        <f t="shared" ca="1" si="1"/>
        <v>2162.0089999999996</v>
      </c>
      <c r="E154" s="17"/>
      <c r="F154" s="17"/>
    </row>
    <row r="155" spans="1:6" ht="12.75" x14ac:dyDescent="0.2">
      <c r="A155" s="13">
        <f ca="1">IFERROR(__xludf.DUMMYFUNCTION("""COMPUTED_VALUE"""),44055.6458333333)</f>
        <v>44055.645833333299</v>
      </c>
      <c r="B155" s="14">
        <f ca="1">IFERROR(__xludf.DUMMYFUNCTION("""COMPUTED_VALUE"""),2257.35)</f>
        <v>2257.35</v>
      </c>
      <c r="C155" s="15">
        <f t="shared" ca="1" si="0"/>
        <v>-9.890784683538878E-3</v>
      </c>
      <c r="D155" s="14">
        <f t="shared" ca="1" si="1"/>
        <v>2166.2329999999997</v>
      </c>
      <c r="E155" s="17"/>
      <c r="F155" s="17"/>
    </row>
    <row r="156" spans="1:6" ht="12.75" x14ac:dyDescent="0.2">
      <c r="A156" s="13">
        <f ca="1">IFERROR(__xludf.DUMMYFUNCTION("""COMPUTED_VALUE"""),44056.6458333333)</f>
        <v>44056.645833333299</v>
      </c>
      <c r="B156" s="14">
        <f ca="1">IFERROR(__xludf.DUMMYFUNCTION("""COMPUTED_VALUE"""),2254.45)</f>
        <v>2254.4499999999998</v>
      </c>
      <c r="C156" s="15">
        <f t="shared" ca="1" si="0"/>
        <v>-1.284692227612072E-3</v>
      </c>
      <c r="D156" s="14">
        <f t="shared" ca="1" si="1"/>
        <v>2169.491</v>
      </c>
      <c r="E156" s="17"/>
      <c r="F156" s="17"/>
    </row>
    <row r="157" spans="1:6" ht="12.75" x14ac:dyDescent="0.2">
      <c r="A157" s="13">
        <f ca="1">IFERROR(__xludf.DUMMYFUNCTION("""COMPUTED_VALUE"""),44057.6458333333)</f>
        <v>44057.645833333299</v>
      </c>
      <c r="B157" s="14">
        <f ca="1">IFERROR(__xludf.DUMMYFUNCTION("""COMPUTED_VALUE"""),2242.15)</f>
        <v>2242.15</v>
      </c>
      <c r="C157" s="15">
        <f t="shared" ca="1" si="0"/>
        <v>-5.4558761560468128E-3</v>
      </c>
      <c r="D157" s="14">
        <f t="shared" ca="1" si="1"/>
        <v>2173.3689999999997</v>
      </c>
      <c r="E157" s="17"/>
      <c r="F157" s="17"/>
    </row>
    <row r="158" spans="1:6" ht="12.75" x14ac:dyDescent="0.2">
      <c r="A158" s="13">
        <f ca="1">IFERROR(__xludf.DUMMYFUNCTION("""COMPUTED_VALUE"""),44060.6458333333)</f>
        <v>44060.645833333299</v>
      </c>
      <c r="B158" s="14">
        <f ca="1">IFERROR(__xludf.DUMMYFUNCTION("""COMPUTED_VALUE"""),2253.4)</f>
        <v>2253.4</v>
      </c>
      <c r="C158" s="15">
        <f t="shared" ca="1" si="0"/>
        <v>5.0175055192560603E-3</v>
      </c>
      <c r="D158" s="14">
        <f t="shared" ca="1" si="1"/>
        <v>2177.0019999999995</v>
      </c>
      <c r="E158" s="17"/>
      <c r="F158" s="17"/>
    </row>
    <row r="159" spans="1:6" ht="12.75" x14ac:dyDescent="0.2">
      <c r="A159" s="13">
        <f ca="1">IFERROR(__xludf.DUMMYFUNCTION("""COMPUTED_VALUE"""),44061.6458333333)</f>
        <v>44061.645833333299</v>
      </c>
      <c r="B159" s="14">
        <f ca="1">IFERROR(__xludf.DUMMYFUNCTION("""COMPUTED_VALUE"""),2269.75)</f>
        <v>2269.75</v>
      </c>
      <c r="C159" s="15">
        <f t="shared" ca="1" si="0"/>
        <v>7.2557024940089754E-3</v>
      </c>
      <c r="D159" s="14">
        <f t="shared" ca="1" si="1"/>
        <v>2180.9559999999997</v>
      </c>
      <c r="E159" s="17"/>
      <c r="F159" s="17"/>
    </row>
    <row r="160" spans="1:6" ht="12.75" x14ac:dyDescent="0.2">
      <c r="A160" s="13">
        <f ca="1">IFERROR(__xludf.DUMMYFUNCTION("""COMPUTED_VALUE"""),44062.6458333333)</f>
        <v>44062.645833333299</v>
      </c>
      <c r="B160" s="14">
        <f ca="1">IFERROR(__xludf.DUMMYFUNCTION("""COMPUTED_VALUE"""),2256.6)</f>
        <v>2256.6</v>
      </c>
      <c r="C160" s="15">
        <f t="shared" ca="1" si="0"/>
        <v>-5.79358960237919E-3</v>
      </c>
      <c r="D160" s="14">
        <f t="shared" ca="1" si="1"/>
        <v>2183.913</v>
      </c>
      <c r="E160" s="17"/>
      <c r="F160" s="17"/>
    </row>
    <row r="161" spans="1:6" ht="12.75" x14ac:dyDescent="0.2">
      <c r="A161" s="13">
        <f ca="1">IFERROR(__xludf.DUMMYFUNCTION("""COMPUTED_VALUE"""),44063.6458333333)</f>
        <v>44063.645833333299</v>
      </c>
      <c r="B161" s="14">
        <f ca="1">IFERROR(__xludf.DUMMYFUNCTION("""COMPUTED_VALUE"""),2252.85)</f>
        <v>2252.85</v>
      </c>
      <c r="C161" s="15">
        <f t="shared" ca="1" si="0"/>
        <v>-1.6617920765753524E-3</v>
      </c>
      <c r="D161" s="14">
        <f t="shared" ca="1" si="1"/>
        <v>2187.6169999999997</v>
      </c>
      <c r="E161" s="17"/>
      <c r="F161" s="17"/>
    </row>
    <row r="162" spans="1:6" ht="12.75" x14ac:dyDescent="0.2">
      <c r="A162" s="13">
        <f ca="1">IFERROR(__xludf.DUMMYFUNCTION("""COMPUTED_VALUE"""),44064.6458333333)</f>
        <v>44064.645833333299</v>
      </c>
      <c r="B162" s="14">
        <f ca="1">IFERROR(__xludf.DUMMYFUNCTION("""COMPUTED_VALUE"""),2248.6)</f>
        <v>2248.6</v>
      </c>
      <c r="C162" s="15">
        <f t="shared" ca="1" si="0"/>
        <v>-1.8864993230796046E-3</v>
      </c>
      <c r="D162" s="14">
        <f t="shared" ca="1" si="1"/>
        <v>2191.7990000000004</v>
      </c>
      <c r="E162" s="17"/>
      <c r="F162" s="17"/>
    </row>
    <row r="163" spans="1:6" ht="12.75" x14ac:dyDescent="0.2">
      <c r="A163" s="13">
        <f ca="1">IFERROR(__xludf.DUMMYFUNCTION("""COMPUTED_VALUE"""),44067.6458333333)</f>
        <v>44067.645833333299</v>
      </c>
      <c r="B163" s="14">
        <f ca="1">IFERROR(__xludf.DUMMYFUNCTION("""COMPUTED_VALUE"""),2248.1)</f>
        <v>2248.1</v>
      </c>
      <c r="C163" s="15">
        <f t="shared" ca="1" si="0"/>
        <v>-2.2236057991642522E-4</v>
      </c>
      <c r="D163" s="14">
        <f t="shared" ca="1" si="1"/>
        <v>2196.1630000000005</v>
      </c>
      <c r="E163" s="17"/>
      <c r="F163" s="17"/>
    </row>
    <row r="164" spans="1:6" ht="12.75" x14ac:dyDescent="0.2">
      <c r="A164" s="13">
        <f ca="1">IFERROR(__xludf.DUMMYFUNCTION("""COMPUTED_VALUE"""),44068.6458333333)</f>
        <v>44068.645833333299</v>
      </c>
      <c r="B164" s="14">
        <f ca="1">IFERROR(__xludf.DUMMYFUNCTION("""COMPUTED_VALUE"""),2242.65)</f>
        <v>2242.65</v>
      </c>
      <c r="C164" s="15">
        <f t="shared" ca="1" si="0"/>
        <v>-2.4242693830345274E-3</v>
      </c>
      <c r="D164" s="14">
        <f t="shared" ca="1" si="1"/>
        <v>2200.1000000000004</v>
      </c>
      <c r="E164" s="17"/>
      <c r="F164" s="17"/>
    </row>
    <row r="165" spans="1:6" ht="12.75" x14ac:dyDescent="0.2">
      <c r="A165" s="13">
        <f ca="1">IFERROR(__xludf.DUMMYFUNCTION("""COMPUTED_VALUE"""),44069.6458333333)</f>
        <v>44069.645833333299</v>
      </c>
      <c r="B165" s="14">
        <f ca="1">IFERROR(__xludf.DUMMYFUNCTION("""COMPUTED_VALUE"""),2253.5)</f>
        <v>2253.5</v>
      </c>
      <c r="C165" s="15">
        <f t="shared" ca="1" si="0"/>
        <v>4.8380264419325414E-3</v>
      </c>
      <c r="D165" s="14">
        <f t="shared" ca="1" si="1"/>
        <v>2204.2140000000004</v>
      </c>
      <c r="E165" s="17"/>
      <c r="F165" s="17"/>
    </row>
    <row r="166" spans="1:6" ht="12.75" x14ac:dyDescent="0.2">
      <c r="A166" s="13">
        <f ca="1">IFERROR(__xludf.DUMMYFUNCTION("""COMPUTED_VALUE"""),44070.6458333333)</f>
        <v>44070.645833333299</v>
      </c>
      <c r="B166" s="14">
        <f ca="1">IFERROR(__xludf.DUMMYFUNCTION("""COMPUTED_VALUE"""),2248.4)</f>
        <v>2248.4</v>
      </c>
      <c r="C166" s="15">
        <f t="shared" ca="1" si="0"/>
        <v>-2.2631462169957484E-3</v>
      </c>
      <c r="D166" s="14">
        <f t="shared" ca="1" si="1"/>
        <v>2208.42</v>
      </c>
      <c r="E166" s="17"/>
      <c r="F166" s="17"/>
    </row>
    <row r="167" spans="1:6" ht="12.75" x14ac:dyDescent="0.2">
      <c r="A167" s="13">
        <f ca="1">IFERROR(__xludf.DUMMYFUNCTION("""COMPUTED_VALUE"""),44071.6458333333)</f>
        <v>44071.645833333299</v>
      </c>
      <c r="B167" s="14">
        <f ca="1">IFERROR(__xludf.DUMMYFUNCTION("""COMPUTED_VALUE"""),2238.55)</f>
        <v>2238.5500000000002</v>
      </c>
      <c r="C167" s="15">
        <f t="shared" ca="1" si="0"/>
        <v>-4.3808930795231626E-3</v>
      </c>
      <c r="D167" s="14">
        <f t="shared" ca="1" si="1"/>
        <v>2212.2990000000004</v>
      </c>
      <c r="E167" s="17"/>
      <c r="F167" s="17"/>
    </row>
    <row r="168" spans="1:6" ht="12.75" x14ac:dyDescent="0.2">
      <c r="A168" s="13">
        <f ca="1">IFERROR(__xludf.DUMMYFUNCTION("""COMPUTED_VALUE"""),44074.6458333333)</f>
        <v>44074.645833333299</v>
      </c>
      <c r="B168" s="14">
        <f ca="1">IFERROR(__xludf.DUMMYFUNCTION("""COMPUTED_VALUE"""),2257.25)</f>
        <v>2257.25</v>
      </c>
      <c r="C168" s="15">
        <f t="shared" ca="1" si="0"/>
        <v>8.3536217640882704E-3</v>
      </c>
      <c r="D168" s="14">
        <f t="shared" ca="1" si="1"/>
        <v>2216.8850000000002</v>
      </c>
      <c r="E168" s="17"/>
      <c r="F168" s="17"/>
    </row>
    <row r="169" spans="1:6" ht="12.75" x14ac:dyDescent="0.2">
      <c r="A169" s="13">
        <f ca="1">IFERROR(__xludf.DUMMYFUNCTION("""COMPUTED_VALUE"""),44075.6458333333)</f>
        <v>44075.645833333299</v>
      </c>
      <c r="B169" s="14">
        <f ca="1">IFERROR(__xludf.DUMMYFUNCTION("""COMPUTED_VALUE"""),2246.35)</f>
        <v>2246.35</v>
      </c>
      <c r="C169" s="15">
        <f t="shared" ca="1" si="0"/>
        <v>-4.8288847048399974E-3</v>
      </c>
      <c r="D169" s="14">
        <f t="shared" ca="1" si="1"/>
        <v>2221.1060000000007</v>
      </c>
      <c r="E169" s="17"/>
      <c r="F169" s="17"/>
    </row>
    <row r="170" spans="1:6" ht="12.75" x14ac:dyDescent="0.2">
      <c r="A170" s="13">
        <f ca="1">IFERROR(__xludf.DUMMYFUNCTION("""COMPUTED_VALUE"""),44076.6458333333)</f>
        <v>44076.645833333299</v>
      </c>
      <c r="B170" s="14">
        <f ca="1">IFERROR(__xludf.DUMMYFUNCTION("""COMPUTED_VALUE"""),2265.15)</f>
        <v>2265.15</v>
      </c>
      <c r="C170" s="15">
        <f t="shared" ca="1" si="0"/>
        <v>8.369132147706404E-3</v>
      </c>
      <c r="D170" s="14">
        <f t="shared" ca="1" si="1"/>
        <v>2225.5650000000005</v>
      </c>
      <c r="E170" s="17"/>
      <c r="F170" s="17"/>
    </row>
    <row r="171" spans="1:6" ht="12.75" x14ac:dyDescent="0.2">
      <c r="A171" s="13">
        <f ca="1">IFERROR(__xludf.DUMMYFUNCTION("""COMPUTED_VALUE"""),44077.6458333333)</f>
        <v>44077.645833333299</v>
      </c>
      <c r="B171" s="14">
        <f ca="1">IFERROR(__xludf.DUMMYFUNCTION("""COMPUTED_VALUE"""),2299.5)</f>
        <v>2299.5</v>
      </c>
      <c r="C171" s="15">
        <f t="shared" ca="1" si="0"/>
        <v>1.5164558638500747E-2</v>
      </c>
      <c r="D171" s="14">
        <f t="shared" ca="1" si="1"/>
        <v>2231.2330000000006</v>
      </c>
      <c r="E171" s="17"/>
      <c r="F171" s="17"/>
    </row>
    <row r="172" spans="1:6" ht="12.75" x14ac:dyDescent="0.2">
      <c r="A172" s="13">
        <f ca="1">IFERROR(__xludf.DUMMYFUNCTION("""COMPUTED_VALUE"""),44078.6458333333)</f>
        <v>44078.645833333299</v>
      </c>
      <c r="B172" s="14">
        <f ca="1">IFERROR(__xludf.DUMMYFUNCTION("""COMPUTED_VALUE"""),2288.8)</f>
        <v>2288.8000000000002</v>
      </c>
      <c r="C172" s="15">
        <f t="shared" ca="1" si="0"/>
        <v>-4.6531854751031831E-3</v>
      </c>
      <c r="D172" s="14">
        <f t="shared" ca="1" si="1"/>
        <v>2234.6320000000001</v>
      </c>
      <c r="E172" s="17"/>
      <c r="F172" s="17"/>
    </row>
    <row r="173" spans="1:6" ht="12.75" x14ac:dyDescent="0.2">
      <c r="A173" s="13">
        <f ca="1">IFERROR(__xludf.DUMMYFUNCTION("""COMPUTED_VALUE"""),44081.6458333333)</f>
        <v>44081.645833333299</v>
      </c>
      <c r="B173" s="14">
        <f ca="1">IFERROR(__xludf.DUMMYFUNCTION("""COMPUTED_VALUE"""),2327.05)</f>
        <v>2327.0500000000002</v>
      </c>
      <c r="C173" s="15">
        <f t="shared" ca="1" si="0"/>
        <v>1.6711814051031171E-2</v>
      </c>
      <c r="D173" s="14">
        <f t="shared" ca="1" si="1"/>
        <v>2239.14</v>
      </c>
      <c r="E173" s="17"/>
      <c r="F173" s="17"/>
    </row>
    <row r="174" spans="1:6" ht="12.75" x14ac:dyDescent="0.2">
      <c r="A174" s="13">
        <f ca="1">IFERROR(__xludf.DUMMYFUNCTION("""COMPUTED_VALUE"""),44082.6458333333)</f>
        <v>44082.645833333299</v>
      </c>
      <c r="B174" s="14">
        <f ca="1">IFERROR(__xludf.DUMMYFUNCTION("""COMPUTED_VALUE"""),2348.2)</f>
        <v>2348.1999999999998</v>
      </c>
      <c r="C174" s="15">
        <f t="shared" ca="1" si="0"/>
        <v>9.0887604477771777E-3</v>
      </c>
      <c r="D174" s="14">
        <f t="shared" ca="1" si="1"/>
        <v>2244.4610000000002</v>
      </c>
      <c r="E174" s="17"/>
      <c r="F174" s="17"/>
    </row>
    <row r="175" spans="1:6" ht="12.75" x14ac:dyDescent="0.2">
      <c r="A175" s="13">
        <f ca="1">IFERROR(__xludf.DUMMYFUNCTION("""COMPUTED_VALUE"""),44083.6458333333)</f>
        <v>44083.645833333299</v>
      </c>
      <c r="B175" s="14">
        <f ca="1">IFERROR(__xludf.DUMMYFUNCTION("""COMPUTED_VALUE"""),2327.65)</f>
        <v>2327.65</v>
      </c>
      <c r="C175" s="15">
        <f t="shared" ca="1" si="0"/>
        <v>-8.7513840388381281E-3</v>
      </c>
      <c r="D175" s="14">
        <f t="shared" ca="1" si="1"/>
        <v>2249.1730000000002</v>
      </c>
      <c r="E175" s="17"/>
      <c r="F175" s="17"/>
    </row>
    <row r="176" spans="1:6" ht="12.75" x14ac:dyDescent="0.2">
      <c r="A176" s="13">
        <f ca="1">IFERROR(__xludf.DUMMYFUNCTION("""COMPUTED_VALUE"""),44084.6458333333)</f>
        <v>44084.645833333299</v>
      </c>
      <c r="B176" s="14">
        <f ca="1">IFERROR(__xludf.DUMMYFUNCTION("""COMPUTED_VALUE"""),2331.15)</f>
        <v>2331.15</v>
      </c>
      <c r="C176" s="15">
        <f t="shared" ca="1" si="0"/>
        <v>1.5036624922131203E-3</v>
      </c>
      <c r="D176" s="14">
        <f t="shared" ca="1" si="1"/>
        <v>2252.6530000000002</v>
      </c>
      <c r="E176" s="17"/>
      <c r="F176" s="17"/>
    </row>
    <row r="177" spans="1:6" ht="12.75" x14ac:dyDescent="0.2">
      <c r="A177" s="13">
        <f ca="1">IFERROR(__xludf.DUMMYFUNCTION("""COMPUTED_VALUE"""),44085.6458333333)</f>
        <v>44085.645833333299</v>
      </c>
      <c r="B177" s="14">
        <f ca="1">IFERROR(__xludf.DUMMYFUNCTION("""COMPUTED_VALUE"""),2374.1)</f>
        <v>2374.1</v>
      </c>
      <c r="C177" s="15">
        <f t="shared" ca="1" si="0"/>
        <v>1.8424382815348528E-2</v>
      </c>
      <c r="D177" s="14">
        <f t="shared" ca="1" si="1"/>
        <v>2256.1420000000003</v>
      </c>
      <c r="E177" s="17"/>
      <c r="F177" s="17"/>
    </row>
    <row r="178" spans="1:6" ht="12.75" x14ac:dyDescent="0.2">
      <c r="A178" s="13">
        <f ca="1">IFERROR(__xludf.DUMMYFUNCTION("""COMPUTED_VALUE"""),44088.6458333333)</f>
        <v>44088.645833333299</v>
      </c>
      <c r="B178" s="14">
        <f ca="1">IFERROR(__xludf.DUMMYFUNCTION("""COMPUTED_VALUE"""),2491.4)</f>
        <v>2491.4</v>
      </c>
      <c r="C178" s="15">
        <f t="shared" ca="1" si="0"/>
        <v>4.9408196790362791E-2</v>
      </c>
      <c r="D178" s="14">
        <f t="shared" ca="1" si="1"/>
        <v>2260.7060000000001</v>
      </c>
      <c r="E178" s="17"/>
      <c r="F178" s="17"/>
    </row>
    <row r="179" spans="1:6" ht="12.75" x14ac:dyDescent="0.2">
      <c r="A179" s="13">
        <f ca="1">IFERROR(__xludf.DUMMYFUNCTION("""COMPUTED_VALUE"""),44089.6458333333)</f>
        <v>44089.645833333299</v>
      </c>
      <c r="B179" s="14">
        <f ca="1">IFERROR(__xludf.DUMMYFUNCTION("""COMPUTED_VALUE"""),2491.4)</f>
        <v>2491.4</v>
      </c>
      <c r="C179" s="15">
        <f t="shared" ca="1" si="0"/>
        <v>0</v>
      </c>
      <c r="D179" s="14">
        <f t="shared" ca="1" si="1"/>
        <v>2265.136</v>
      </c>
      <c r="E179" s="17"/>
      <c r="F179" s="17"/>
    </row>
    <row r="180" spans="1:6" ht="12.75" x14ac:dyDescent="0.2">
      <c r="A180" s="13">
        <f ca="1">IFERROR(__xludf.DUMMYFUNCTION("""COMPUTED_VALUE"""),44090.6458333333)</f>
        <v>44090.645833333299</v>
      </c>
      <c r="B180" s="14">
        <f ca="1">IFERROR(__xludf.DUMMYFUNCTION("""COMPUTED_VALUE"""),2503)</f>
        <v>2503</v>
      </c>
      <c r="C180" s="15">
        <f t="shared" ca="1" si="0"/>
        <v>4.6560166974392025E-3</v>
      </c>
      <c r="D180" s="14">
        <f t="shared" ca="1" si="1"/>
        <v>2270.8179999999998</v>
      </c>
      <c r="E180" s="17"/>
      <c r="F180" s="17"/>
    </row>
    <row r="181" spans="1:6" ht="12.75" x14ac:dyDescent="0.2">
      <c r="A181" s="13">
        <f ca="1">IFERROR(__xludf.DUMMYFUNCTION("""COMPUTED_VALUE"""),44091.6458333333)</f>
        <v>44091.645833333299</v>
      </c>
      <c r="B181" s="14">
        <f ca="1">IFERROR(__xludf.DUMMYFUNCTION("""COMPUTED_VALUE"""),2460.95)</f>
        <v>2460.9499999999998</v>
      </c>
      <c r="C181" s="15">
        <f t="shared" ca="1" si="0"/>
        <v>-1.6799840191769944E-2</v>
      </c>
      <c r="D181" s="14">
        <f t="shared" ca="1" si="1"/>
        <v>2275.9499999999998</v>
      </c>
      <c r="E181" s="17"/>
      <c r="F181" s="17"/>
    </row>
    <row r="182" spans="1:6" ht="12.75" x14ac:dyDescent="0.2">
      <c r="A182" s="13">
        <f ca="1">IFERROR(__xludf.DUMMYFUNCTION("""COMPUTED_VALUE"""),44092.6458333333)</f>
        <v>44092.645833333299</v>
      </c>
      <c r="B182" s="14">
        <f ca="1">IFERROR(__xludf.DUMMYFUNCTION("""COMPUTED_VALUE"""),2449.9)</f>
        <v>2449.9</v>
      </c>
      <c r="C182" s="15">
        <f t="shared" ca="1" si="0"/>
        <v>-4.4901359231189764E-3</v>
      </c>
      <c r="D182" s="14">
        <f t="shared" ca="1" si="1"/>
        <v>2280.5009999999993</v>
      </c>
      <c r="E182" s="17"/>
      <c r="F182" s="17"/>
    </row>
    <row r="183" spans="1:6" ht="12.75" x14ac:dyDescent="0.2">
      <c r="A183" s="13">
        <f ca="1">IFERROR(__xludf.DUMMYFUNCTION("""COMPUTED_VALUE"""),44095.6458333333)</f>
        <v>44095.645833333299</v>
      </c>
      <c r="B183" s="14">
        <f ca="1">IFERROR(__xludf.DUMMYFUNCTION("""COMPUTED_VALUE"""),2465.3)</f>
        <v>2465.3000000000002</v>
      </c>
      <c r="C183" s="15">
        <f t="shared" ca="1" si="0"/>
        <v>6.2859708559532823E-3</v>
      </c>
      <c r="D183" s="14">
        <f t="shared" ca="1" si="1"/>
        <v>2285.4069999999992</v>
      </c>
      <c r="E183" s="17"/>
      <c r="F183" s="17"/>
    </row>
    <row r="184" spans="1:6" ht="12.75" x14ac:dyDescent="0.2">
      <c r="A184" s="13">
        <f ca="1">IFERROR(__xludf.DUMMYFUNCTION("""COMPUTED_VALUE"""),44096.6458333333)</f>
        <v>44096.645833333299</v>
      </c>
      <c r="B184" s="14">
        <f ca="1">IFERROR(__xludf.DUMMYFUNCTION("""COMPUTED_VALUE"""),2522.95)</f>
        <v>2522.9499999999998</v>
      </c>
      <c r="C184" s="15">
        <f t="shared" ca="1" si="0"/>
        <v>2.3384577941832463E-2</v>
      </c>
      <c r="D184" s="14">
        <f t="shared" ca="1" si="1"/>
        <v>2292.4269999999992</v>
      </c>
      <c r="E184" s="17"/>
      <c r="F184" s="17"/>
    </row>
    <row r="185" spans="1:6" ht="12.75" x14ac:dyDescent="0.2">
      <c r="A185" s="13">
        <f ca="1">IFERROR(__xludf.DUMMYFUNCTION("""COMPUTED_VALUE"""),44097.6458333333)</f>
        <v>44097.645833333299</v>
      </c>
      <c r="B185" s="14">
        <f ca="1">IFERROR(__xludf.DUMMYFUNCTION("""COMPUTED_VALUE"""),2467.45)</f>
        <v>2467.4499999999998</v>
      </c>
      <c r="C185" s="15">
        <f t="shared" ca="1" si="0"/>
        <v>-2.1998057829128559E-2</v>
      </c>
      <c r="D185" s="14">
        <f t="shared" ca="1" si="1"/>
        <v>2297.0979999999995</v>
      </c>
      <c r="E185" s="17"/>
      <c r="F185" s="17"/>
    </row>
    <row r="186" spans="1:6" ht="12.75" x14ac:dyDescent="0.2">
      <c r="A186" s="13">
        <f ca="1">IFERROR(__xludf.DUMMYFUNCTION("""COMPUTED_VALUE"""),44098.6458333333)</f>
        <v>44098.645833333299</v>
      </c>
      <c r="B186" s="14">
        <f ca="1">IFERROR(__xludf.DUMMYFUNCTION("""COMPUTED_VALUE"""),2332.25)</f>
        <v>2332.25</v>
      </c>
      <c r="C186" s="15">
        <f t="shared" ca="1" si="0"/>
        <v>-5.4793410200814519E-2</v>
      </c>
      <c r="D186" s="14">
        <f t="shared" ca="1" si="1"/>
        <v>2299.0479999999998</v>
      </c>
      <c r="E186" s="17"/>
      <c r="F186" s="17"/>
    </row>
    <row r="187" spans="1:6" ht="12.75" x14ac:dyDescent="0.2">
      <c r="A187" s="13">
        <f ca="1">IFERROR(__xludf.DUMMYFUNCTION("""COMPUTED_VALUE"""),44099.6458333333)</f>
        <v>44099.645833333299</v>
      </c>
      <c r="B187" s="14">
        <f ca="1">IFERROR(__xludf.DUMMYFUNCTION("""COMPUTED_VALUE"""),2422.3)</f>
        <v>2422.3000000000002</v>
      </c>
      <c r="C187" s="15">
        <f t="shared" ca="1" si="0"/>
        <v>3.8610783578090002E-2</v>
      </c>
      <c r="D187" s="14">
        <f t="shared" ca="1" si="1"/>
        <v>2303.4789999999998</v>
      </c>
      <c r="E187" s="17"/>
      <c r="F187" s="17"/>
    </row>
    <row r="188" spans="1:6" ht="12.75" x14ac:dyDescent="0.2">
      <c r="A188" s="13">
        <f ca="1">IFERROR(__xludf.DUMMYFUNCTION("""COMPUTED_VALUE"""),44102.6458333333)</f>
        <v>44102.645833333299</v>
      </c>
      <c r="B188" s="14">
        <f ca="1">IFERROR(__xludf.DUMMYFUNCTION("""COMPUTED_VALUE"""),2426.3)</f>
        <v>2426.3000000000002</v>
      </c>
      <c r="C188" s="15">
        <f t="shared" ca="1" si="0"/>
        <v>1.6513231226520375E-3</v>
      </c>
      <c r="D188" s="14">
        <f t="shared" ca="1" si="1"/>
        <v>2307.8469999999998</v>
      </c>
      <c r="E188" s="17"/>
      <c r="F188" s="17"/>
    </row>
    <row r="189" spans="1:6" ht="12.75" x14ac:dyDescent="0.2">
      <c r="A189" s="13">
        <f ca="1">IFERROR(__xludf.DUMMYFUNCTION("""COMPUTED_VALUE"""),44103.6458333333)</f>
        <v>44103.645833333299</v>
      </c>
      <c r="B189" s="14">
        <f ca="1">IFERROR(__xludf.DUMMYFUNCTION("""COMPUTED_VALUE"""),2488.4)</f>
        <v>2488.4</v>
      </c>
      <c r="C189" s="15">
        <f t="shared" ca="1" si="0"/>
        <v>2.5594526645509541E-2</v>
      </c>
      <c r="D189" s="14">
        <f t="shared" ca="1" si="1"/>
        <v>2313.1139999999996</v>
      </c>
      <c r="E189" s="17"/>
      <c r="F189" s="17"/>
    </row>
    <row r="190" spans="1:6" ht="12.75" x14ac:dyDescent="0.2">
      <c r="A190" s="13">
        <f ca="1">IFERROR(__xludf.DUMMYFUNCTION("""COMPUTED_VALUE"""),44104.6458333333)</f>
        <v>44104.645833333299</v>
      </c>
      <c r="B190" s="14">
        <f ca="1">IFERROR(__xludf.DUMMYFUNCTION("""COMPUTED_VALUE"""),2492.3)</f>
        <v>2492.3000000000002</v>
      </c>
      <c r="C190" s="15">
        <f t="shared" ca="1" si="0"/>
        <v>1.5672721427424374E-3</v>
      </c>
      <c r="D190" s="14">
        <f t="shared" ca="1" si="1"/>
        <v>2319.1409999999996</v>
      </c>
      <c r="E190" s="17"/>
      <c r="F190" s="17"/>
    </row>
    <row r="191" spans="1:6" ht="12.75" x14ac:dyDescent="0.2">
      <c r="A191" s="13">
        <f ca="1">IFERROR(__xludf.DUMMYFUNCTION("""COMPUTED_VALUE"""),44105.6458333333)</f>
        <v>44105.645833333299</v>
      </c>
      <c r="B191" s="14">
        <f ca="1">IFERROR(__xludf.DUMMYFUNCTION("""COMPUTED_VALUE"""),2523.45)</f>
        <v>2523.4499999999998</v>
      </c>
      <c r="C191" s="15">
        <f t="shared" ca="1" si="0"/>
        <v>1.2498495365726336E-2</v>
      </c>
      <c r="D191" s="14">
        <f t="shared" ca="1" si="1"/>
        <v>2326.1859999999997</v>
      </c>
      <c r="E191" s="17"/>
      <c r="F191" s="17"/>
    </row>
    <row r="192" spans="1:6" ht="12.75" x14ac:dyDescent="0.2">
      <c r="A192" s="13">
        <f ca="1">IFERROR(__xludf.DUMMYFUNCTION("""COMPUTED_VALUE"""),44109.6458333333)</f>
        <v>44109.645833333299</v>
      </c>
      <c r="B192" s="14">
        <f ca="1">IFERROR(__xludf.DUMMYFUNCTION("""COMPUTED_VALUE"""),2705.8)</f>
        <v>2705.8</v>
      </c>
      <c r="C192" s="15">
        <f t="shared" ca="1" si="0"/>
        <v>7.2262180744615545E-2</v>
      </c>
      <c r="D192" s="14">
        <f t="shared" ca="1" si="1"/>
        <v>2337.1539999999995</v>
      </c>
      <c r="E192" s="17"/>
      <c r="F192" s="17"/>
    </row>
    <row r="193" spans="1:6" ht="12.75" x14ac:dyDescent="0.2">
      <c r="A193" s="13">
        <f ca="1">IFERROR(__xludf.DUMMYFUNCTION("""COMPUTED_VALUE"""),44110.6458333333)</f>
        <v>44110.645833333299</v>
      </c>
      <c r="B193" s="14">
        <f ca="1">IFERROR(__xludf.DUMMYFUNCTION("""COMPUTED_VALUE"""),2714.3)</f>
        <v>2714.3</v>
      </c>
      <c r="C193" s="15">
        <f t="shared" ca="1" si="0"/>
        <v>3.1413999556508809E-3</v>
      </c>
      <c r="D193" s="14">
        <f t="shared" ca="1" si="1"/>
        <v>2347.3039999999992</v>
      </c>
      <c r="E193" s="17"/>
      <c r="F193" s="17"/>
    </row>
    <row r="194" spans="1:6" ht="12.75" x14ac:dyDescent="0.2">
      <c r="A194" s="13">
        <f ca="1">IFERROR(__xludf.DUMMYFUNCTION("""COMPUTED_VALUE"""),44111.6458333333)</f>
        <v>44111.645833333299</v>
      </c>
      <c r="B194" s="14">
        <f ca="1">IFERROR(__xludf.DUMMYFUNCTION("""COMPUTED_VALUE"""),2735.95)</f>
        <v>2735.95</v>
      </c>
      <c r="C194" s="15">
        <f t="shared" ca="1" si="0"/>
        <v>7.9762738090851659E-3</v>
      </c>
      <c r="D194" s="14">
        <f t="shared" ca="1" si="1"/>
        <v>2355.8279999999995</v>
      </c>
      <c r="E194" s="17"/>
      <c r="F194" s="17"/>
    </row>
    <row r="195" spans="1:6" ht="12.75" x14ac:dyDescent="0.2">
      <c r="A195" s="13">
        <f ca="1">IFERROR(__xludf.DUMMYFUNCTION("""COMPUTED_VALUE"""),44112.6458333333)</f>
        <v>44112.645833333299</v>
      </c>
      <c r="B195" s="14">
        <f ca="1">IFERROR(__xludf.DUMMYFUNCTION("""COMPUTED_VALUE"""),2825.7)</f>
        <v>2825.7</v>
      </c>
      <c r="C195" s="15">
        <f t="shared" ca="1" si="0"/>
        <v>3.2803962060710123E-2</v>
      </c>
      <c r="D195" s="14">
        <f t="shared" ca="1" si="1"/>
        <v>2366.8209999999999</v>
      </c>
      <c r="E195" s="17"/>
      <c r="F195" s="17"/>
    </row>
    <row r="196" spans="1:6" ht="12.75" x14ac:dyDescent="0.2">
      <c r="A196" s="13">
        <f ca="1">IFERROR(__xludf.DUMMYFUNCTION("""COMPUTED_VALUE"""),44113.6458333333)</f>
        <v>44113.645833333299</v>
      </c>
      <c r="B196" s="14">
        <f ca="1">IFERROR(__xludf.DUMMYFUNCTION("""COMPUTED_VALUE"""),2812.95)</f>
        <v>2812.95</v>
      </c>
      <c r="C196" s="15">
        <f t="shared" ca="1" si="0"/>
        <v>-4.5121562798599024E-3</v>
      </c>
      <c r="D196" s="14">
        <f t="shared" ca="1" si="1"/>
        <v>2377.4899999999998</v>
      </c>
      <c r="E196" s="17"/>
      <c r="F196" s="17"/>
    </row>
    <row r="197" spans="1:6" ht="12.75" x14ac:dyDescent="0.2">
      <c r="A197" s="13">
        <f ca="1">IFERROR(__xludf.DUMMYFUNCTION("""COMPUTED_VALUE"""),44116.6458333333)</f>
        <v>44116.645833333299</v>
      </c>
      <c r="B197" s="14">
        <f ca="1">IFERROR(__xludf.DUMMYFUNCTION("""COMPUTED_VALUE"""),2830)</f>
        <v>2830</v>
      </c>
      <c r="C197" s="15">
        <f t="shared" ca="1" si="0"/>
        <v>6.0612524218348618E-3</v>
      </c>
      <c r="D197" s="14">
        <f t="shared" ca="1" si="1"/>
        <v>2388.462</v>
      </c>
      <c r="E197" s="17"/>
      <c r="F197" s="17"/>
    </row>
    <row r="198" spans="1:6" ht="12.75" x14ac:dyDescent="0.2">
      <c r="A198" s="13">
        <f ca="1">IFERROR(__xludf.DUMMYFUNCTION("""COMPUTED_VALUE"""),44117.6458333333)</f>
        <v>44117.645833333299</v>
      </c>
      <c r="B198" s="14">
        <f ca="1">IFERROR(__xludf.DUMMYFUNCTION("""COMPUTED_VALUE"""),2826.55)</f>
        <v>2826.55</v>
      </c>
      <c r="C198" s="15">
        <f t="shared" ca="1" si="0"/>
        <v>-1.2190812720846989E-3</v>
      </c>
      <c r="D198" s="14">
        <f t="shared" ca="1" si="1"/>
        <v>2399.91</v>
      </c>
      <c r="E198" s="17"/>
      <c r="F198" s="17"/>
    </row>
    <row r="199" spans="1:6" ht="12.75" x14ac:dyDescent="0.2">
      <c r="A199" s="13">
        <f ca="1">IFERROR(__xludf.DUMMYFUNCTION("""COMPUTED_VALUE"""),44118.6458333333)</f>
        <v>44118.645833333299</v>
      </c>
      <c r="B199" s="14">
        <f ca="1">IFERROR(__xludf.DUMMYFUNCTION("""COMPUTED_VALUE"""),2809.6)</f>
        <v>2809.6</v>
      </c>
      <c r="C199" s="15">
        <f t="shared" ca="1" si="0"/>
        <v>-5.9967097698608862E-3</v>
      </c>
      <c r="D199" s="14">
        <f t="shared" ca="1" si="1"/>
        <v>2411.1079999999997</v>
      </c>
      <c r="E199" s="17"/>
      <c r="F199" s="17"/>
    </row>
    <row r="200" spans="1:6" ht="12.75" x14ac:dyDescent="0.2">
      <c r="A200" s="13">
        <f ca="1">IFERROR(__xludf.DUMMYFUNCTION("""COMPUTED_VALUE"""),44119.6458333333)</f>
        <v>44119.645833333299</v>
      </c>
      <c r="B200" s="14">
        <f ca="1">IFERROR(__xludf.DUMMYFUNCTION("""COMPUTED_VALUE"""),2740.6)</f>
        <v>2740.6</v>
      </c>
      <c r="C200" s="15">
        <f t="shared" ca="1" si="0"/>
        <v>-2.4558656036446469E-2</v>
      </c>
      <c r="D200" s="14">
        <f t="shared" ca="1" si="1"/>
        <v>2420.73</v>
      </c>
      <c r="E200" s="17"/>
      <c r="F200" s="17"/>
    </row>
    <row r="201" spans="1:6" ht="12.75" x14ac:dyDescent="0.2">
      <c r="A201" s="13">
        <f ca="1">IFERROR(__xludf.DUMMYFUNCTION("""COMPUTED_VALUE"""),44120.6458333333)</f>
        <v>44120.645833333299</v>
      </c>
      <c r="B201" s="14">
        <f ca="1">IFERROR(__xludf.DUMMYFUNCTION("""COMPUTED_VALUE"""),2763.3)</f>
        <v>2763.3</v>
      </c>
      <c r="C201" s="15">
        <f t="shared" ca="1" si="0"/>
        <v>8.2828577683720095E-3</v>
      </c>
      <c r="D201" s="14">
        <f t="shared" ca="1" si="1"/>
        <v>2429.8339999999998</v>
      </c>
      <c r="E201" s="17"/>
      <c r="F201" s="17"/>
    </row>
    <row r="202" spans="1:6" ht="12.75" x14ac:dyDescent="0.2">
      <c r="A202" s="13">
        <f ca="1">IFERROR(__xludf.DUMMYFUNCTION("""COMPUTED_VALUE"""),44123.6458333333)</f>
        <v>44123.645833333299</v>
      </c>
      <c r="B202" s="14">
        <f ca="1">IFERROR(__xludf.DUMMYFUNCTION("""COMPUTED_VALUE"""),2711.55)</f>
        <v>2711.55</v>
      </c>
      <c r="C202" s="15">
        <f t="shared" ca="1" si="0"/>
        <v>-1.8727608294430542E-2</v>
      </c>
      <c r="D202" s="14">
        <f t="shared" ca="1" si="1"/>
        <v>2438.1580000000004</v>
      </c>
      <c r="E202" s="17"/>
      <c r="F202" s="17"/>
    </row>
    <row r="203" spans="1:6" ht="12.75" x14ac:dyDescent="0.2">
      <c r="A203" s="13">
        <f ca="1">IFERROR(__xludf.DUMMYFUNCTION("""COMPUTED_VALUE"""),44124.6458333333)</f>
        <v>44124.645833333299</v>
      </c>
      <c r="B203" s="14">
        <f ca="1">IFERROR(__xludf.DUMMYFUNCTION("""COMPUTED_VALUE"""),2739)</f>
        <v>2739</v>
      </c>
      <c r="C203" s="15">
        <f t="shared" ca="1" si="0"/>
        <v>1.0123361177186485E-2</v>
      </c>
      <c r="D203" s="14">
        <f t="shared" ca="1" si="1"/>
        <v>2447.2820000000006</v>
      </c>
      <c r="E203" s="17"/>
      <c r="F203" s="17"/>
    </row>
    <row r="204" spans="1:6" ht="12.75" x14ac:dyDescent="0.2">
      <c r="A204" s="13">
        <f ca="1">IFERROR(__xludf.DUMMYFUNCTION("""COMPUTED_VALUE"""),44125.6458333333)</f>
        <v>44125.645833333299</v>
      </c>
      <c r="B204" s="14">
        <f ca="1">IFERROR(__xludf.DUMMYFUNCTION("""COMPUTED_VALUE"""),2675.4)</f>
        <v>2675.4</v>
      </c>
      <c r="C204" s="15">
        <f t="shared" ca="1" si="0"/>
        <v>-2.3220153340635208E-2</v>
      </c>
      <c r="D204" s="14">
        <f t="shared" ca="1" si="1"/>
        <v>2455.192</v>
      </c>
      <c r="E204" s="17"/>
      <c r="F204" s="17"/>
    </row>
    <row r="205" spans="1:6" ht="12.75" x14ac:dyDescent="0.2">
      <c r="A205" s="13">
        <f ca="1">IFERROR(__xludf.DUMMYFUNCTION("""COMPUTED_VALUE"""),44126.6458333333)</f>
        <v>44126.645833333299</v>
      </c>
      <c r="B205" s="14">
        <f ca="1">IFERROR(__xludf.DUMMYFUNCTION("""COMPUTED_VALUE"""),2671.15)</f>
        <v>2671.15</v>
      </c>
      <c r="C205" s="15">
        <f t="shared" ca="1" si="0"/>
        <v>-1.5885475069148391E-3</v>
      </c>
      <c r="D205" s="14">
        <f t="shared" ca="1" si="1"/>
        <v>2463.4680000000003</v>
      </c>
      <c r="E205" s="17"/>
      <c r="F205" s="17"/>
    </row>
    <row r="206" spans="1:6" ht="12.75" x14ac:dyDescent="0.2">
      <c r="A206" s="13">
        <f ca="1">IFERROR(__xludf.DUMMYFUNCTION("""COMPUTED_VALUE"""),44127.6458333333)</f>
        <v>44127.645833333299</v>
      </c>
      <c r="B206" s="14">
        <f ca="1">IFERROR(__xludf.DUMMYFUNCTION("""COMPUTED_VALUE"""),2686.8)</f>
        <v>2686.8</v>
      </c>
      <c r="C206" s="15">
        <f t="shared" ca="1" si="0"/>
        <v>5.8588997248376629E-3</v>
      </c>
      <c r="D206" s="14">
        <f t="shared" ca="1" si="1"/>
        <v>2472.1150000000002</v>
      </c>
      <c r="E206" s="17"/>
      <c r="F206" s="17"/>
    </row>
    <row r="207" spans="1:6" ht="12.75" x14ac:dyDescent="0.2">
      <c r="A207" s="13">
        <f ca="1">IFERROR(__xludf.DUMMYFUNCTION("""COMPUTED_VALUE"""),44130.6458333333)</f>
        <v>44130.645833333299</v>
      </c>
      <c r="B207" s="14">
        <f ca="1">IFERROR(__xludf.DUMMYFUNCTION("""COMPUTED_VALUE"""),2688.2)</f>
        <v>2688.2</v>
      </c>
      <c r="C207" s="15">
        <f t="shared" ca="1" si="0"/>
        <v>5.210659520618055E-4</v>
      </c>
      <c r="D207" s="14">
        <f t="shared" ca="1" si="1"/>
        <v>2481.0360000000005</v>
      </c>
      <c r="E207" s="17"/>
      <c r="F207" s="17"/>
    </row>
    <row r="208" spans="1:6" ht="12.75" x14ac:dyDescent="0.2">
      <c r="A208" s="13">
        <f ca="1">IFERROR(__xludf.DUMMYFUNCTION("""COMPUTED_VALUE"""),44131.6458333333)</f>
        <v>44131.645833333299</v>
      </c>
      <c r="B208" s="14">
        <f ca="1">IFERROR(__xludf.DUMMYFUNCTION("""COMPUTED_VALUE"""),2630.15)</f>
        <v>2630.15</v>
      </c>
      <c r="C208" s="15">
        <f t="shared" ca="1" si="0"/>
        <v>-2.1594375418495515E-2</v>
      </c>
      <c r="D208" s="14">
        <f t="shared" ca="1" si="1"/>
        <v>2488.5709999999999</v>
      </c>
      <c r="E208" s="17"/>
      <c r="F208" s="17"/>
    </row>
    <row r="209" spans="1:6" ht="12.75" x14ac:dyDescent="0.2">
      <c r="A209" s="13">
        <f ca="1">IFERROR(__xludf.DUMMYFUNCTION("""COMPUTED_VALUE"""),44132.6458333333)</f>
        <v>44132.645833333299</v>
      </c>
      <c r="B209" s="14">
        <f ca="1">IFERROR(__xludf.DUMMYFUNCTION("""COMPUTED_VALUE"""),2622.2)</f>
        <v>2622.2</v>
      </c>
      <c r="C209" s="15">
        <f t="shared" ca="1" si="0"/>
        <v>-3.0226412942229164E-3</v>
      </c>
      <c r="D209" s="14">
        <f t="shared" ca="1" si="1"/>
        <v>2495.62</v>
      </c>
      <c r="E209" s="17"/>
      <c r="F209" s="17"/>
    </row>
    <row r="210" spans="1:6" ht="12.75" x14ac:dyDescent="0.2">
      <c r="A210" s="13">
        <f ca="1">IFERROR(__xludf.DUMMYFUNCTION("""COMPUTED_VALUE"""),44133.6458333333)</f>
        <v>44133.645833333299</v>
      </c>
      <c r="B210" s="14">
        <f ca="1">IFERROR(__xludf.DUMMYFUNCTION("""COMPUTED_VALUE"""),2632.65)</f>
        <v>2632.65</v>
      </c>
      <c r="C210" s="15">
        <f t="shared" ca="1" si="0"/>
        <v>3.9852032644345226E-3</v>
      </c>
      <c r="D210" s="14">
        <f t="shared" ca="1" si="1"/>
        <v>2503.1409999999996</v>
      </c>
      <c r="E210" s="17"/>
      <c r="F210" s="17"/>
    </row>
    <row r="211" spans="1:6" ht="12.75" x14ac:dyDescent="0.2">
      <c r="A211" s="13">
        <f ca="1">IFERROR(__xludf.DUMMYFUNCTION("""COMPUTED_VALUE"""),44134.6458333333)</f>
        <v>44134.645833333299</v>
      </c>
      <c r="B211" s="14">
        <f ca="1">IFERROR(__xludf.DUMMYFUNCTION("""COMPUTED_VALUE"""),2664.85)</f>
        <v>2664.85</v>
      </c>
      <c r="C211" s="15">
        <f t="shared" ca="1" si="0"/>
        <v>1.2231021974056455E-2</v>
      </c>
      <c r="D211" s="14">
        <f t="shared" ca="1" si="1"/>
        <v>2511.3809999999999</v>
      </c>
      <c r="E211" s="17"/>
      <c r="F211" s="17"/>
    </row>
    <row r="212" spans="1:6" ht="12.75" x14ac:dyDescent="0.2">
      <c r="A212" s="13">
        <f ca="1">IFERROR(__xludf.DUMMYFUNCTION("""COMPUTED_VALUE"""),44137.6458333333)</f>
        <v>44137.645833333299</v>
      </c>
      <c r="B212" s="14">
        <f ca="1">IFERROR(__xludf.DUMMYFUNCTION("""COMPUTED_VALUE"""),2604.6)</f>
        <v>2604.6</v>
      </c>
      <c r="C212" s="15">
        <f t="shared" ca="1" si="0"/>
        <v>-2.2609152485130513E-2</v>
      </c>
      <c r="D212" s="14">
        <f t="shared" ca="1" si="1"/>
        <v>2518.5010000000002</v>
      </c>
      <c r="E212" s="17"/>
      <c r="F212" s="17"/>
    </row>
    <row r="213" spans="1:6" ht="12.75" x14ac:dyDescent="0.2">
      <c r="A213" s="13">
        <f ca="1">IFERROR(__xludf.DUMMYFUNCTION("""COMPUTED_VALUE"""),44138.6458333333)</f>
        <v>44138.645833333299</v>
      </c>
      <c r="B213" s="14">
        <f ca="1">IFERROR(__xludf.DUMMYFUNCTION("""COMPUTED_VALUE"""),2633.6)</f>
        <v>2633.6</v>
      </c>
      <c r="C213" s="15">
        <f t="shared" ca="1" si="0"/>
        <v>1.113414727789297E-2</v>
      </c>
      <c r="D213" s="14">
        <f t="shared" ca="1" si="1"/>
        <v>2526.2110000000002</v>
      </c>
      <c r="E213" s="17"/>
      <c r="F213" s="17"/>
    </row>
    <row r="214" spans="1:6" ht="12.75" x14ac:dyDescent="0.2">
      <c r="A214" s="13">
        <f ca="1">IFERROR(__xludf.DUMMYFUNCTION("""COMPUTED_VALUE"""),44139.6458333333)</f>
        <v>44139.645833333299</v>
      </c>
      <c r="B214" s="14">
        <f ca="1">IFERROR(__xludf.DUMMYFUNCTION("""COMPUTED_VALUE"""),2653.15)</f>
        <v>2653.15</v>
      </c>
      <c r="C214" s="15">
        <f t="shared" ca="1" si="0"/>
        <v>7.4232989064400012E-3</v>
      </c>
      <c r="D214" s="14">
        <f t="shared" ca="1" si="1"/>
        <v>2534.4210000000003</v>
      </c>
      <c r="E214" s="17"/>
      <c r="F214" s="17"/>
    </row>
    <row r="215" spans="1:6" ht="12.75" x14ac:dyDescent="0.2">
      <c r="A215" s="13">
        <f ca="1">IFERROR(__xludf.DUMMYFUNCTION("""COMPUTED_VALUE"""),44140.6458333333)</f>
        <v>44140.645833333299</v>
      </c>
      <c r="B215" s="14">
        <f ca="1">IFERROR(__xludf.DUMMYFUNCTION("""COMPUTED_VALUE"""),2685.7)</f>
        <v>2685.7</v>
      </c>
      <c r="C215" s="15">
        <f t="shared" ca="1" si="0"/>
        <v>1.2268435633115304E-2</v>
      </c>
      <c r="D215" s="14">
        <f t="shared" ca="1" si="1"/>
        <v>2543.0650000000001</v>
      </c>
      <c r="E215" s="17"/>
      <c r="F215" s="17"/>
    </row>
    <row r="216" spans="1:6" ht="12.75" x14ac:dyDescent="0.2">
      <c r="A216" s="13">
        <f ca="1">IFERROR(__xludf.DUMMYFUNCTION("""COMPUTED_VALUE"""),44141.6458333333)</f>
        <v>44141.645833333299</v>
      </c>
      <c r="B216" s="14">
        <f ca="1">IFERROR(__xludf.DUMMYFUNCTION("""COMPUTED_VALUE"""),2707.45)</f>
        <v>2707.45</v>
      </c>
      <c r="C216" s="15">
        <f t="shared" ca="1" si="0"/>
        <v>8.0984473321665806E-3</v>
      </c>
      <c r="D216" s="14">
        <f t="shared" ca="1" si="1"/>
        <v>2552.2460000000001</v>
      </c>
      <c r="E216" s="17"/>
      <c r="F216" s="17"/>
    </row>
    <row r="217" spans="1:6" ht="12.75" x14ac:dyDescent="0.2">
      <c r="A217" s="13">
        <f ca="1">IFERROR(__xludf.DUMMYFUNCTION("""COMPUTED_VALUE"""),44144.6458333333)</f>
        <v>44144.645833333299</v>
      </c>
      <c r="B217" s="14">
        <f ca="1">IFERROR(__xludf.DUMMYFUNCTION("""COMPUTED_VALUE"""),2726.6)</f>
        <v>2726.6</v>
      </c>
      <c r="C217" s="15">
        <f t="shared" ca="1" si="0"/>
        <v>7.0730761417570065E-3</v>
      </c>
      <c r="D217" s="14">
        <f t="shared" ca="1" si="1"/>
        <v>2562.0070000000005</v>
      </c>
      <c r="E217" s="17"/>
      <c r="F217" s="17"/>
    </row>
    <row r="218" spans="1:6" ht="12.75" x14ac:dyDescent="0.2">
      <c r="A218" s="13">
        <f ca="1">IFERROR(__xludf.DUMMYFUNCTION("""COMPUTED_VALUE"""),44145.6458333333)</f>
        <v>44145.645833333299</v>
      </c>
      <c r="B218" s="14">
        <f ca="1">IFERROR(__xludf.DUMMYFUNCTION("""COMPUTED_VALUE"""),2649.6)</f>
        <v>2649.6</v>
      </c>
      <c r="C218" s="15">
        <f t="shared" ca="1" si="0"/>
        <v>-2.8240299273820879E-2</v>
      </c>
      <c r="D218" s="14">
        <f t="shared" ca="1" si="1"/>
        <v>2569.8540000000003</v>
      </c>
      <c r="E218" s="17"/>
      <c r="F218" s="17"/>
    </row>
    <row r="219" spans="1:6" ht="12.75" x14ac:dyDescent="0.2">
      <c r="A219" s="13">
        <f ca="1">IFERROR(__xludf.DUMMYFUNCTION("""COMPUTED_VALUE"""),44146.6458333333)</f>
        <v>44146.645833333299</v>
      </c>
      <c r="B219" s="14">
        <f ca="1">IFERROR(__xludf.DUMMYFUNCTION("""COMPUTED_VALUE"""),2687.8)</f>
        <v>2687.8</v>
      </c>
      <c r="C219" s="15">
        <f t="shared" ca="1" si="0"/>
        <v>1.4417270531400961E-2</v>
      </c>
      <c r="D219" s="14">
        <f t="shared" ca="1" si="1"/>
        <v>2578.6830000000004</v>
      </c>
      <c r="E219" s="17"/>
      <c r="F219" s="17"/>
    </row>
    <row r="220" spans="1:6" ht="12.75" x14ac:dyDescent="0.2">
      <c r="A220" s="13">
        <f ca="1">IFERROR(__xludf.DUMMYFUNCTION("""COMPUTED_VALUE"""),44147.6458333333)</f>
        <v>44147.645833333299</v>
      </c>
      <c r="B220" s="14">
        <f ca="1">IFERROR(__xludf.DUMMYFUNCTION("""COMPUTED_VALUE"""),2671.05)</f>
        <v>2671.05</v>
      </c>
      <c r="C220" s="15">
        <f t="shared" ca="1" si="0"/>
        <v>-6.2318624897685915E-3</v>
      </c>
      <c r="D220" s="14">
        <f t="shared" ca="1" si="1"/>
        <v>2586.8010000000004</v>
      </c>
      <c r="E220" s="17"/>
      <c r="F220" s="17"/>
    </row>
    <row r="221" spans="1:6" ht="12.75" x14ac:dyDescent="0.2">
      <c r="A221" s="13">
        <f ca="1">IFERROR(__xludf.DUMMYFUNCTION("""COMPUTED_VALUE"""),44148.6458333333)</f>
        <v>44148.645833333299</v>
      </c>
      <c r="B221" s="14">
        <f ca="1">IFERROR(__xludf.DUMMYFUNCTION("""COMPUTED_VALUE"""),2656.85)</f>
        <v>2656.85</v>
      </c>
      <c r="C221" s="15">
        <f t="shared" ca="1" si="0"/>
        <v>-5.3162613953314786E-3</v>
      </c>
      <c r="D221" s="14">
        <f t="shared" ca="1" si="1"/>
        <v>2593.9480000000003</v>
      </c>
      <c r="E221" s="17"/>
      <c r="F221" s="17"/>
    </row>
    <row r="222" spans="1:6" ht="12.75" x14ac:dyDescent="0.2">
      <c r="A222" s="13">
        <f ca="1">IFERROR(__xludf.DUMMYFUNCTION("""COMPUTED_VALUE"""),44152.6458333333)</f>
        <v>44152.645833333299</v>
      </c>
      <c r="B222" s="14">
        <f ca="1">IFERROR(__xludf.DUMMYFUNCTION("""COMPUTED_VALUE"""),2666.05)</f>
        <v>2666.05</v>
      </c>
      <c r="C222" s="15">
        <f t="shared" ca="1" si="0"/>
        <v>3.4627472382708913E-3</v>
      </c>
      <c r="D222" s="14">
        <f t="shared" ca="1" si="1"/>
        <v>2601.4930000000004</v>
      </c>
      <c r="E222" s="17"/>
      <c r="F222" s="17"/>
    </row>
    <row r="223" spans="1:6" ht="12.75" x14ac:dyDescent="0.2">
      <c r="A223" s="13">
        <f ca="1">IFERROR(__xludf.DUMMYFUNCTION("""COMPUTED_VALUE"""),44153.6458333333)</f>
        <v>44153.645833333299</v>
      </c>
      <c r="B223" s="14">
        <f ca="1">IFERROR(__xludf.DUMMYFUNCTION("""COMPUTED_VALUE"""),2626.65)</f>
        <v>2626.65</v>
      </c>
      <c r="C223" s="15">
        <f t="shared" ca="1" si="0"/>
        <v>-1.4778417509048958E-2</v>
      </c>
      <c r="D223" s="14">
        <f t="shared" ca="1" si="1"/>
        <v>2607.4850000000006</v>
      </c>
      <c r="E223" s="17"/>
      <c r="F223" s="17"/>
    </row>
    <row r="224" spans="1:6" ht="12.75" x14ac:dyDescent="0.2">
      <c r="A224" s="13">
        <f ca="1">IFERROR(__xludf.DUMMYFUNCTION("""COMPUTED_VALUE"""),44154.6458333333)</f>
        <v>44154.645833333299</v>
      </c>
      <c r="B224" s="14">
        <f ca="1">IFERROR(__xludf.DUMMYFUNCTION("""COMPUTED_VALUE"""),2636.9)</f>
        <v>2636.9</v>
      </c>
      <c r="C224" s="15">
        <f t="shared" ca="1" si="0"/>
        <v>3.9023090248033743E-3</v>
      </c>
      <c r="D224" s="14">
        <f t="shared" ca="1" si="1"/>
        <v>2613.259</v>
      </c>
      <c r="E224" s="17"/>
      <c r="F224" s="17"/>
    </row>
    <row r="225" spans="1:6" ht="12.75" x14ac:dyDescent="0.2">
      <c r="A225" s="13">
        <f ca="1">IFERROR(__xludf.DUMMYFUNCTION("""COMPUTED_VALUE"""),44155.6458333333)</f>
        <v>44155.645833333299</v>
      </c>
      <c r="B225" s="14">
        <f ca="1">IFERROR(__xludf.DUMMYFUNCTION("""COMPUTED_VALUE"""),2660.25)</f>
        <v>2660.25</v>
      </c>
      <c r="C225" s="15">
        <f t="shared" ca="1" si="0"/>
        <v>8.855094997914259E-3</v>
      </c>
      <c r="D225" s="14">
        <f t="shared" ca="1" si="1"/>
        <v>2619.9109999999996</v>
      </c>
      <c r="E225" s="17"/>
      <c r="F225" s="17"/>
    </row>
    <row r="226" spans="1:6" ht="12.75" x14ac:dyDescent="0.2">
      <c r="A226" s="13">
        <f ca="1">IFERROR(__xludf.DUMMYFUNCTION("""COMPUTED_VALUE"""),44158.6458333333)</f>
        <v>44158.645833333299</v>
      </c>
      <c r="B226" s="14">
        <f ca="1">IFERROR(__xludf.DUMMYFUNCTION("""COMPUTED_VALUE"""),2724.25)</f>
        <v>2724.25</v>
      </c>
      <c r="C226" s="15">
        <f t="shared" ca="1" si="0"/>
        <v>2.405788929611874E-2</v>
      </c>
      <c r="D226" s="14">
        <f t="shared" ca="1" si="1"/>
        <v>2627.7729999999997</v>
      </c>
      <c r="E226" s="17"/>
      <c r="F226" s="17"/>
    </row>
    <row r="227" spans="1:6" ht="12.75" x14ac:dyDescent="0.2">
      <c r="A227" s="13">
        <f ca="1">IFERROR(__xludf.DUMMYFUNCTION("""COMPUTED_VALUE"""),44159.6458333333)</f>
        <v>44159.645833333299</v>
      </c>
      <c r="B227" s="14">
        <f ca="1">IFERROR(__xludf.DUMMYFUNCTION("""COMPUTED_VALUE"""),2722.05)</f>
        <v>2722.05</v>
      </c>
      <c r="C227" s="15">
        <f t="shared" ca="1" si="0"/>
        <v>-8.075617142332403E-4</v>
      </c>
      <c r="D227" s="14">
        <f t="shared" ca="1" si="1"/>
        <v>2634.7319999999995</v>
      </c>
      <c r="E227" s="17"/>
      <c r="F227" s="17"/>
    </row>
    <row r="228" spans="1:6" ht="12.75" x14ac:dyDescent="0.2">
      <c r="A228" s="13">
        <f ca="1">IFERROR(__xludf.DUMMYFUNCTION("""COMPUTED_VALUE"""),44160.6458333333)</f>
        <v>44160.645833333299</v>
      </c>
      <c r="B228" s="14">
        <f ca="1">IFERROR(__xludf.DUMMYFUNCTION("""COMPUTED_VALUE"""),2701.3)</f>
        <v>2701.3</v>
      </c>
      <c r="C228" s="15">
        <f t="shared" ca="1" si="0"/>
        <v>-7.6229312466706833E-3</v>
      </c>
      <c r="D228" s="14">
        <f t="shared" ca="1" si="1"/>
        <v>2638.93</v>
      </c>
      <c r="E228" s="17"/>
      <c r="F228" s="17"/>
    </row>
    <row r="229" spans="1:6" ht="12.75" x14ac:dyDescent="0.2">
      <c r="A229" s="13">
        <f ca="1">IFERROR(__xludf.DUMMYFUNCTION("""COMPUTED_VALUE"""),44161.6458333333)</f>
        <v>44161.645833333299</v>
      </c>
      <c r="B229" s="14">
        <f ca="1">IFERROR(__xludf.DUMMYFUNCTION("""COMPUTED_VALUE"""),2720.6)</f>
        <v>2720.6</v>
      </c>
      <c r="C229" s="15">
        <f t="shared" ca="1" si="0"/>
        <v>7.1447081035056481E-3</v>
      </c>
      <c r="D229" s="14">
        <f t="shared" ca="1" si="1"/>
        <v>2643.5140000000001</v>
      </c>
      <c r="E229" s="17"/>
      <c r="F229" s="17"/>
    </row>
    <row r="230" spans="1:6" ht="12.75" x14ac:dyDescent="0.2">
      <c r="A230" s="13">
        <f ca="1">IFERROR(__xludf.DUMMYFUNCTION("""COMPUTED_VALUE"""),44162.6458333333)</f>
        <v>44162.645833333299</v>
      </c>
      <c r="B230" s="14">
        <f ca="1">IFERROR(__xludf.DUMMYFUNCTION("""COMPUTED_VALUE"""),2679.65)</f>
        <v>2679.65</v>
      </c>
      <c r="C230" s="15">
        <f t="shared" ca="1" si="0"/>
        <v>-1.5051826802911061E-2</v>
      </c>
      <c r="D230" s="14">
        <f t="shared" ca="1" si="1"/>
        <v>2647.047</v>
      </c>
      <c r="E230" s="17"/>
      <c r="F230" s="17"/>
    </row>
    <row r="231" spans="1:6" ht="12.75" x14ac:dyDescent="0.2">
      <c r="A231" s="13">
        <f ca="1">IFERROR(__xludf.DUMMYFUNCTION("""COMPUTED_VALUE"""),44166.6458333333)</f>
        <v>44166.645833333299</v>
      </c>
      <c r="B231" s="14">
        <f ca="1">IFERROR(__xludf.DUMMYFUNCTION("""COMPUTED_VALUE"""),2726.8)</f>
        <v>2726.8</v>
      </c>
      <c r="C231" s="15">
        <f t="shared" ca="1" si="0"/>
        <v>1.759558151251106E-2</v>
      </c>
      <c r="D231" s="14">
        <f t="shared" ca="1" si="1"/>
        <v>2652.364</v>
      </c>
      <c r="E231" s="17"/>
      <c r="F231" s="17"/>
    </row>
    <row r="232" spans="1:6" ht="12.75" x14ac:dyDescent="0.2">
      <c r="A232" s="13">
        <f ca="1">IFERROR(__xludf.DUMMYFUNCTION("""COMPUTED_VALUE"""),44167.6458333333)</f>
        <v>44167.645833333299</v>
      </c>
      <c r="B232" s="14">
        <f ca="1">IFERROR(__xludf.DUMMYFUNCTION("""COMPUTED_VALUE"""),2749.55)</f>
        <v>2749.55</v>
      </c>
      <c r="C232" s="15">
        <f t="shared" ca="1" si="0"/>
        <v>8.343112806219688E-3</v>
      </c>
      <c r="D232" s="14">
        <f t="shared" ca="1" si="1"/>
        <v>2658.357</v>
      </c>
      <c r="E232" s="17"/>
      <c r="F232" s="17"/>
    </row>
    <row r="233" spans="1:6" ht="12.75" x14ac:dyDescent="0.2">
      <c r="A233" s="13">
        <f ca="1">IFERROR(__xludf.DUMMYFUNCTION("""COMPUTED_VALUE"""),44168.6458333333)</f>
        <v>44168.645833333299</v>
      </c>
      <c r="B233" s="14">
        <f ca="1">IFERROR(__xludf.DUMMYFUNCTION("""COMPUTED_VALUE"""),2709.45)</f>
        <v>2709.45</v>
      </c>
      <c r="C233" s="15">
        <f t="shared" ca="1" si="0"/>
        <v>-1.4584204688040003E-2</v>
      </c>
      <c r="D233" s="14">
        <f t="shared" ca="1" si="1"/>
        <v>2663.2400000000007</v>
      </c>
      <c r="E233" s="17"/>
      <c r="F233" s="17"/>
    </row>
    <row r="234" spans="1:6" ht="12.75" x14ac:dyDescent="0.2">
      <c r="A234" s="13">
        <f ca="1">IFERROR(__xludf.DUMMYFUNCTION("""COMPUTED_VALUE"""),44169.6458333333)</f>
        <v>44169.645833333299</v>
      </c>
      <c r="B234" s="14">
        <f ca="1">IFERROR(__xludf.DUMMYFUNCTION("""COMPUTED_VALUE"""),2727.55)</f>
        <v>2727.55</v>
      </c>
      <c r="C234" s="15">
        <f t="shared" ca="1" si="0"/>
        <v>6.6803225746923101E-3</v>
      </c>
      <c r="D234" s="14">
        <f t="shared" ca="1" si="1"/>
        <v>2667.3320000000008</v>
      </c>
      <c r="E234" s="17"/>
      <c r="F234" s="17"/>
    </row>
    <row r="235" spans="1:6" ht="12.75" x14ac:dyDescent="0.2">
      <c r="A235" s="13">
        <f ca="1">IFERROR(__xludf.DUMMYFUNCTION("""COMPUTED_VALUE"""),44172.6458333333)</f>
        <v>44172.645833333299</v>
      </c>
      <c r="B235" s="14">
        <f ca="1">IFERROR(__xludf.DUMMYFUNCTION("""COMPUTED_VALUE"""),2737.7)</f>
        <v>2737.7</v>
      </c>
      <c r="C235" s="15">
        <f t="shared" ca="1" si="0"/>
        <v>3.7212883356856352E-3</v>
      </c>
      <c r="D235" s="14">
        <f t="shared" ca="1" si="1"/>
        <v>2672.7370000000005</v>
      </c>
      <c r="E235" s="17"/>
      <c r="F235" s="17"/>
    </row>
    <row r="236" spans="1:6" ht="12.75" x14ac:dyDescent="0.2">
      <c r="A236" s="13">
        <f ca="1">IFERROR(__xludf.DUMMYFUNCTION("""COMPUTED_VALUE"""),44173.6458333333)</f>
        <v>44173.645833333299</v>
      </c>
      <c r="B236" s="14">
        <f ca="1">IFERROR(__xludf.DUMMYFUNCTION("""COMPUTED_VALUE"""),2797.3)</f>
        <v>2797.3</v>
      </c>
      <c r="C236" s="15">
        <f t="shared" ca="1" si="0"/>
        <v>2.1770098988201925E-2</v>
      </c>
      <c r="D236" s="14">
        <f t="shared" ca="1" si="1"/>
        <v>2682.0380000000005</v>
      </c>
      <c r="E236" s="17"/>
      <c r="F236" s="17"/>
    </row>
    <row r="237" spans="1:6" ht="12.75" x14ac:dyDescent="0.2">
      <c r="A237" s="13">
        <f ca="1">IFERROR(__xludf.DUMMYFUNCTION("""COMPUTED_VALUE"""),44174.6458333333)</f>
        <v>44174.645833333299</v>
      </c>
      <c r="B237" s="14">
        <f ca="1">IFERROR(__xludf.DUMMYFUNCTION("""COMPUTED_VALUE"""),2810.8)</f>
        <v>2810.8</v>
      </c>
      <c r="C237" s="15">
        <f t="shared" ca="1" si="0"/>
        <v>4.8260822936403436E-3</v>
      </c>
      <c r="D237" s="14">
        <f t="shared" ca="1" si="1"/>
        <v>2689.8080000000004</v>
      </c>
      <c r="E237" s="17"/>
      <c r="F237" s="17"/>
    </row>
    <row r="238" spans="1:6" ht="12.75" x14ac:dyDescent="0.2">
      <c r="A238" s="13">
        <f ca="1">IFERROR(__xludf.DUMMYFUNCTION("""COMPUTED_VALUE"""),44175.6458333333)</f>
        <v>44175.645833333299</v>
      </c>
      <c r="B238" s="14">
        <f ca="1">IFERROR(__xludf.DUMMYFUNCTION("""COMPUTED_VALUE"""),2784.3)</f>
        <v>2784.3</v>
      </c>
      <c r="C238" s="15">
        <f t="shared" ca="1" si="0"/>
        <v>-9.4279208766187006E-3</v>
      </c>
      <c r="D238" s="14">
        <f t="shared" ca="1" si="1"/>
        <v>2696.9679999999998</v>
      </c>
      <c r="E238" s="17"/>
      <c r="F238" s="17"/>
    </row>
    <row r="239" spans="1:6" ht="12.75" x14ac:dyDescent="0.2">
      <c r="A239" s="13">
        <f ca="1">IFERROR(__xludf.DUMMYFUNCTION("""COMPUTED_VALUE"""),44176.6458333333)</f>
        <v>44176.645833333299</v>
      </c>
      <c r="B239" s="14">
        <f ca="1">IFERROR(__xludf.DUMMYFUNCTION("""COMPUTED_VALUE"""),2783.6)</f>
        <v>2783.6</v>
      </c>
      <c r="C239" s="15">
        <f t="shared" ca="1" si="0"/>
        <v>-2.5140969004788793E-4</v>
      </c>
      <c r="D239" s="14">
        <f t="shared" ca="1" si="1"/>
        <v>2702.8720000000008</v>
      </c>
      <c r="E239" s="17"/>
      <c r="F239" s="17"/>
    </row>
    <row r="240" spans="1:6" ht="12.75" x14ac:dyDescent="0.2">
      <c r="A240" s="13">
        <f ca="1">IFERROR(__xludf.DUMMYFUNCTION("""COMPUTED_VALUE"""),44179.6458333333)</f>
        <v>44179.645833333299</v>
      </c>
      <c r="B240" s="14">
        <f ca="1">IFERROR(__xludf.DUMMYFUNCTION("""COMPUTED_VALUE"""),2797.7)</f>
        <v>2797.7</v>
      </c>
      <c r="C240" s="15">
        <f t="shared" ca="1" si="0"/>
        <v>5.065382957321507E-3</v>
      </c>
      <c r="D240" s="14">
        <f t="shared" ca="1" si="1"/>
        <v>2708.9800000000005</v>
      </c>
      <c r="E240" s="17"/>
      <c r="F240" s="17"/>
    </row>
    <row r="241" spans="1:6" ht="12.75" x14ac:dyDescent="0.2">
      <c r="A241" s="13">
        <f ca="1">IFERROR(__xludf.DUMMYFUNCTION("""COMPUTED_VALUE"""),44180.6458333333)</f>
        <v>44180.645833333299</v>
      </c>
      <c r="B241" s="14">
        <f ca="1">IFERROR(__xludf.DUMMYFUNCTION("""COMPUTED_VALUE"""),2761.55)</f>
        <v>2761.55</v>
      </c>
      <c r="C241" s="15">
        <f t="shared" ca="1" si="0"/>
        <v>-1.2921328233906348E-2</v>
      </c>
      <c r="D241" s="14">
        <f t="shared" ca="1" si="1"/>
        <v>2713.7420000000006</v>
      </c>
      <c r="E241" s="17"/>
      <c r="F241" s="17"/>
    </row>
    <row r="242" spans="1:6" ht="12.75" x14ac:dyDescent="0.2">
      <c r="A242" s="13">
        <f ca="1">IFERROR(__xludf.DUMMYFUNCTION("""COMPUTED_VALUE"""),44181.6458333333)</f>
        <v>44181.645833333299</v>
      </c>
      <c r="B242" s="14">
        <f ca="1">IFERROR(__xludf.DUMMYFUNCTION("""COMPUTED_VALUE"""),2814.2)</f>
        <v>2814.2</v>
      </c>
      <c r="C242" s="15">
        <f t="shared" ca="1" si="0"/>
        <v>1.9065379949665839E-2</v>
      </c>
      <c r="D242" s="14">
        <f t="shared" ca="1" si="1"/>
        <v>2715.9100000000008</v>
      </c>
      <c r="E242" s="17"/>
      <c r="F242" s="17"/>
    </row>
    <row r="243" spans="1:6" ht="12.75" x14ac:dyDescent="0.2">
      <c r="A243" s="13">
        <f ca="1">IFERROR(__xludf.DUMMYFUNCTION("""COMPUTED_VALUE"""),44182.6458333333)</f>
        <v>44182.645833333299</v>
      </c>
      <c r="B243" s="14">
        <f ca="1">IFERROR(__xludf.DUMMYFUNCTION("""COMPUTED_VALUE"""),2838.2)</f>
        <v>2838.2</v>
      </c>
      <c r="C243" s="15">
        <f t="shared" ca="1" si="0"/>
        <v>8.5281785232036444E-3</v>
      </c>
      <c r="D243" s="14">
        <f t="shared" ca="1" si="1"/>
        <v>2718.3880000000004</v>
      </c>
      <c r="E243" s="17"/>
      <c r="F243" s="17"/>
    </row>
    <row r="244" spans="1:6" ht="12.75" x14ac:dyDescent="0.2">
      <c r="A244" s="13">
        <f ca="1">IFERROR(__xludf.DUMMYFUNCTION("""COMPUTED_VALUE"""),44183.6458333333)</f>
        <v>44183.645833333299</v>
      </c>
      <c r="B244" s="14">
        <f ca="1">IFERROR(__xludf.DUMMYFUNCTION("""COMPUTED_VALUE"""),2861)</f>
        <v>2861</v>
      </c>
      <c r="C244" s="15">
        <f t="shared" ca="1" si="0"/>
        <v>8.0332605172293015E-3</v>
      </c>
      <c r="D244" s="14">
        <f t="shared" ca="1" si="1"/>
        <v>2720.8890000000001</v>
      </c>
      <c r="E244" s="17"/>
      <c r="F244" s="17"/>
    </row>
    <row r="245" spans="1:6" ht="12.75" x14ac:dyDescent="0.2">
      <c r="A245" s="13">
        <f ca="1">IFERROR(__xludf.DUMMYFUNCTION("""COMPUTED_VALUE"""),44186.6458333333)</f>
        <v>44186.645833333299</v>
      </c>
      <c r="B245" s="14">
        <f ca="1">IFERROR(__xludf.DUMMYFUNCTION("""COMPUTED_VALUE"""),2820.15)</f>
        <v>2820.15</v>
      </c>
      <c r="C245" s="15">
        <f t="shared" ca="1" si="0"/>
        <v>-1.4278224397063943E-2</v>
      </c>
      <c r="D245" s="14">
        <f t="shared" ca="1" si="1"/>
        <v>2720.7779999999998</v>
      </c>
      <c r="E245" s="17"/>
      <c r="F245" s="17"/>
    </row>
    <row r="246" spans="1:6" ht="12.75" x14ac:dyDescent="0.2">
      <c r="A246" s="13">
        <f ca="1">IFERROR(__xludf.DUMMYFUNCTION("""COMPUTED_VALUE"""),44187.6458333333)</f>
        <v>44187.645833333299</v>
      </c>
      <c r="B246" s="14">
        <f ca="1">IFERROR(__xludf.DUMMYFUNCTION("""COMPUTED_VALUE"""),2872.5)</f>
        <v>2872.5</v>
      </c>
      <c r="C246" s="15">
        <f t="shared" ca="1" si="0"/>
        <v>1.8562842401999902E-2</v>
      </c>
      <c r="D246" s="14">
        <f t="shared" ca="1" si="1"/>
        <v>2721.9690000000001</v>
      </c>
      <c r="E246" s="17"/>
      <c r="F246" s="17"/>
    </row>
    <row r="247" spans="1:6" ht="12.75" x14ac:dyDescent="0.2">
      <c r="A247" s="13">
        <f ca="1">IFERROR(__xludf.DUMMYFUNCTION("""COMPUTED_VALUE"""),44188.6458333333)</f>
        <v>44188.645833333299</v>
      </c>
      <c r="B247" s="14">
        <f ca="1">IFERROR(__xludf.DUMMYFUNCTION("""COMPUTED_VALUE"""),2908.75)</f>
        <v>2908.75</v>
      </c>
      <c r="C247" s="15">
        <f t="shared" ca="1" si="0"/>
        <v>1.2619669277632806E-2</v>
      </c>
      <c r="D247" s="14">
        <f t="shared" ca="1" si="1"/>
        <v>2723.5440000000003</v>
      </c>
      <c r="E247" s="17"/>
      <c r="F247" s="17"/>
    </row>
    <row r="248" spans="1:6" ht="12.75" x14ac:dyDescent="0.2">
      <c r="A248" s="13">
        <f ca="1">IFERROR(__xludf.DUMMYFUNCTION("""COMPUTED_VALUE"""),44189.6458333333)</f>
        <v>44189.645833333299</v>
      </c>
      <c r="B248" s="14">
        <f ca="1">IFERROR(__xludf.DUMMYFUNCTION("""COMPUTED_VALUE"""),2909.35)</f>
        <v>2909.35</v>
      </c>
      <c r="C248" s="15">
        <f t="shared" ca="1" si="0"/>
        <v>2.0627417275465021E-4</v>
      </c>
      <c r="D248" s="14">
        <f t="shared" ca="1" si="1"/>
        <v>2725.2000000000007</v>
      </c>
      <c r="E248" s="17"/>
      <c r="F248" s="17"/>
    </row>
    <row r="249" spans="1:6" ht="12.75" x14ac:dyDescent="0.2">
      <c r="A249" s="13">
        <f ca="1">IFERROR(__xludf.DUMMYFUNCTION("""COMPUTED_VALUE"""),44193.6458333333)</f>
        <v>44193.645833333299</v>
      </c>
      <c r="B249" s="14">
        <f ca="1">IFERROR(__xludf.DUMMYFUNCTION("""COMPUTED_VALUE"""),2929.4)</f>
        <v>2929.4</v>
      </c>
      <c r="C249" s="15">
        <f t="shared" ca="1" si="0"/>
        <v>6.8915737192156712E-3</v>
      </c>
      <c r="D249" s="14">
        <f t="shared" ca="1" si="1"/>
        <v>2727.5960000000005</v>
      </c>
      <c r="E249" s="17"/>
      <c r="F249" s="17"/>
    </row>
    <row r="250" spans="1:6" ht="12.75" x14ac:dyDescent="0.2">
      <c r="A250" s="13">
        <f ca="1">IFERROR(__xludf.DUMMYFUNCTION("""COMPUTED_VALUE"""),44194.6458333333)</f>
        <v>44194.645833333299</v>
      </c>
      <c r="B250" s="14">
        <f ca="1">IFERROR(__xludf.DUMMYFUNCTION("""COMPUTED_VALUE"""),2930.5)</f>
        <v>2930.5</v>
      </c>
      <c r="C250" s="15">
        <f t="shared" ca="1" si="0"/>
        <v>3.7550351607840149E-4</v>
      </c>
      <c r="D250" s="14">
        <f t="shared" ca="1" si="1"/>
        <v>2731.3940000000002</v>
      </c>
      <c r="E250" s="17"/>
      <c r="F250" s="17"/>
    </row>
    <row r="251" spans="1:6" ht="12.75" x14ac:dyDescent="0.2">
      <c r="A251" s="13">
        <f ca="1">IFERROR(__xludf.DUMMYFUNCTION("""COMPUTED_VALUE"""),44195.6458333333)</f>
        <v>44195.645833333299</v>
      </c>
      <c r="B251" s="14">
        <f ca="1">IFERROR(__xludf.DUMMYFUNCTION("""COMPUTED_VALUE"""),2909.3)</f>
        <v>2909.3</v>
      </c>
      <c r="C251" s="15">
        <f t="shared" ca="1" si="0"/>
        <v>-7.2342603651253112E-3</v>
      </c>
      <c r="D251" s="14">
        <f t="shared" ca="1" si="1"/>
        <v>2734.3140000000003</v>
      </c>
      <c r="E251" s="17"/>
      <c r="F251" s="17"/>
    </row>
    <row r="252" spans="1:6" ht="12.75" x14ac:dyDescent="0.2">
      <c r="A252" s="13">
        <f ca="1">IFERROR(__xludf.DUMMYFUNCTION("""COMPUTED_VALUE"""),44196.6458333333)</f>
        <v>44196.645833333299</v>
      </c>
      <c r="B252" s="14">
        <f ca="1">IFERROR(__xludf.DUMMYFUNCTION("""COMPUTED_VALUE"""),2862.75)</f>
        <v>2862.75</v>
      </c>
      <c r="C252" s="15">
        <f t="shared" ca="1" si="0"/>
        <v>-1.6000412470353775E-2</v>
      </c>
      <c r="D252" s="14">
        <f t="shared" ca="1" si="1"/>
        <v>2737.3379999999997</v>
      </c>
      <c r="E252" s="17"/>
      <c r="F252" s="17"/>
    </row>
    <row r="253" spans="1:6" ht="12.75" x14ac:dyDescent="0.2">
      <c r="A253" s="13">
        <f ca="1">IFERROR(__xludf.DUMMYFUNCTION("""COMPUTED_VALUE"""),44197.6458333333)</f>
        <v>44197.645833333299</v>
      </c>
      <c r="B253" s="14">
        <f ca="1">IFERROR(__xludf.DUMMYFUNCTION("""COMPUTED_VALUE"""),2928.25)</f>
        <v>2928.25</v>
      </c>
      <c r="C253" s="15">
        <f t="shared" ca="1" si="0"/>
        <v>2.2880097808051669E-2</v>
      </c>
      <c r="D253" s="14">
        <f t="shared" ca="1" si="1"/>
        <v>2741.123</v>
      </c>
      <c r="E253" s="17"/>
      <c r="F253" s="17"/>
    </row>
    <row r="254" spans="1:6" ht="12.75" x14ac:dyDescent="0.2">
      <c r="A254" s="13">
        <f ca="1">IFERROR(__xludf.DUMMYFUNCTION("""COMPUTED_VALUE"""),44200.6458333333)</f>
        <v>44200.645833333299</v>
      </c>
      <c r="B254" s="14">
        <f ca="1">IFERROR(__xludf.DUMMYFUNCTION("""COMPUTED_VALUE"""),3039.45)</f>
        <v>3039.45</v>
      </c>
      <c r="C254" s="15">
        <f t="shared" ca="1" si="0"/>
        <v>3.7974899684111607E-2</v>
      </c>
      <c r="D254" s="14">
        <f t="shared" ca="1" si="1"/>
        <v>2748.4040000000005</v>
      </c>
      <c r="E254" s="17"/>
      <c r="F254" s="17"/>
    </row>
    <row r="255" spans="1:6" ht="12.75" x14ac:dyDescent="0.2">
      <c r="A255" s="13">
        <f ca="1">IFERROR(__xludf.DUMMYFUNCTION("""COMPUTED_VALUE"""),44201.6458333333)</f>
        <v>44201.645833333299</v>
      </c>
      <c r="B255" s="14">
        <f ca="1">IFERROR(__xludf.DUMMYFUNCTION("""COMPUTED_VALUE"""),3093)</f>
        <v>3093</v>
      </c>
      <c r="C255" s="15">
        <f t="shared" ca="1" si="0"/>
        <v>1.7618319103785307E-2</v>
      </c>
      <c r="D255" s="14">
        <f t="shared" ca="1" si="1"/>
        <v>2756.8410000000008</v>
      </c>
      <c r="E255" s="17"/>
      <c r="F255" s="17"/>
    </row>
    <row r="256" spans="1:6" ht="12.75" x14ac:dyDescent="0.2">
      <c r="A256" s="13">
        <f ca="1">IFERROR(__xludf.DUMMYFUNCTION("""COMPUTED_VALUE"""),44202.6458333333)</f>
        <v>44202.645833333299</v>
      </c>
      <c r="B256" s="14">
        <f ca="1">IFERROR(__xludf.DUMMYFUNCTION("""COMPUTED_VALUE"""),3051.5)</f>
        <v>3051.5</v>
      </c>
      <c r="C256" s="15">
        <f t="shared" ca="1" si="0"/>
        <v>-1.3417394115745274E-2</v>
      </c>
      <c r="D256" s="14">
        <f t="shared" ca="1" si="1"/>
        <v>2764.1350000000007</v>
      </c>
      <c r="E256" s="17"/>
      <c r="F256" s="17"/>
    </row>
    <row r="257" spans="1:6" ht="12.75" x14ac:dyDescent="0.2">
      <c r="A257" s="13">
        <f ca="1">IFERROR(__xludf.DUMMYFUNCTION("""COMPUTED_VALUE"""),44203.6458333333)</f>
        <v>44203.645833333299</v>
      </c>
      <c r="B257" s="14">
        <f ca="1">IFERROR(__xludf.DUMMYFUNCTION("""COMPUTED_VALUE"""),3032.8)</f>
        <v>3032.8</v>
      </c>
      <c r="C257" s="15">
        <f t="shared" ca="1" si="0"/>
        <v>-6.1281337047353057E-3</v>
      </c>
      <c r="D257" s="14">
        <f t="shared" ca="1" si="1"/>
        <v>2771.027</v>
      </c>
      <c r="E257" s="17"/>
      <c r="F257" s="17"/>
    </row>
    <row r="258" spans="1:6" ht="12.75" x14ac:dyDescent="0.2">
      <c r="A258" s="13">
        <f ca="1">IFERROR(__xludf.DUMMYFUNCTION("""COMPUTED_VALUE"""),44204.6458333333)</f>
        <v>44204.645833333299</v>
      </c>
      <c r="B258" s="14">
        <f ca="1">IFERROR(__xludf.DUMMYFUNCTION("""COMPUTED_VALUE"""),3120.9)</f>
        <v>3120.9</v>
      </c>
      <c r="C258" s="15">
        <f t="shared" ref="C258:C512" ca="1" si="2">(B258/B257)-1</f>
        <v>2.9049063571616962E-2</v>
      </c>
      <c r="D258" s="14">
        <f t="shared" ca="1" si="1"/>
        <v>2780.8420000000001</v>
      </c>
      <c r="E258" s="17"/>
      <c r="F258" s="17"/>
    </row>
    <row r="259" spans="1:6" ht="12.75" x14ac:dyDescent="0.2">
      <c r="A259" s="13">
        <f ca="1">IFERROR(__xludf.DUMMYFUNCTION("""COMPUTED_VALUE"""),44207.6458333333)</f>
        <v>44207.645833333299</v>
      </c>
      <c r="B259" s="14">
        <f ca="1">IFERROR(__xludf.DUMMYFUNCTION("""COMPUTED_VALUE"""),3176.45)</f>
        <v>3176.45</v>
      </c>
      <c r="C259" s="15">
        <f t="shared" ca="1" si="2"/>
        <v>1.7799352750808906E-2</v>
      </c>
      <c r="D259" s="14">
        <f t="shared" ca="1" si="1"/>
        <v>2791.9270000000001</v>
      </c>
      <c r="E259" s="17"/>
      <c r="F259" s="17"/>
    </row>
    <row r="260" spans="1:6" ht="12.75" x14ac:dyDescent="0.2">
      <c r="A260" s="13">
        <f ca="1">IFERROR(__xludf.DUMMYFUNCTION("""COMPUTED_VALUE"""),44208.6458333333)</f>
        <v>44208.645833333299</v>
      </c>
      <c r="B260" s="14">
        <f ca="1">IFERROR(__xludf.DUMMYFUNCTION("""COMPUTED_VALUE"""),3174.85)</f>
        <v>3174.85</v>
      </c>
      <c r="C260" s="15">
        <f t="shared" ca="1" si="2"/>
        <v>-5.0370696847101826E-4</v>
      </c>
      <c r="D260" s="14">
        <f t="shared" ca="1" si="1"/>
        <v>2802.7710000000002</v>
      </c>
      <c r="E260" s="17"/>
      <c r="F260" s="17"/>
    </row>
    <row r="261" spans="1:6" ht="12.75" x14ac:dyDescent="0.2">
      <c r="A261" s="13">
        <f ca="1">IFERROR(__xludf.DUMMYFUNCTION("""COMPUTED_VALUE"""),44209.6458333333)</f>
        <v>44209.645833333299</v>
      </c>
      <c r="B261" s="14">
        <f ca="1">IFERROR(__xludf.DUMMYFUNCTION("""COMPUTED_VALUE"""),3158.95)</f>
        <v>3158.95</v>
      </c>
      <c r="C261" s="15">
        <f t="shared" ca="1" si="2"/>
        <v>-5.0081106193993197E-3</v>
      </c>
      <c r="D261" s="14">
        <f t="shared" ca="1" si="1"/>
        <v>2812.6530000000012</v>
      </c>
      <c r="E261" s="17"/>
      <c r="F261" s="17"/>
    </row>
    <row r="262" spans="1:6" ht="12.75" x14ac:dyDescent="0.2">
      <c r="A262" s="13">
        <f ca="1">IFERROR(__xludf.DUMMYFUNCTION("""COMPUTED_VALUE"""),44210.6458333333)</f>
        <v>44210.645833333299</v>
      </c>
      <c r="B262" s="14">
        <f ca="1">IFERROR(__xludf.DUMMYFUNCTION("""COMPUTED_VALUE"""),3250.7)</f>
        <v>3250.7</v>
      </c>
      <c r="C262" s="15">
        <f t="shared" ca="1" si="2"/>
        <v>2.9044460975957254E-2</v>
      </c>
      <c r="D262" s="14">
        <f t="shared" ca="1" si="1"/>
        <v>2825.5750000000007</v>
      </c>
      <c r="E262" s="17"/>
      <c r="F262" s="17"/>
    </row>
    <row r="263" spans="1:6" ht="12.75" x14ac:dyDescent="0.2">
      <c r="A263" s="13">
        <f ca="1">IFERROR(__xludf.DUMMYFUNCTION("""COMPUTED_VALUE"""),44211.6458333333)</f>
        <v>44211.645833333299</v>
      </c>
      <c r="B263" s="14">
        <f ca="1">IFERROR(__xludf.DUMMYFUNCTION("""COMPUTED_VALUE"""),3233.35)</f>
        <v>3233.35</v>
      </c>
      <c r="C263" s="15">
        <f t="shared" ca="1" si="2"/>
        <v>-5.3373119635770072E-3</v>
      </c>
      <c r="D263" s="14">
        <f t="shared" ca="1" si="1"/>
        <v>2837.5700000000006</v>
      </c>
      <c r="E263" s="17"/>
      <c r="F263" s="17"/>
    </row>
    <row r="264" spans="1:6" ht="12.75" x14ac:dyDescent="0.2">
      <c r="A264" s="13">
        <f ca="1">IFERROR(__xludf.DUMMYFUNCTION("""COMPUTED_VALUE"""),44214.6458333333)</f>
        <v>44214.645833333299</v>
      </c>
      <c r="B264" s="14">
        <f ca="1">IFERROR(__xludf.DUMMYFUNCTION("""COMPUTED_VALUE"""),3221.75)</f>
        <v>3221.75</v>
      </c>
      <c r="C264" s="15">
        <f t="shared" ca="1" si="2"/>
        <v>-3.5876103731423692E-3</v>
      </c>
      <c r="D264" s="14">
        <f t="shared" ca="1" si="1"/>
        <v>2848.9420000000009</v>
      </c>
      <c r="E264" s="17"/>
      <c r="F264" s="17"/>
    </row>
    <row r="265" spans="1:6" ht="12.75" x14ac:dyDescent="0.2">
      <c r="A265" s="13">
        <f ca="1">IFERROR(__xludf.DUMMYFUNCTION("""COMPUTED_VALUE"""),44215.6458333333)</f>
        <v>44215.645833333299</v>
      </c>
      <c r="B265" s="14">
        <f ca="1">IFERROR(__xludf.DUMMYFUNCTION("""COMPUTED_VALUE"""),3260.7)</f>
        <v>3260.7</v>
      </c>
      <c r="C265" s="15">
        <f t="shared" ca="1" si="2"/>
        <v>1.2089702801272528E-2</v>
      </c>
      <c r="D265" s="14">
        <f t="shared" ca="1" si="1"/>
        <v>2860.4420000000009</v>
      </c>
      <c r="E265" s="17"/>
      <c r="F265" s="17"/>
    </row>
    <row r="266" spans="1:6" ht="12.75" x14ac:dyDescent="0.2">
      <c r="A266" s="13">
        <f ca="1">IFERROR(__xludf.DUMMYFUNCTION("""COMPUTED_VALUE"""),44216.6458333333)</f>
        <v>44216.645833333299</v>
      </c>
      <c r="B266" s="14">
        <f ca="1">IFERROR(__xludf.DUMMYFUNCTION("""COMPUTED_VALUE"""),3308.8)</f>
        <v>3308.8</v>
      </c>
      <c r="C266" s="15">
        <f t="shared" ca="1" si="2"/>
        <v>1.4751433741221343E-2</v>
      </c>
      <c r="D266" s="14">
        <f t="shared" ca="1" si="1"/>
        <v>2872.4689999999996</v>
      </c>
      <c r="E266" s="17"/>
      <c r="F266" s="17"/>
    </row>
    <row r="267" spans="1:6" ht="12.75" x14ac:dyDescent="0.2">
      <c r="A267" s="13">
        <f ca="1">IFERROR(__xludf.DUMMYFUNCTION("""COMPUTED_VALUE"""),44217.6458333333)</f>
        <v>44217.645833333299</v>
      </c>
      <c r="B267" s="14">
        <f ca="1">IFERROR(__xludf.DUMMYFUNCTION("""COMPUTED_VALUE"""),3273.85)</f>
        <v>3273.85</v>
      </c>
      <c r="C267" s="15">
        <f t="shared" ca="1" si="2"/>
        <v>-1.0562741779497231E-2</v>
      </c>
      <c r="D267" s="14">
        <f t="shared" ca="1" si="1"/>
        <v>2883.4139999999998</v>
      </c>
      <c r="E267" s="17"/>
      <c r="F267" s="17"/>
    </row>
    <row r="268" spans="1:6" ht="12.75" x14ac:dyDescent="0.2">
      <c r="A268" s="13">
        <f ca="1">IFERROR(__xludf.DUMMYFUNCTION("""COMPUTED_VALUE"""),44218.6458333333)</f>
        <v>44218.645833333299</v>
      </c>
      <c r="B268" s="14">
        <f ca="1">IFERROR(__xludf.DUMMYFUNCTION("""COMPUTED_VALUE"""),3303.1)</f>
        <v>3303.1</v>
      </c>
      <c r="C268" s="15">
        <f t="shared" ca="1" si="2"/>
        <v>8.9344349924400657E-3</v>
      </c>
      <c r="D268" s="14">
        <f t="shared" ca="1" si="1"/>
        <v>2896.4840000000004</v>
      </c>
      <c r="E268" s="17"/>
      <c r="F268" s="17"/>
    </row>
    <row r="269" spans="1:6" ht="12.75" x14ac:dyDescent="0.2">
      <c r="A269" s="13">
        <f ca="1">IFERROR(__xludf.DUMMYFUNCTION("""COMPUTED_VALUE"""),44221.6458333333)</f>
        <v>44221.645833333299</v>
      </c>
      <c r="B269" s="14">
        <f ca="1">IFERROR(__xludf.DUMMYFUNCTION("""COMPUTED_VALUE"""),3291.3)</f>
        <v>3291.3</v>
      </c>
      <c r="C269" s="15">
        <f t="shared" ca="1" si="2"/>
        <v>-3.5724016832671124E-3</v>
      </c>
      <c r="D269" s="14">
        <f t="shared" ca="1" si="1"/>
        <v>2908.5539999999996</v>
      </c>
      <c r="E269" s="17"/>
      <c r="F269" s="17"/>
    </row>
    <row r="270" spans="1:6" ht="12.75" x14ac:dyDescent="0.2">
      <c r="A270" s="13">
        <f ca="1">IFERROR(__xludf.DUMMYFUNCTION("""COMPUTED_VALUE"""),44223.6458333333)</f>
        <v>44223.645833333299</v>
      </c>
      <c r="B270" s="14">
        <f ca="1">IFERROR(__xludf.DUMMYFUNCTION("""COMPUTED_VALUE"""),3261.05)</f>
        <v>3261.05</v>
      </c>
      <c r="C270" s="15">
        <f t="shared" ca="1" si="2"/>
        <v>-9.1908972138668998E-3</v>
      </c>
      <c r="D270" s="14">
        <f t="shared" ca="1" si="1"/>
        <v>2920.3539999999998</v>
      </c>
      <c r="E270" s="17"/>
      <c r="F270" s="17"/>
    </row>
    <row r="271" spans="1:6" ht="12.75" x14ac:dyDescent="0.2">
      <c r="A271" s="13">
        <f ca="1">IFERROR(__xludf.DUMMYFUNCTION("""COMPUTED_VALUE"""),44224.6458333333)</f>
        <v>44224.645833333299</v>
      </c>
      <c r="B271" s="14">
        <f ca="1">IFERROR(__xludf.DUMMYFUNCTION("""COMPUTED_VALUE"""),3196.55)</f>
        <v>3196.55</v>
      </c>
      <c r="C271" s="15">
        <f t="shared" ca="1" si="2"/>
        <v>-1.977890556722528E-2</v>
      </c>
      <c r="D271" s="14">
        <f t="shared" ca="1" si="1"/>
        <v>2931.1479999999992</v>
      </c>
      <c r="E271" s="17"/>
      <c r="F271" s="17"/>
    </row>
    <row r="272" spans="1:6" ht="12.75" x14ac:dyDescent="0.2">
      <c r="A272" s="13">
        <f ca="1">IFERROR(__xludf.DUMMYFUNCTION("""COMPUTED_VALUE"""),44225.6458333333)</f>
        <v>44225.645833333299</v>
      </c>
      <c r="B272" s="14">
        <f ca="1">IFERROR(__xludf.DUMMYFUNCTION("""COMPUTED_VALUE"""),3111.35)</f>
        <v>3111.35</v>
      </c>
      <c r="C272" s="15">
        <f t="shared" ca="1" si="2"/>
        <v>-2.6653736059188859E-2</v>
      </c>
      <c r="D272" s="14">
        <f t="shared" ca="1" si="1"/>
        <v>2940.0539999999996</v>
      </c>
      <c r="E272" s="17"/>
      <c r="F272" s="17"/>
    </row>
    <row r="273" spans="1:6" ht="12.75" x14ac:dyDescent="0.2">
      <c r="A273" s="13">
        <f ca="1">IFERROR(__xludf.DUMMYFUNCTION("""COMPUTED_VALUE"""),44228.6458333333)</f>
        <v>44228.645833333299</v>
      </c>
      <c r="B273" s="14">
        <f ca="1">IFERROR(__xludf.DUMMYFUNCTION("""COMPUTED_VALUE"""),3139.35)</f>
        <v>3139.35</v>
      </c>
      <c r="C273" s="15">
        <f t="shared" ca="1" si="2"/>
        <v>8.999308981631815E-3</v>
      </c>
      <c r="D273" s="14">
        <f t="shared" ca="1" si="1"/>
        <v>2950.308</v>
      </c>
      <c r="E273" s="17"/>
      <c r="F273" s="17"/>
    </row>
    <row r="274" spans="1:6" ht="12.75" x14ac:dyDescent="0.2">
      <c r="A274" s="13">
        <f ca="1">IFERROR(__xludf.DUMMYFUNCTION("""COMPUTED_VALUE"""),44229.6458333333)</f>
        <v>44229.645833333299</v>
      </c>
      <c r="B274" s="14">
        <f ca="1">IFERROR(__xludf.DUMMYFUNCTION("""COMPUTED_VALUE"""),3203.45)</f>
        <v>3203.45</v>
      </c>
      <c r="C274" s="15">
        <f t="shared" ca="1" si="2"/>
        <v>2.0418239444470965E-2</v>
      </c>
      <c r="D274" s="14">
        <f t="shared" ca="1" si="1"/>
        <v>2961.6390000000001</v>
      </c>
      <c r="E274" s="17"/>
      <c r="F274" s="17"/>
    </row>
    <row r="275" spans="1:6" ht="12.75" x14ac:dyDescent="0.2">
      <c r="A275" s="13">
        <f ca="1">IFERROR(__xludf.DUMMYFUNCTION("""COMPUTED_VALUE"""),44230.6458333333)</f>
        <v>44230.645833333299</v>
      </c>
      <c r="B275" s="14">
        <f ca="1">IFERROR(__xludf.DUMMYFUNCTION("""COMPUTED_VALUE"""),3200.05)</f>
        <v>3200.05</v>
      </c>
      <c r="C275" s="15">
        <f t="shared" ca="1" si="2"/>
        <v>-1.0613557258579709E-3</v>
      </c>
      <c r="D275" s="14">
        <f t="shared" ca="1" si="1"/>
        <v>2972.4349999999999</v>
      </c>
      <c r="E275" s="17"/>
      <c r="F275" s="17"/>
    </row>
    <row r="276" spans="1:6" ht="12.75" x14ac:dyDescent="0.2">
      <c r="A276" s="13">
        <f ca="1">IFERROR(__xludf.DUMMYFUNCTION("""COMPUTED_VALUE"""),44231.6458333333)</f>
        <v>44231.645833333299</v>
      </c>
      <c r="B276" s="14">
        <f ca="1">IFERROR(__xludf.DUMMYFUNCTION("""COMPUTED_VALUE"""),3188.45)</f>
        <v>3188.45</v>
      </c>
      <c r="C276" s="15">
        <f t="shared" ca="1" si="2"/>
        <v>-3.6249433602600911E-3</v>
      </c>
      <c r="D276" s="14">
        <f t="shared" ca="1" si="1"/>
        <v>2981.719000000001</v>
      </c>
      <c r="E276" s="17"/>
      <c r="F276" s="17"/>
    </row>
    <row r="277" spans="1:6" ht="12.75" x14ac:dyDescent="0.2">
      <c r="A277" s="13">
        <f ca="1">IFERROR(__xludf.DUMMYFUNCTION("""COMPUTED_VALUE"""),44232.6458333333)</f>
        <v>44232.645833333299</v>
      </c>
      <c r="B277" s="14">
        <f ca="1">IFERROR(__xludf.DUMMYFUNCTION("""COMPUTED_VALUE"""),3157.95)</f>
        <v>3157.95</v>
      </c>
      <c r="C277" s="15">
        <f t="shared" ca="1" si="2"/>
        <v>-9.5657764744625506E-3</v>
      </c>
      <c r="D277" s="14">
        <f t="shared" ca="1" si="1"/>
        <v>2990.4370000000008</v>
      </c>
      <c r="E277" s="17"/>
      <c r="F277" s="17"/>
    </row>
    <row r="278" spans="1:6" ht="12.75" x14ac:dyDescent="0.2">
      <c r="A278" s="13">
        <f ca="1">IFERROR(__xludf.DUMMYFUNCTION("""COMPUTED_VALUE"""),44235.6458333333)</f>
        <v>44235.645833333299</v>
      </c>
      <c r="B278" s="14">
        <f ca="1">IFERROR(__xludf.DUMMYFUNCTION("""COMPUTED_VALUE"""),3214.1)</f>
        <v>3214.1</v>
      </c>
      <c r="C278" s="15">
        <f t="shared" ca="1" si="2"/>
        <v>1.7780522174195346E-2</v>
      </c>
      <c r="D278" s="14">
        <f t="shared" ca="1" si="1"/>
        <v>3000.6930000000011</v>
      </c>
      <c r="E278" s="17"/>
      <c r="F278" s="17"/>
    </row>
    <row r="279" spans="1:6" ht="12.75" x14ac:dyDescent="0.2">
      <c r="A279" s="13">
        <f ca="1">IFERROR(__xludf.DUMMYFUNCTION("""COMPUTED_VALUE"""),44236.6458333333)</f>
        <v>44236.645833333299</v>
      </c>
      <c r="B279" s="14">
        <f ca="1">IFERROR(__xludf.DUMMYFUNCTION("""COMPUTED_VALUE"""),3176.9)</f>
        <v>3176.9</v>
      </c>
      <c r="C279" s="15">
        <f t="shared" ca="1" si="2"/>
        <v>-1.1574002053451937E-2</v>
      </c>
      <c r="D279" s="14">
        <f t="shared" ca="1" si="1"/>
        <v>3009.8190000000009</v>
      </c>
      <c r="E279" s="17"/>
      <c r="F279" s="17"/>
    </row>
    <row r="280" spans="1:6" ht="12.75" x14ac:dyDescent="0.2">
      <c r="A280" s="13">
        <f ca="1">IFERROR(__xludf.DUMMYFUNCTION("""COMPUTED_VALUE"""),44237.6458333333)</f>
        <v>44237.645833333299</v>
      </c>
      <c r="B280" s="14">
        <f ca="1">IFERROR(__xludf.DUMMYFUNCTION("""COMPUTED_VALUE"""),3213.3)</f>
        <v>3213.3</v>
      </c>
      <c r="C280" s="15">
        <f t="shared" ca="1" si="2"/>
        <v>1.1457710346564287E-2</v>
      </c>
      <c r="D280" s="14">
        <f t="shared" ca="1" si="1"/>
        <v>3020.4920000000006</v>
      </c>
      <c r="E280" s="17"/>
      <c r="F280" s="17"/>
    </row>
    <row r="281" spans="1:6" ht="12.75" x14ac:dyDescent="0.2">
      <c r="A281" s="13">
        <f ca="1">IFERROR(__xludf.DUMMYFUNCTION("""COMPUTED_VALUE"""),44238.6458333333)</f>
        <v>44238.645833333299</v>
      </c>
      <c r="B281" s="14">
        <f ca="1">IFERROR(__xludf.DUMMYFUNCTION("""COMPUTED_VALUE"""),3206)</f>
        <v>3206</v>
      </c>
      <c r="C281" s="15">
        <f t="shared" ca="1" si="2"/>
        <v>-2.2718077988361784E-3</v>
      </c>
      <c r="D281" s="14">
        <f t="shared" ca="1" si="1"/>
        <v>3030.0760000000005</v>
      </c>
      <c r="E281" s="17"/>
      <c r="F281" s="17"/>
    </row>
    <row r="282" spans="1:6" ht="12.75" x14ac:dyDescent="0.2">
      <c r="A282" s="13">
        <f ca="1">IFERROR(__xludf.DUMMYFUNCTION("""COMPUTED_VALUE"""),44239.6458333333)</f>
        <v>44239.645833333299</v>
      </c>
      <c r="B282" s="14">
        <f ca="1">IFERROR(__xludf.DUMMYFUNCTION("""COMPUTED_VALUE"""),3190.8)</f>
        <v>3190.8</v>
      </c>
      <c r="C282" s="15">
        <f t="shared" ca="1" si="2"/>
        <v>-4.74111041796621E-3</v>
      </c>
      <c r="D282" s="14">
        <f t="shared" ca="1" si="1"/>
        <v>3038.9010000000003</v>
      </c>
      <c r="E282" s="17"/>
      <c r="F282" s="17"/>
    </row>
    <row r="283" spans="1:6" ht="12.75" x14ac:dyDescent="0.2">
      <c r="A283" s="13">
        <f ca="1">IFERROR(__xludf.DUMMYFUNCTION("""COMPUTED_VALUE"""),44242.6458333333)</f>
        <v>44242.645833333299</v>
      </c>
      <c r="B283" s="14">
        <f ca="1">IFERROR(__xludf.DUMMYFUNCTION("""COMPUTED_VALUE"""),3139.85)</f>
        <v>3139.85</v>
      </c>
      <c r="C283" s="15">
        <f t="shared" ca="1" si="2"/>
        <v>-1.5967782374326278E-2</v>
      </c>
      <c r="D283" s="14">
        <f t="shared" ca="1" si="1"/>
        <v>3047.509</v>
      </c>
      <c r="E283" s="17"/>
      <c r="F283" s="17"/>
    </row>
    <row r="284" spans="1:6" ht="12.75" x14ac:dyDescent="0.2">
      <c r="A284" s="13">
        <f ca="1">IFERROR(__xludf.DUMMYFUNCTION("""COMPUTED_VALUE"""),44243.6458333333)</f>
        <v>44243.645833333299</v>
      </c>
      <c r="B284" s="14">
        <f ca="1">IFERROR(__xludf.DUMMYFUNCTION("""COMPUTED_VALUE"""),3108.8)</f>
        <v>3108.8</v>
      </c>
      <c r="C284" s="15">
        <f t="shared" ca="1" si="2"/>
        <v>-9.8890074366608793E-3</v>
      </c>
      <c r="D284" s="14">
        <f t="shared" ca="1" si="1"/>
        <v>3055.1339999999996</v>
      </c>
      <c r="E284" s="17"/>
      <c r="F284" s="17"/>
    </row>
    <row r="285" spans="1:6" ht="12.75" x14ac:dyDescent="0.2">
      <c r="A285" s="13">
        <f ca="1">IFERROR(__xludf.DUMMYFUNCTION("""COMPUTED_VALUE"""),44244.6458333333)</f>
        <v>44244.645833333299</v>
      </c>
      <c r="B285" s="14">
        <f ca="1">IFERROR(__xludf.DUMMYFUNCTION("""COMPUTED_VALUE"""),3073.1)</f>
        <v>3073.1</v>
      </c>
      <c r="C285" s="15">
        <f t="shared" ca="1" si="2"/>
        <v>-1.1483530622748428E-2</v>
      </c>
      <c r="D285" s="14">
        <f t="shared" ca="1" si="1"/>
        <v>3061.8420000000001</v>
      </c>
      <c r="E285" s="17"/>
      <c r="F285" s="17"/>
    </row>
    <row r="286" spans="1:6" ht="12.75" x14ac:dyDescent="0.2">
      <c r="A286" s="13">
        <f ca="1">IFERROR(__xludf.DUMMYFUNCTION("""COMPUTED_VALUE"""),44245.6458333333)</f>
        <v>44245.645833333299</v>
      </c>
      <c r="B286" s="14">
        <f ca="1">IFERROR(__xludf.DUMMYFUNCTION("""COMPUTED_VALUE"""),3057.35)</f>
        <v>3057.35</v>
      </c>
      <c r="C286" s="15">
        <f t="shared" ca="1" si="2"/>
        <v>-5.1251179590641183E-3</v>
      </c>
      <c r="D286" s="14">
        <f t="shared" ca="1" si="1"/>
        <v>3067.0430000000006</v>
      </c>
      <c r="E286" s="17"/>
      <c r="F286" s="17"/>
    </row>
    <row r="287" spans="1:6" ht="12.75" x14ac:dyDescent="0.2">
      <c r="A287" s="13">
        <f ca="1">IFERROR(__xludf.DUMMYFUNCTION("""COMPUTED_VALUE"""),44246.6458333333)</f>
        <v>44246.645833333299</v>
      </c>
      <c r="B287" s="14">
        <f ca="1">IFERROR(__xludf.DUMMYFUNCTION("""COMPUTED_VALUE"""),3071.85)</f>
        <v>3071.85</v>
      </c>
      <c r="C287" s="15">
        <f t="shared" ca="1" si="2"/>
        <v>4.7426693051171309E-3</v>
      </c>
      <c r="D287" s="14">
        <f t="shared" ca="1" si="1"/>
        <v>3072.2640000000001</v>
      </c>
      <c r="E287" s="17"/>
      <c r="F287" s="17"/>
    </row>
    <row r="288" spans="1:6" ht="12.75" x14ac:dyDescent="0.2">
      <c r="A288" s="13">
        <f ca="1">IFERROR(__xludf.DUMMYFUNCTION("""COMPUTED_VALUE"""),44249.6458333333)</f>
        <v>44249.645833333299</v>
      </c>
      <c r="B288" s="14">
        <f ca="1">IFERROR(__xludf.DUMMYFUNCTION("""COMPUTED_VALUE"""),2958.45)</f>
        <v>2958.45</v>
      </c>
      <c r="C288" s="15">
        <f t="shared" ca="1" si="2"/>
        <v>-3.691586503247235E-2</v>
      </c>
      <c r="D288" s="14">
        <f t="shared" ca="1" si="1"/>
        <v>3075.7470000000008</v>
      </c>
      <c r="E288" s="17"/>
      <c r="F288" s="17"/>
    </row>
    <row r="289" spans="1:6" ht="12.75" x14ac:dyDescent="0.2">
      <c r="A289" s="13">
        <f ca="1">IFERROR(__xludf.DUMMYFUNCTION("""COMPUTED_VALUE"""),44250.6458333333)</f>
        <v>44250.645833333299</v>
      </c>
      <c r="B289" s="14">
        <f ca="1">IFERROR(__xludf.DUMMYFUNCTION("""COMPUTED_VALUE"""),2980.2)</f>
        <v>2980.2</v>
      </c>
      <c r="C289" s="15">
        <f t="shared" ca="1" si="2"/>
        <v>7.3518227450184437E-3</v>
      </c>
      <c r="D289" s="14">
        <f t="shared" ca="1" si="1"/>
        <v>3079.6790000000015</v>
      </c>
      <c r="E289" s="17"/>
      <c r="F289" s="17"/>
    </row>
    <row r="290" spans="1:6" ht="12.75" x14ac:dyDescent="0.2">
      <c r="A290" s="13">
        <f ca="1">IFERROR(__xludf.DUMMYFUNCTION("""COMPUTED_VALUE"""),44251.6458333333)</f>
        <v>44251.645833333299</v>
      </c>
      <c r="B290" s="14">
        <f ca="1">IFERROR(__xludf.DUMMYFUNCTION("""COMPUTED_VALUE"""),2948.1)</f>
        <v>2948.1</v>
      </c>
      <c r="C290" s="15">
        <f t="shared" ca="1" si="2"/>
        <v>-1.0771089188645E-2</v>
      </c>
      <c r="D290" s="14">
        <f t="shared" ca="1" si="1"/>
        <v>3082.6870000000013</v>
      </c>
      <c r="E290" s="17"/>
      <c r="F290" s="17"/>
    </row>
    <row r="291" spans="1:6" ht="12.75" x14ac:dyDescent="0.2">
      <c r="A291" s="13">
        <f ca="1">IFERROR(__xludf.DUMMYFUNCTION("""COMPUTED_VALUE"""),44252.6458333333)</f>
        <v>44252.645833333299</v>
      </c>
      <c r="B291" s="14">
        <f ca="1">IFERROR(__xludf.DUMMYFUNCTION("""COMPUTED_VALUE"""),2995.3)</f>
        <v>2995.3</v>
      </c>
      <c r="C291" s="15">
        <f t="shared" ca="1" si="2"/>
        <v>1.6010311726196713E-2</v>
      </c>
      <c r="D291" s="14">
        <f t="shared" ca="1" si="1"/>
        <v>3087.3620000000014</v>
      </c>
      <c r="E291" s="17"/>
      <c r="F291" s="17"/>
    </row>
    <row r="292" spans="1:6" ht="12.75" x14ac:dyDescent="0.2">
      <c r="A292" s="13">
        <f ca="1">IFERROR(__xludf.DUMMYFUNCTION("""COMPUTED_VALUE"""),44253.6458333333)</f>
        <v>44253.645833333299</v>
      </c>
      <c r="B292" s="14">
        <f ca="1">IFERROR(__xludf.DUMMYFUNCTION("""COMPUTED_VALUE"""),2894.3)</f>
        <v>2894.3</v>
      </c>
      <c r="C292" s="15">
        <f t="shared" ca="1" si="2"/>
        <v>-3.3719493873735518E-2</v>
      </c>
      <c r="D292" s="14">
        <f t="shared" ca="1" si="1"/>
        <v>3088.9640000000009</v>
      </c>
      <c r="E292" s="17"/>
      <c r="F292" s="17"/>
    </row>
    <row r="293" spans="1:6" ht="12.75" x14ac:dyDescent="0.2">
      <c r="A293" s="13">
        <f ca="1">IFERROR(__xludf.DUMMYFUNCTION("""COMPUTED_VALUE"""),44256.6458333333)</f>
        <v>44256.645833333299</v>
      </c>
      <c r="B293" s="14">
        <f ca="1">IFERROR(__xludf.DUMMYFUNCTION("""COMPUTED_VALUE"""),2924.2)</f>
        <v>2924.2</v>
      </c>
      <c r="C293" s="15">
        <f t="shared" ca="1" si="2"/>
        <v>1.0330649898075306E-2</v>
      </c>
      <c r="D293" s="14">
        <f t="shared" ca="1" si="1"/>
        <v>3090.6840000000016</v>
      </c>
      <c r="E293" s="17"/>
      <c r="F293" s="17"/>
    </row>
    <row r="294" spans="1:6" ht="12.75" x14ac:dyDescent="0.2">
      <c r="A294" s="13">
        <f ca="1">IFERROR(__xludf.DUMMYFUNCTION("""COMPUTED_VALUE"""),44257.6458333333)</f>
        <v>44257.645833333299</v>
      </c>
      <c r="B294" s="14">
        <f ca="1">IFERROR(__xludf.DUMMYFUNCTION("""COMPUTED_VALUE"""),3006.35)</f>
        <v>3006.35</v>
      </c>
      <c r="C294" s="15">
        <f t="shared" ca="1" si="2"/>
        <v>2.8093153683058647E-2</v>
      </c>
      <c r="D294" s="14">
        <f t="shared" ca="1" si="1"/>
        <v>3093.5910000000017</v>
      </c>
      <c r="E294" s="17"/>
      <c r="F294" s="17"/>
    </row>
    <row r="295" spans="1:6" ht="12.75" x14ac:dyDescent="0.2">
      <c r="A295" s="13">
        <f ca="1">IFERROR(__xludf.DUMMYFUNCTION("""COMPUTED_VALUE"""),44258.6458333333)</f>
        <v>44258.645833333299</v>
      </c>
      <c r="B295" s="14">
        <f ca="1">IFERROR(__xludf.DUMMYFUNCTION("""COMPUTED_VALUE"""),3059.1)</f>
        <v>3059.1</v>
      </c>
      <c r="C295" s="15">
        <f t="shared" ca="1" si="2"/>
        <v>1.7546193889600437E-2</v>
      </c>
      <c r="D295" s="14">
        <f t="shared" ca="1" si="1"/>
        <v>3098.3700000000013</v>
      </c>
      <c r="E295" s="17"/>
      <c r="F295" s="17"/>
    </row>
    <row r="296" spans="1:6" ht="12.75" x14ac:dyDescent="0.2">
      <c r="A296" s="13">
        <f ca="1">IFERROR(__xludf.DUMMYFUNCTION("""COMPUTED_VALUE"""),44259.6458333333)</f>
        <v>44259.645833333299</v>
      </c>
      <c r="B296" s="14">
        <f ca="1">IFERROR(__xludf.DUMMYFUNCTION("""COMPUTED_VALUE"""),3049.7)</f>
        <v>3049.7</v>
      </c>
      <c r="C296" s="15">
        <f t="shared" ca="1" si="2"/>
        <v>-3.0727991893040318E-3</v>
      </c>
      <c r="D296" s="14">
        <f t="shared" ca="1" si="1"/>
        <v>3101.9140000000016</v>
      </c>
      <c r="E296" s="17"/>
      <c r="F296" s="17"/>
    </row>
    <row r="297" spans="1:6" ht="12.75" x14ac:dyDescent="0.2">
      <c r="A297" s="13">
        <f ca="1">IFERROR(__xludf.DUMMYFUNCTION("""COMPUTED_VALUE"""),44260.6458333333)</f>
        <v>44260.645833333299</v>
      </c>
      <c r="B297" s="14">
        <f ca="1">IFERROR(__xludf.DUMMYFUNCTION("""COMPUTED_VALUE"""),3008.05)</f>
        <v>3008.05</v>
      </c>
      <c r="C297" s="15">
        <f t="shared" ca="1" si="2"/>
        <v>-1.3657081024362916E-2</v>
      </c>
      <c r="D297" s="14">
        <f t="shared" ca="1" si="1"/>
        <v>3103.9000000000005</v>
      </c>
      <c r="E297" s="17"/>
      <c r="F297" s="17"/>
    </row>
    <row r="298" spans="1:6" ht="12.75" x14ac:dyDescent="0.2">
      <c r="A298" s="13">
        <f ca="1">IFERROR(__xludf.DUMMYFUNCTION("""COMPUTED_VALUE"""),44263.6458333333)</f>
        <v>44263.645833333299</v>
      </c>
      <c r="B298" s="14">
        <f ca="1">IFERROR(__xludf.DUMMYFUNCTION("""COMPUTED_VALUE"""),3006.95)</f>
        <v>3006.95</v>
      </c>
      <c r="C298" s="15">
        <f t="shared" ca="1" si="2"/>
        <v>-3.6568541081438699E-4</v>
      </c>
      <c r="D298" s="14">
        <f t="shared" ca="1" si="1"/>
        <v>3105.8520000000008</v>
      </c>
      <c r="E298" s="17"/>
      <c r="F298" s="17"/>
    </row>
    <row r="299" spans="1:6" ht="12.75" x14ac:dyDescent="0.2">
      <c r="A299" s="13">
        <f ca="1">IFERROR(__xludf.DUMMYFUNCTION("""COMPUTED_VALUE"""),44264.6458333333)</f>
        <v>44264.645833333299</v>
      </c>
      <c r="B299" s="14">
        <f ca="1">IFERROR(__xludf.DUMMYFUNCTION("""COMPUTED_VALUE"""),3050.95)</f>
        <v>3050.95</v>
      </c>
      <c r="C299" s="15">
        <f t="shared" ca="1" si="2"/>
        <v>1.4632767422138704E-2</v>
      </c>
      <c r="D299" s="14">
        <f t="shared" ca="1" si="1"/>
        <v>3108.2830000000013</v>
      </c>
      <c r="E299" s="17"/>
      <c r="F299" s="17"/>
    </row>
    <row r="300" spans="1:6" ht="12.75" x14ac:dyDescent="0.2">
      <c r="A300" s="13">
        <f ca="1">IFERROR(__xludf.DUMMYFUNCTION("""COMPUTED_VALUE"""),44265.6458333333)</f>
        <v>44265.645833333299</v>
      </c>
      <c r="B300" s="14">
        <f ca="1">IFERROR(__xludf.DUMMYFUNCTION("""COMPUTED_VALUE"""),3070.95)</f>
        <v>3070.95</v>
      </c>
      <c r="C300" s="15">
        <f t="shared" ca="1" si="2"/>
        <v>6.5553352234550832E-3</v>
      </c>
      <c r="D300" s="14">
        <f t="shared" ca="1" si="1"/>
        <v>3111.0920000000019</v>
      </c>
      <c r="E300" s="17"/>
      <c r="F300" s="17"/>
    </row>
    <row r="301" spans="1:6" ht="12.75" x14ac:dyDescent="0.2">
      <c r="A301" s="13">
        <f ca="1">IFERROR(__xludf.DUMMYFUNCTION("""COMPUTED_VALUE"""),44267.6458333333)</f>
        <v>44267.645833333299</v>
      </c>
      <c r="B301" s="14">
        <f ca="1">IFERROR(__xludf.DUMMYFUNCTION("""COMPUTED_VALUE"""),3057.95)</f>
        <v>3057.95</v>
      </c>
      <c r="C301" s="15">
        <f t="shared" ca="1" si="2"/>
        <v>-4.2332177339259314E-3</v>
      </c>
      <c r="D301" s="14">
        <f t="shared" ca="1" si="1"/>
        <v>3114.0650000000023</v>
      </c>
      <c r="E301" s="17"/>
      <c r="F301" s="17"/>
    </row>
    <row r="302" spans="1:6" ht="12.75" x14ac:dyDescent="0.2">
      <c r="A302" s="13">
        <f ca="1">IFERROR(__xludf.DUMMYFUNCTION("""COMPUTED_VALUE"""),44270.6458333333)</f>
        <v>44270.645833333299</v>
      </c>
      <c r="B302" s="14">
        <f ca="1">IFERROR(__xludf.DUMMYFUNCTION("""COMPUTED_VALUE"""),3066.15)</f>
        <v>3066.15</v>
      </c>
      <c r="C302" s="15">
        <f t="shared" ca="1" si="2"/>
        <v>2.6815350152880058E-3</v>
      </c>
      <c r="D302" s="14">
        <f t="shared" ca="1" si="1"/>
        <v>3118.1330000000016</v>
      </c>
      <c r="E302" s="17"/>
      <c r="F302" s="17"/>
    </row>
    <row r="303" spans="1:6" ht="12.75" x14ac:dyDescent="0.2">
      <c r="A303" s="13">
        <f ca="1">IFERROR(__xludf.DUMMYFUNCTION("""COMPUTED_VALUE"""),44271.6458333333)</f>
        <v>44271.645833333299</v>
      </c>
      <c r="B303" s="14">
        <f ca="1">IFERROR(__xludf.DUMMYFUNCTION("""COMPUTED_VALUE"""),3110.05)</f>
        <v>3110.05</v>
      </c>
      <c r="C303" s="15">
        <f t="shared" ca="1" si="2"/>
        <v>1.4317629600639314E-2</v>
      </c>
      <c r="D303" s="14">
        <f t="shared" ca="1" si="1"/>
        <v>3121.7690000000016</v>
      </c>
      <c r="E303" s="17"/>
      <c r="F303" s="17"/>
    </row>
    <row r="304" spans="1:6" ht="12.75" x14ac:dyDescent="0.2">
      <c r="A304" s="13">
        <f ca="1">IFERROR(__xludf.DUMMYFUNCTION("""COMPUTED_VALUE"""),44272.6458333333)</f>
        <v>44272.645833333299</v>
      </c>
      <c r="B304" s="14">
        <f ca="1">IFERROR(__xludf.DUMMYFUNCTION("""COMPUTED_VALUE"""),3112.95)</f>
        <v>3112.95</v>
      </c>
      <c r="C304" s="15">
        <f t="shared" ca="1" si="2"/>
        <v>9.3246089291154632E-4</v>
      </c>
      <c r="D304" s="14">
        <f t="shared" ca="1" si="1"/>
        <v>3123.2390000000014</v>
      </c>
      <c r="E304" s="17"/>
      <c r="F304" s="17"/>
    </row>
    <row r="305" spans="1:6" ht="12.75" x14ac:dyDescent="0.2">
      <c r="A305" s="13">
        <f ca="1">IFERROR(__xludf.DUMMYFUNCTION("""COMPUTED_VALUE"""),44273.6458333333)</f>
        <v>44273.645833333299</v>
      </c>
      <c r="B305" s="14">
        <f ca="1">IFERROR(__xludf.DUMMYFUNCTION("""COMPUTED_VALUE"""),3036.5)</f>
        <v>3036.5</v>
      </c>
      <c r="C305" s="15">
        <f t="shared" ca="1" si="2"/>
        <v>-2.4558698340802043E-2</v>
      </c>
      <c r="D305" s="14">
        <f t="shared" ca="1" si="1"/>
        <v>3122.1090000000013</v>
      </c>
      <c r="E305" s="17"/>
      <c r="F305" s="17"/>
    </row>
    <row r="306" spans="1:6" ht="12.75" x14ac:dyDescent="0.2">
      <c r="A306" s="13">
        <f ca="1">IFERROR(__xludf.DUMMYFUNCTION("""COMPUTED_VALUE"""),44274.6458333333)</f>
        <v>44274.645833333299</v>
      </c>
      <c r="B306" s="14">
        <f ca="1">IFERROR(__xludf.DUMMYFUNCTION("""COMPUTED_VALUE"""),3050.2)</f>
        <v>3050.2</v>
      </c>
      <c r="C306" s="15">
        <f t="shared" ca="1" si="2"/>
        <v>4.5117734233492968E-3</v>
      </c>
      <c r="D306" s="14">
        <f t="shared" ref="D306:D560" ca="1" si="3">AVERAGE(B257:B306)</f>
        <v>3122.0830000000014</v>
      </c>
      <c r="E306" s="17"/>
      <c r="F306" s="17"/>
    </row>
    <row r="307" spans="1:6" ht="12.75" x14ac:dyDescent="0.2">
      <c r="A307" s="13">
        <f ca="1">IFERROR(__xludf.DUMMYFUNCTION("""COMPUTED_VALUE"""),44277.6458333333)</f>
        <v>44277.645833333299</v>
      </c>
      <c r="B307" s="14">
        <f ca="1">IFERROR(__xludf.DUMMYFUNCTION("""COMPUTED_VALUE"""),3129.65)</f>
        <v>3129.65</v>
      </c>
      <c r="C307" s="15">
        <f t="shared" ca="1" si="2"/>
        <v>2.6047472296898633E-2</v>
      </c>
      <c r="D307" s="14">
        <f t="shared" ca="1" si="3"/>
        <v>3124.0200000000013</v>
      </c>
      <c r="E307" s="17"/>
      <c r="F307" s="17"/>
    </row>
    <row r="308" spans="1:6" ht="12.75" x14ac:dyDescent="0.2">
      <c r="A308" s="13">
        <f ca="1">IFERROR(__xludf.DUMMYFUNCTION("""COMPUTED_VALUE"""),44278.6458333333)</f>
        <v>44278.645833333299</v>
      </c>
      <c r="B308" s="14">
        <f ca="1">IFERROR(__xludf.DUMMYFUNCTION("""COMPUTED_VALUE"""),3142.6)</f>
        <v>3142.6</v>
      </c>
      <c r="C308" s="15">
        <f t="shared" ca="1" si="2"/>
        <v>4.1378428897800301E-3</v>
      </c>
      <c r="D308" s="14">
        <f t="shared" ca="1" si="3"/>
        <v>3124.4540000000015</v>
      </c>
      <c r="E308" s="17"/>
      <c r="F308" s="17"/>
    </row>
    <row r="309" spans="1:6" ht="12.75" x14ac:dyDescent="0.2">
      <c r="A309" s="13">
        <f ca="1">IFERROR(__xludf.DUMMYFUNCTION("""COMPUTED_VALUE"""),44279.6458333333)</f>
        <v>44279.645833333299</v>
      </c>
      <c r="B309" s="14">
        <f ca="1">IFERROR(__xludf.DUMMYFUNCTION("""COMPUTED_VALUE"""),3121.1)</f>
        <v>3121.1</v>
      </c>
      <c r="C309" s="15">
        <f t="shared" ca="1" si="2"/>
        <v>-6.841468847451182E-3</v>
      </c>
      <c r="D309" s="14">
        <f t="shared" ca="1" si="3"/>
        <v>3123.3470000000007</v>
      </c>
      <c r="E309" s="17"/>
      <c r="F309" s="17"/>
    </row>
    <row r="310" spans="1:6" ht="12.75" x14ac:dyDescent="0.2">
      <c r="A310" s="13">
        <f ca="1">IFERROR(__xludf.DUMMYFUNCTION("""COMPUTED_VALUE"""),44280.6458333333)</f>
        <v>44280.645833333299</v>
      </c>
      <c r="B310" s="14">
        <f ca="1">IFERROR(__xludf.DUMMYFUNCTION("""COMPUTED_VALUE"""),3064.85)</f>
        <v>3064.85</v>
      </c>
      <c r="C310" s="15">
        <f t="shared" ca="1" si="2"/>
        <v>-1.8022492070103535E-2</v>
      </c>
      <c r="D310" s="14">
        <f t="shared" ca="1" si="3"/>
        <v>3121.1470000000013</v>
      </c>
      <c r="E310" s="17"/>
      <c r="F310" s="17"/>
    </row>
    <row r="311" spans="1:6" ht="12.75" x14ac:dyDescent="0.2">
      <c r="A311" s="13">
        <f ca="1">IFERROR(__xludf.DUMMYFUNCTION("""COMPUTED_VALUE"""),44281.6458333333)</f>
        <v>44281.645833333299</v>
      </c>
      <c r="B311" s="14">
        <f ca="1">IFERROR(__xludf.DUMMYFUNCTION("""COMPUTED_VALUE"""),3066.8)</f>
        <v>3066.8</v>
      </c>
      <c r="C311" s="15">
        <f t="shared" ca="1" si="2"/>
        <v>6.3624647209503671E-4</v>
      </c>
      <c r="D311" s="14">
        <f t="shared" ca="1" si="3"/>
        <v>3119.304000000001</v>
      </c>
      <c r="E311" s="17"/>
      <c r="F311" s="17"/>
    </row>
    <row r="312" spans="1:6" ht="12.75" x14ac:dyDescent="0.2">
      <c r="A312" s="13">
        <f ca="1">IFERROR(__xludf.DUMMYFUNCTION("""COMPUTED_VALUE"""),44285.6458333333)</f>
        <v>44285.645833333299</v>
      </c>
      <c r="B312" s="14">
        <f ca="1">IFERROR(__xludf.DUMMYFUNCTION("""COMPUTED_VALUE"""),3158.55)</f>
        <v>3158.55</v>
      </c>
      <c r="C312" s="15">
        <f t="shared" ca="1" si="2"/>
        <v>2.9917177514021231E-2</v>
      </c>
      <c r="D312" s="14">
        <f t="shared" ca="1" si="3"/>
        <v>3117.4610000000002</v>
      </c>
      <c r="E312" s="17"/>
      <c r="F312" s="17"/>
    </row>
    <row r="313" spans="1:6" ht="12.75" x14ac:dyDescent="0.2">
      <c r="A313" s="13">
        <f ca="1">IFERROR(__xludf.DUMMYFUNCTION("""COMPUTED_VALUE"""),44286.6458333333)</f>
        <v>44286.645833333299</v>
      </c>
      <c r="B313" s="14">
        <f ca="1">IFERROR(__xludf.DUMMYFUNCTION("""COMPUTED_VALUE"""),3177.85)</f>
        <v>3177.85</v>
      </c>
      <c r="C313" s="15">
        <f t="shared" ca="1" si="2"/>
        <v>6.1103987589241626E-3</v>
      </c>
      <c r="D313" s="14">
        <f t="shared" ca="1" si="3"/>
        <v>3116.3510000000006</v>
      </c>
      <c r="E313" s="17"/>
      <c r="F313" s="17"/>
    </row>
    <row r="314" spans="1:6" ht="12.75" x14ac:dyDescent="0.2">
      <c r="A314" s="13">
        <f ca="1">IFERROR(__xludf.DUMMYFUNCTION("""COMPUTED_VALUE"""),44287.6458333333)</f>
        <v>44287.645833333299</v>
      </c>
      <c r="B314" s="14">
        <f ca="1">IFERROR(__xludf.DUMMYFUNCTION("""COMPUTED_VALUE"""),3165)</f>
        <v>3165</v>
      </c>
      <c r="C314" s="15">
        <f t="shared" ca="1" si="2"/>
        <v>-4.0436143933791913E-3</v>
      </c>
      <c r="D314" s="14">
        <f t="shared" ca="1" si="3"/>
        <v>3115.2160000000003</v>
      </c>
      <c r="E314" s="17"/>
      <c r="F314" s="17"/>
    </row>
    <row r="315" spans="1:6" ht="12.75" x14ac:dyDescent="0.2">
      <c r="A315" s="13">
        <f ca="1">IFERROR(__xludf.DUMMYFUNCTION("""COMPUTED_VALUE"""),44291.6458333333)</f>
        <v>44291.645833333299</v>
      </c>
      <c r="B315" s="14">
        <f ca="1">IFERROR(__xludf.DUMMYFUNCTION("""COMPUTED_VALUE"""),3238.9)</f>
        <v>3238.9</v>
      </c>
      <c r="C315" s="15">
        <f t="shared" ca="1" si="2"/>
        <v>2.3349131121642941E-2</v>
      </c>
      <c r="D315" s="14">
        <f t="shared" ca="1" si="3"/>
        <v>3114.7799999999993</v>
      </c>
      <c r="E315" s="17"/>
      <c r="F315" s="17"/>
    </row>
    <row r="316" spans="1:6" ht="12.75" x14ac:dyDescent="0.2">
      <c r="A316" s="13">
        <f ca="1">IFERROR(__xludf.DUMMYFUNCTION("""COMPUTED_VALUE"""),44292.6458333333)</f>
        <v>44292.645833333299</v>
      </c>
      <c r="B316" s="14">
        <f ca="1">IFERROR(__xludf.DUMMYFUNCTION("""COMPUTED_VALUE"""),3264.7)</f>
        <v>3264.7</v>
      </c>
      <c r="C316" s="15">
        <f t="shared" ca="1" si="2"/>
        <v>7.9656673562011893E-3</v>
      </c>
      <c r="D316" s="14">
        <f t="shared" ca="1" si="3"/>
        <v>3113.8979999999997</v>
      </c>
      <c r="E316" s="17"/>
      <c r="F316" s="17"/>
    </row>
    <row r="317" spans="1:6" ht="12.75" x14ac:dyDescent="0.2">
      <c r="A317" s="13">
        <f ca="1">IFERROR(__xludf.DUMMYFUNCTION("""COMPUTED_VALUE"""),44293.6458333333)</f>
        <v>44293.645833333299</v>
      </c>
      <c r="B317" s="14">
        <f ca="1">IFERROR(__xludf.DUMMYFUNCTION("""COMPUTED_VALUE"""),3271.4)</f>
        <v>3271.4</v>
      </c>
      <c r="C317" s="15">
        <f t="shared" ca="1" si="2"/>
        <v>2.0522559500109061E-3</v>
      </c>
      <c r="D317" s="14">
        <f t="shared" ca="1" si="3"/>
        <v>3113.8489999999997</v>
      </c>
      <c r="E317" s="17"/>
      <c r="F317" s="17"/>
    </row>
    <row r="318" spans="1:6" ht="12.75" x14ac:dyDescent="0.2">
      <c r="A318" s="13">
        <f ca="1">IFERROR(__xludf.DUMMYFUNCTION("""COMPUTED_VALUE"""),44294.6458333333)</f>
        <v>44294.645833333299</v>
      </c>
      <c r="B318" s="14">
        <f ca="1">IFERROR(__xludf.DUMMYFUNCTION("""COMPUTED_VALUE"""),3317.35)</f>
        <v>3317.35</v>
      </c>
      <c r="C318" s="15">
        <f t="shared" ca="1" si="2"/>
        <v>1.4045974200648015E-2</v>
      </c>
      <c r="D318" s="14">
        <f t="shared" ca="1" si="3"/>
        <v>3114.134</v>
      </c>
      <c r="E318" s="17"/>
      <c r="F318" s="17"/>
    </row>
    <row r="319" spans="1:6" ht="12.75" x14ac:dyDescent="0.2">
      <c r="A319" s="13">
        <f ca="1">IFERROR(__xludf.DUMMYFUNCTION("""COMPUTED_VALUE"""),44295.6458333333)</f>
        <v>44295.645833333299</v>
      </c>
      <c r="B319" s="14">
        <f ca="1">IFERROR(__xludf.DUMMYFUNCTION("""COMPUTED_VALUE"""),3322.25)</f>
        <v>3322.25</v>
      </c>
      <c r="C319" s="15">
        <f t="shared" ca="1" si="2"/>
        <v>1.4770826111203395E-3</v>
      </c>
      <c r="D319" s="14">
        <f t="shared" ca="1" si="3"/>
        <v>3114.7530000000006</v>
      </c>
      <c r="E319" s="17"/>
      <c r="F319" s="17"/>
    </row>
    <row r="320" spans="1:6" ht="12.75" x14ac:dyDescent="0.2">
      <c r="A320" s="13">
        <f ca="1">IFERROR(__xludf.DUMMYFUNCTION("""COMPUTED_VALUE"""),44298.6458333333)</f>
        <v>44298.645833333299</v>
      </c>
      <c r="B320" s="14">
        <f ca="1">IFERROR(__xludf.DUMMYFUNCTION("""COMPUTED_VALUE"""),3246.55)</f>
        <v>3246.55</v>
      </c>
      <c r="C320" s="15">
        <f t="shared" ca="1" si="2"/>
        <v>-2.2785762660847309E-2</v>
      </c>
      <c r="D320" s="14">
        <f t="shared" ca="1" si="3"/>
        <v>3114.4629999999997</v>
      </c>
      <c r="E320" s="17"/>
      <c r="F320" s="17"/>
    </row>
    <row r="321" spans="1:6" ht="12.75" x14ac:dyDescent="0.2">
      <c r="A321" s="13">
        <f ca="1">IFERROR(__xludf.DUMMYFUNCTION("""COMPUTED_VALUE"""),44299.6458333333)</f>
        <v>44299.645833333299</v>
      </c>
      <c r="B321" s="14">
        <f ca="1">IFERROR(__xludf.DUMMYFUNCTION("""COMPUTED_VALUE"""),3104.05)</f>
        <v>3104.05</v>
      </c>
      <c r="C321" s="15">
        <f t="shared" ca="1" si="2"/>
        <v>-4.3892747686005151E-2</v>
      </c>
      <c r="D321" s="14">
        <f t="shared" ca="1" si="3"/>
        <v>3112.6129999999998</v>
      </c>
      <c r="E321" s="17"/>
      <c r="F321" s="17"/>
    </row>
    <row r="322" spans="1:6" ht="12.75" x14ac:dyDescent="0.2">
      <c r="A322" s="13">
        <f ca="1">IFERROR(__xludf.DUMMYFUNCTION("""COMPUTED_VALUE"""),44301.6458333333)</f>
        <v>44301.645833333299</v>
      </c>
      <c r="B322" s="14">
        <f ca="1">IFERROR(__xludf.DUMMYFUNCTION("""COMPUTED_VALUE"""),3218.95)</f>
        <v>3218.95</v>
      </c>
      <c r="C322" s="15">
        <f t="shared" ca="1" si="2"/>
        <v>3.7016156311914905E-2</v>
      </c>
      <c r="D322" s="14">
        <f t="shared" ca="1" si="3"/>
        <v>3114.7649999999999</v>
      </c>
      <c r="E322" s="17"/>
      <c r="F322" s="17"/>
    </row>
    <row r="323" spans="1:6" ht="12.75" x14ac:dyDescent="0.2">
      <c r="A323" s="13">
        <f ca="1">IFERROR(__xludf.DUMMYFUNCTION("""COMPUTED_VALUE"""),44302.6458333333)</f>
        <v>44302.645833333299</v>
      </c>
      <c r="B323" s="14">
        <f ca="1">IFERROR(__xludf.DUMMYFUNCTION("""COMPUTED_VALUE"""),3195.15)</f>
        <v>3195.15</v>
      </c>
      <c r="C323" s="15">
        <f t="shared" ca="1" si="2"/>
        <v>-7.3937153419592061E-3</v>
      </c>
      <c r="D323" s="14">
        <f t="shared" ca="1" si="3"/>
        <v>3115.8809999999999</v>
      </c>
      <c r="E323" s="17"/>
      <c r="F323" s="17"/>
    </row>
    <row r="324" spans="1:6" ht="12.75" x14ac:dyDescent="0.2">
      <c r="A324" s="13">
        <f ca="1">IFERROR(__xludf.DUMMYFUNCTION("""COMPUTED_VALUE"""),44305.6458333333)</f>
        <v>44305.645833333299</v>
      </c>
      <c r="B324" s="14">
        <f ca="1">IFERROR(__xludf.DUMMYFUNCTION("""COMPUTED_VALUE"""),3161.8)</f>
        <v>3161.8</v>
      </c>
      <c r="C324" s="15">
        <f t="shared" ca="1" si="2"/>
        <v>-1.0437694630924921E-2</v>
      </c>
      <c r="D324" s="14">
        <f t="shared" ca="1" si="3"/>
        <v>3115.0479999999993</v>
      </c>
      <c r="E324" s="17"/>
      <c r="F324" s="17"/>
    </row>
    <row r="325" spans="1:6" ht="12.75" x14ac:dyDescent="0.2">
      <c r="A325" s="13">
        <f ca="1">IFERROR(__xludf.DUMMYFUNCTION("""COMPUTED_VALUE"""),44306.6458333333)</f>
        <v>44306.645833333299</v>
      </c>
      <c r="B325" s="14">
        <f ca="1">IFERROR(__xludf.DUMMYFUNCTION("""COMPUTED_VALUE"""),3144.55)</f>
        <v>3144.55</v>
      </c>
      <c r="C325" s="15">
        <f t="shared" ca="1" si="2"/>
        <v>-5.4557530520589204E-3</v>
      </c>
      <c r="D325" s="14">
        <f t="shared" ca="1" si="3"/>
        <v>3113.9379999999987</v>
      </c>
      <c r="E325" s="17"/>
      <c r="F325" s="17"/>
    </row>
    <row r="326" spans="1:6" ht="12.75" x14ac:dyDescent="0.2">
      <c r="A326" s="13">
        <f ca="1">IFERROR(__xludf.DUMMYFUNCTION("""COMPUTED_VALUE"""),44308.6458333333)</f>
        <v>44308.645833333299</v>
      </c>
      <c r="B326" s="14">
        <f ca="1">IFERROR(__xludf.DUMMYFUNCTION("""COMPUTED_VALUE"""),3118.8)</f>
        <v>3118.8</v>
      </c>
      <c r="C326" s="15">
        <f t="shared" ca="1" si="2"/>
        <v>-8.1887710483217191E-3</v>
      </c>
      <c r="D326" s="14">
        <f t="shared" ca="1" si="3"/>
        <v>3112.5449999999983</v>
      </c>
      <c r="E326" s="17"/>
      <c r="F326" s="17"/>
    </row>
    <row r="327" spans="1:6" ht="12.75" x14ac:dyDescent="0.2">
      <c r="A327" s="13">
        <f ca="1">IFERROR(__xludf.DUMMYFUNCTION("""COMPUTED_VALUE"""),44309.6458333333)</f>
        <v>44309.645833333299</v>
      </c>
      <c r="B327" s="14">
        <f ca="1">IFERROR(__xludf.DUMMYFUNCTION("""COMPUTED_VALUE"""),3109.5)</f>
        <v>3109.5</v>
      </c>
      <c r="C327" s="15">
        <f t="shared" ca="1" si="2"/>
        <v>-2.9819161215852708E-3</v>
      </c>
      <c r="D327" s="14">
        <f t="shared" ca="1" si="3"/>
        <v>3111.5759999999987</v>
      </c>
      <c r="E327" s="17"/>
      <c r="F327" s="17"/>
    </row>
    <row r="328" spans="1:6" ht="12.75" x14ac:dyDescent="0.2">
      <c r="A328" s="13">
        <f ca="1">IFERROR(__xludf.DUMMYFUNCTION("""COMPUTED_VALUE"""),44312.6458333333)</f>
        <v>44312.645833333299</v>
      </c>
      <c r="B328" s="14">
        <f ca="1">IFERROR(__xludf.DUMMYFUNCTION("""COMPUTED_VALUE"""),3100.8)</f>
        <v>3100.8</v>
      </c>
      <c r="C328" s="15">
        <f t="shared" ca="1" si="2"/>
        <v>-2.7978774722623445E-3</v>
      </c>
      <c r="D328" s="14">
        <f t="shared" ca="1" si="3"/>
        <v>3109.309999999999</v>
      </c>
      <c r="E328" s="17"/>
      <c r="F328" s="17"/>
    </row>
    <row r="329" spans="1:6" ht="12.75" x14ac:dyDescent="0.2">
      <c r="A329" s="13">
        <f ca="1">IFERROR(__xludf.DUMMYFUNCTION("""COMPUTED_VALUE"""),44313.6458333333)</f>
        <v>44313.645833333299</v>
      </c>
      <c r="B329" s="14">
        <f ca="1">IFERROR(__xludf.DUMMYFUNCTION("""COMPUTED_VALUE"""),3132)</f>
        <v>3132</v>
      </c>
      <c r="C329" s="15">
        <f t="shared" ca="1" si="2"/>
        <v>1.0061919504643857E-2</v>
      </c>
      <c r="D329" s="14">
        <f t="shared" ca="1" si="3"/>
        <v>3108.4119999999989</v>
      </c>
      <c r="E329" s="17"/>
      <c r="F329" s="17"/>
    </row>
    <row r="330" spans="1:6" ht="12.75" x14ac:dyDescent="0.2">
      <c r="A330" s="13">
        <f ca="1">IFERROR(__xludf.DUMMYFUNCTION("""COMPUTED_VALUE"""),44314.6458333333)</f>
        <v>44314.645833333299</v>
      </c>
      <c r="B330" s="14">
        <f ca="1">IFERROR(__xludf.DUMMYFUNCTION("""COMPUTED_VALUE"""),3124.1)</f>
        <v>3124.1</v>
      </c>
      <c r="C330" s="15">
        <f t="shared" ca="1" si="2"/>
        <v>-2.5223499361430868E-3</v>
      </c>
      <c r="D330" s="14">
        <f t="shared" ca="1" si="3"/>
        <v>3106.6279999999992</v>
      </c>
      <c r="E330" s="17"/>
      <c r="F330" s="17"/>
    </row>
    <row r="331" spans="1:6" ht="12.75" x14ac:dyDescent="0.2">
      <c r="A331" s="13">
        <f ca="1">IFERROR(__xludf.DUMMYFUNCTION("""COMPUTED_VALUE"""),44315.6458333333)</f>
        <v>44315.645833333299</v>
      </c>
      <c r="B331" s="14">
        <f ca="1">IFERROR(__xludf.DUMMYFUNCTION("""COMPUTED_VALUE"""),3115.25)</f>
        <v>3115.25</v>
      </c>
      <c r="C331" s="15">
        <f t="shared" ca="1" si="2"/>
        <v>-2.8328158509650647E-3</v>
      </c>
      <c r="D331" s="14">
        <f t="shared" ca="1" si="3"/>
        <v>3104.8129999999992</v>
      </c>
      <c r="E331" s="17"/>
      <c r="F331" s="17"/>
    </row>
    <row r="332" spans="1:6" ht="12.75" x14ac:dyDescent="0.2">
      <c r="A332" s="13">
        <f ca="1">IFERROR(__xludf.DUMMYFUNCTION("""COMPUTED_VALUE"""),44316.6458333333)</f>
        <v>44316.645833333299</v>
      </c>
      <c r="B332" s="14">
        <f ca="1">IFERROR(__xludf.DUMMYFUNCTION("""COMPUTED_VALUE"""),3035.65)</f>
        <v>3035.65</v>
      </c>
      <c r="C332" s="15">
        <f t="shared" ca="1" si="2"/>
        <v>-2.5551721370676517E-2</v>
      </c>
      <c r="D332" s="14">
        <f t="shared" ca="1" si="3"/>
        <v>3101.7099999999996</v>
      </c>
      <c r="E332" s="17"/>
      <c r="F332" s="17"/>
    </row>
    <row r="333" spans="1:6" ht="12.75" x14ac:dyDescent="0.2">
      <c r="A333" s="13">
        <f ca="1">IFERROR(__xludf.DUMMYFUNCTION("""COMPUTED_VALUE"""),44319.6458333333)</f>
        <v>44319.645833333299</v>
      </c>
      <c r="B333" s="14">
        <f ca="1">IFERROR(__xludf.DUMMYFUNCTION("""COMPUTED_VALUE"""),3037)</f>
        <v>3037</v>
      </c>
      <c r="C333" s="15">
        <f t="shared" ca="1" si="2"/>
        <v>4.4471529985345981E-4</v>
      </c>
      <c r="D333" s="14">
        <f t="shared" ca="1" si="3"/>
        <v>3099.6529999999998</v>
      </c>
      <c r="E333" s="17"/>
      <c r="F333" s="17"/>
    </row>
    <row r="334" spans="1:6" ht="12.75" x14ac:dyDescent="0.2">
      <c r="A334" s="13">
        <f ca="1">IFERROR(__xludf.DUMMYFUNCTION("""COMPUTED_VALUE"""),44320.6458333333)</f>
        <v>44320.645833333299</v>
      </c>
      <c r="B334" s="14">
        <f ca="1">IFERROR(__xludf.DUMMYFUNCTION("""COMPUTED_VALUE"""),3049.75)</f>
        <v>3049.75</v>
      </c>
      <c r="C334" s="15">
        <f t="shared" ca="1" si="2"/>
        <v>4.1982219295357837E-3</v>
      </c>
      <c r="D334" s="14">
        <f t="shared" ca="1" si="3"/>
        <v>3098.4719999999998</v>
      </c>
      <c r="E334" s="17"/>
      <c r="F334" s="17"/>
    </row>
    <row r="335" spans="1:6" ht="12.75" x14ac:dyDescent="0.2">
      <c r="A335" s="13">
        <f ca="1">IFERROR(__xludf.DUMMYFUNCTION("""COMPUTED_VALUE"""),44321.6458333333)</f>
        <v>44321.645833333299</v>
      </c>
      <c r="B335" s="14">
        <f ca="1">IFERROR(__xludf.DUMMYFUNCTION("""COMPUTED_VALUE"""),3095.7)</f>
        <v>3095.7</v>
      </c>
      <c r="C335" s="15">
        <f t="shared" ca="1" si="2"/>
        <v>1.5066808754815808E-2</v>
      </c>
      <c r="D335" s="14">
        <f t="shared" ca="1" si="3"/>
        <v>3098.9240000000004</v>
      </c>
      <c r="E335" s="17"/>
      <c r="F335" s="17"/>
    </row>
    <row r="336" spans="1:6" ht="12.75" x14ac:dyDescent="0.2">
      <c r="A336" s="13">
        <f ca="1">IFERROR(__xludf.DUMMYFUNCTION("""COMPUTED_VALUE"""),44322.6458333333)</f>
        <v>44322.645833333299</v>
      </c>
      <c r="B336" s="14">
        <f ca="1">IFERROR(__xludf.DUMMYFUNCTION("""COMPUTED_VALUE"""),3111.45)</f>
        <v>3111.45</v>
      </c>
      <c r="C336" s="15">
        <f t="shared" ca="1" si="2"/>
        <v>5.0877022967341645E-3</v>
      </c>
      <c r="D336" s="14">
        <f t="shared" ca="1" si="3"/>
        <v>3100.0060000000008</v>
      </c>
      <c r="E336" s="17"/>
      <c r="F336" s="17"/>
    </row>
    <row r="337" spans="1:6" ht="12.75" x14ac:dyDescent="0.2">
      <c r="A337" s="13">
        <f ca="1">IFERROR(__xludf.DUMMYFUNCTION("""COMPUTED_VALUE"""),44323.6458333333)</f>
        <v>44323.645833333299</v>
      </c>
      <c r="B337" s="14">
        <f ca="1">IFERROR(__xludf.DUMMYFUNCTION("""COMPUTED_VALUE"""),3132.9)</f>
        <v>3132.9</v>
      </c>
      <c r="C337" s="15">
        <f t="shared" ca="1" si="2"/>
        <v>6.8938919153449518E-3</v>
      </c>
      <c r="D337" s="14">
        <f t="shared" ca="1" si="3"/>
        <v>3101.2270000000003</v>
      </c>
      <c r="E337" s="17"/>
      <c r="F337" s="17"/>
    </row>
    <row r="338" spans="1:6" ht="12.75" x14ac:dyDescent="0.2">
      <c r="A338" s="13">
        <f ca="1">IFERROR(__xludf.DUMMYFUNCTION("""COMPUTED_VALUE"""),44326.6458333333)</f>
        <v>44326.645833333299</v>
      </c>
      <c r="B338" s="14">
        <f ca="1">IFERROR(__xludf.DUMMYFUNCTION("""COMPUTED_VALUE"""),3145.5)</f>
        <v>3145.5</v>
      </c>
      <c r="C338" s="15">
        <f t="shared" ca="1" si="2"/>
        <v>4.0218328066647935E-3</v>
      </c>
      <c r="D338" s="14">
        <f t="shared" ca="1" si="3"/>
        <v>3104.9680000000003</v>
      </c>
      <c r="E338" s="17"/>
      <c r="F338" s="17"/>
    </row>
    <row r="339" spans="1:6" ht="12.75" x14ac:dyDescent="0.2">
      <c r="A339" s="13">
        <f ca="1">IFERROR(__xludf.DUMMYFUNCTION("""COMPUTED_VALUE"""),44327.6458333333)</f>
        <v>44327.645833333299</v>
      </c>
      <c r="B339" s="14">
        <f ca="1">IFERROR(__xludf.DUMMYFUNCTION("""COMPUTED_VALUE"""),3122.6)</f>
        <v>3122.6</v>
      </c>
      <c r="C339" s="15">
        <f t="shared" ca="1" si="2"/>
        <v>-7.2802416150056226E-3</v>
      </c>
      <c r="D339" s="14">
        <f t="shared" ca="1" si="3"/>
        <v>3107.8160000000007</v>
      </c>
      <c r="E339" s="17"/>
      <c r="F339" s="17"/>
    </row>
    <row r="340" spans="1:6" ht="12.75" x14ac:dyDescent="0.2">
      <c r="A340" s="13">
        <f ca="1">IFERROR(__xludf.DUMMYFUNCTION("""COMPUTED_VALUE"""),44328.6458333333)</f>
        <v>44328.645833333299</v>
      </c>
      <c r="B340" s="14">
        <f ca="1">IFERROR(__xludf.DUMMYFUNCTION("""COMPUTED_VALUE"""),3087.6)</f>
        <v>3087.6</v>
      </c>
      <c r="C340" s="15">
        <f t="shared" ca="1" si="2"/>
        <v>-1.1208608211106141E-2</v>
      </c>
      <c r="D340" s="14">
        <f t="shared" ca="1" si="3"/>
        <v>3110.6060000000002</v>
      </c>
      <c r="E340" s="17"/>
      <c r="F340" s="17"/>
    </row>
    <row r="341" spans="1:6" ht="12.75" x14ac:dyDescent="0.2">
      <c r="A341" s="13">
        <f ca="1">IFERROR(__xludf.DUMMYFUNCTION("""COMPUTED_VALUE"""),44330.6458333333)</f>
        <v>44330.645833333299</v>
      </c>
      <c r="B341" s="14">
        <f ca="1">IFERROR(__xludf.DUMMYFUNCTION("""COMPUTED_VALUE"""),3051.5)</f>
        <v>3051.5</v>
      </c>
      <c r="C341" s="15">
        <f t="shared" ca="1" si="2"/>
        <v>-1.1691929006347968E-2</v>
      </c>
      <c r="D341" s="14">
        <f t="shared" ca="1" si="3"/>
        <v>3111.7300000000005</v>
      </c>
      <c r="E341" s="17"/>
      <c r="F341" s="17"/>
    </row>
    <row r="342" spans="1:6" ht="12.75" x14ac:dyDescent="0.2">
      <c r="A342" s="13">
        <f ca="1">IFERROR(__xludf.DUMMYFUNCTION("""COMPUTED_VALUE"""),44333.6458333333)</f>
        <v>44333.645833333299</v>
      </c>
      <c r="B342" s="14">
        <f ca="1">IFERROR(__xludf.DUMMYFUNCTION("""COMPUTED_VALUE"""),3069.75)</f>
        <v>3069.75</v>
      </c>
      <c r="C342" s="15">
        <f t="shared" ca="1" si="2"/>
        <v>5.9806652466001253E-3</v>
      </c>
      <c r="D342" s="14">
        <f t="shared" ca="1" si="3"/>
        <v>3115.239</v>
      </c>
      <c r="E342" s="17"/>
      <c r="F342" s="17"/>
    </row>
    <row r="343" spans="1:6" ht="12.75" x14ac:dyDescent="0.2">
      <c r="A343" s="13">
        <f ca="1">IFERROR(__xludf.DUMMYFUNCTION("""COMPUTED_VALUE"""),44334.6458333333)</f>
        <v>44334.645833333299</v>
      </c>
      <c r="B343" s="14">
        <f ca="1">IFERROR(__xludf.DUMMYFUNCTION("""COMPUTED_VALUE"""),3088.8)</f>
        <v>3088.8</v>
      </c>
      <c r="C343" s="15">
        <f t="shared" ca="1" si="2"/>
        <v>6.2057170779379334E-3</v>
      </c>
      <c r="D343" s="14">
        <f t="shared" ca="1" si="3"/>
        <v>3118.5310000000004</v>
      </c>
      <c r="E343" s="17"/>
      <c r="F343" s="17"/>
    </row>
    <row r="344" spans="1:6" ht="12.75" x14ac:dyDescent="0.2">
      <c r="A344" s="13">
        <f ca="1">IFERROR(__xludf.DUMMYFUNCTION("""COMPUTED_VALUE"""),44335.6458333333)</f>
        <v>44335.645833333299</v>
      </c>
      <c r="B344" s="14">
        <f ca="1">IFERROR(__xludf.DUMMYFUNCTION("""COMPUTED_VALUE"""),3082)</f>
        <v>3082</v>
      </c>
      <c r="C344" s="15">
        <f t="shared" ca="1" si="2"/>
        <v>-2.2015022015022812E-3</v>
      </c>
      <c r="D344" s="14">
        <f t="shared" ca="1" si="3"/>
        <v>3120.0440000000003</v>
      </c>
      <c r="E344" s="17"/>
      <c r="F344" s="17"/>
    </row>
    <row r="345" spans="1:6" ht="12.75" x14ac:dyDescent="0.2">
      <c r="A345" s="13">
        <f ca="1">IFERROR(__xludf.DUMMYFUNCTION("""COMPUTED_VALUE"""),44336.6458333333)</f>
        <v>44336.645833333299</v>
      </c>
      <c r="B345" s="14">
        <f ca="1">IFERROR(__xludf.DUMMYFUNCTION("""COMPUTED_VALUE"""),3060)</f>
        <v>3060</v>
      </c>
      <c r="C345" s="15">
        <f t="shared" ca="1" si="2"/>
        <v>-7.1382219338091968E-3</v>
      </c>
      <c r="D345" s="14">
        <f t="shared" ca="1" si="3"/>
        <v>3120.0619999999999</v>
      </c>
      <c r="E345" s="17"/>
      <c r="F345" s="17"/>
    </row>
    <row r="346" spans="1:6" ht="12.75" x14ac:dyDescent="0.2">
      <c r="A346" s="13">
        <f ca="1">IFERROR(__xludf.DUMMYFUNCTION("""COMPUTED_VALUE"""),44337.6458333333)</f>
        <v>44337.645833333299</v>
      </c>
      <c r="B346" s="14">
        <f ca="1">IFERROR(__xludf.DUMMYFUNCTION("""COMPUTED_VALUE"""),3080.5)</f>
        <v>3080.5</v>
      </c>
      <c r="C346" s="15">
        <f t="shared" ca="1" si="2"/>
        <v>6.6993464052287344E-3</v>
      </c>
      <c r="D346" s="14">
        <f t="shared" ca="1" si="3"/>
        <v>3120.6780000000003</v>
      </c>
      <c r="E346" s="17"/>
      <c r="F346" s="17"/>
    </row>
    <row r="347" spans="1:6" ht="12.75" x14ac:dyDescent="0.2">
      <c r="A347" s="13">
        <f ca="1">IFERROR(__xludf.DUMMYFUNCTION("""COMPUTED_VALUE"""),44340.6458333333)</f>
        <v>44340.645833333299</v>
      </c>
      <c r="B347" s="14">
        <f ca="1">IFERROR(__xludf.DUMMYFUNCTION("""COMPUTED_VALUE"""),3081.5)</f>
        <v>3081.5</v>
      </c>
      <c r="C347" s="15">
        <f t="shared" ca="1" si="2"/>
        <v>3.246226261970353E-4</v>
      </c>
      <c r="D347" s="14">
        <f t="shared" ca="1" si="3"/>
        <v>3122.1469999999999</v>
      </c>
      <c r="E347" s="17"/>
      <c r="F347" s="17"/>
    </row>
    <row r="348" spans="1:6" ht="12.75" x14ac:dyDescent="0.2">
      <c r="A348" s="13">
        <f ca="1">IFERROR(__xludf.DUMMYFUNCTION("""COMPUTED_VALUE"""),44341.6458333333)</f>
        <v>44341.645833333299</v>
      </c>
      <c r="B348" s="14">
        <f ca="1">IFERROR(__xludf.DUMMYFUNCTION("""COMPUTED_VALUE"""),3114)</f>
        <v>3114</v>
      </c>
      <c r="C348" s="15">
        <f t="shared" ca="1" si="2"/>
        <v>1.0546811617718754E-2</v>
      </c>
      <c r="D348" s="14">
        <f t="shared" ca="1" si="3"/>
        <v>3124.288</v>
      </c>
      <c r="E348" s="17"/>
      <c r="F348" s="17"/>
    </row>
    <row r="349" spans="1:6" ht="12.75" x14ac:dyDescent="0.2">
      <c r="A349" s="13">
        <f ca="1">IFERROR(__xludf.DUMMYFUNCTION("""COMPUTED_VALUE"""),44342.6458333333)</f>
        <v>44342.645833333299</v>
      </c>
      <c r="B349" s="14">
        <f ca="1">IFERROR(__xludf.DUMMYFUNCTION("""COMPUTED_VALUE"""),3158.5)</f>
        <v>3158.5</v>
      </c>
      <c r="C349" s="15">
        <f t="shared" ca="1" si="2"/>
        <v>1.4290301862556198E-2</v>
      </c>
      <c r="D349" s="14">
        <f t="shared" ca="1" si="3"/>
        <v>3126.4390000000003</v>
      </c>
      <c r="E349" s="17"/>
      <c r="F349" s="17"/>
    </row>
    <row r="350" spans="1:6" ht="12.75" x14ac:dyDescent="0.2">
      <c r="A350" s="13">
        <f ca="1">IFERROR(__xludf.DUMMYFUNCTION("""COMPUTED_VALUE"""),44343.6458333333)</f>
        <v>44343.645833333299</v>
      </c>
      <c r="B350" s="14">
        <f ca="1">IFERROR(__xludf.DUMMYFUNCTION("""COMPUTED_VALUE"""),3180)</f>
        <v>3180</v>
      </c>
      <c r="C350" s="15">
        <f t="shared" ca="1" si="2"/>
        <v>6.8070286528414403E-3</v>
      </c>
      <c r="D350" s="14">
        <f t="shared" ca="1" si="3"/>
        <v>3128.62</v>
      </c>
      <c r="E350" s="17"/>
      <c r="F350" s="17"/>
    </row>
    <row r="351" spans="1:6" ht="12.75" x14ac:dyDescent="0.2">
      <c r="A351" s="13">
        <f ca="1">IFERROR(__xludf.DUMMYFUNCTION("""COMPUTED_VALUE"""),44344.6458333333)</f>
        <v>44344.645833333299</v>
      </c>
      <c r="B351" s="14">
        <f ca="1">IFERROR(__xludf.DUMMYFUNCTION("""COMPUTED_VALUE"""),3143.6)</f>
        <v>3143.6</v>
      </c>
      <c r="C351" s="15">
        <f t="shared" ca="1" si="2"/>
        <v>-1.144654088050312E-2</v>
      </c>
      <c r="D351" s="14">
        <f t="shared" ca="1" si="3"/>
        <v>3130.3330000000005</v>
      </c>
      <c r="E351" s="17"/>
      <c r="F351" s="17"/>
    </row>
    <row r="352" spans="1:6" ht="12.75" x14ac:dyDescent="0.2">
      <c r="A352" s="13">
        <f ca="1">IFERROR(__xludf.DUMMYFUNCTION("""COMPUTED_VALUE"""),44347.6458333333)</f>
        <v>44347.645833333299</v>
      </c>
      <c r="B352" s="14">
        <f ca="1">IFERROR(__xludf.DUMMYFUNCTION("""COMPUTED_VALUE"""),3159.15)</f>
        <v>3159.15</v>
      </c>
      <c r="C352" s="15">
        <f t="shared" ca="1" si="2"/>
        <v>4.9465580862706471E-3</v>
      </c>
      <c r="D352" s="14">
        <f t="shared" ca="1" si="3"/>
        <v>3132.1930000000007</v>
      </c>
      <c r="E352" s="17"/>
      <c r="F352" s="17"/>
    </row>
    <row r="353" spans="1:6" ht="12.75" x14ac:dyDescent="0.2">
      <c r="A353" s="13">
        <f ca="1">IFERROR(__xludf.DUMMYFUNCTION("""COMPUTED_VALUE"""),44348.6458333333)</f>
        <v>44348.645833333299</v>
      </c>
      <c r="B353" s="14">
        <f ca="1">IFERROR(__xludf.DUMMYFUNCTION("""COMPUTED_VALUE"""),3153)</f>
        <v>3153</v>
      </c>
      <c r="C353" s="15">
        <f t="shared" ca="1" si="2"/>
        <v>-1.9467261763449484E-3</v>
      </c>
      <c r="D353" s="14">
        <f t="shared" ca="1" si="3"/>
        <v>3133.0520000000001</v>
      </c>
      <c r="E353" s="17"/>
      <c r="F353" s="17"/>
    </row>
    <row r="354" spans="1:6" ht="12.75" x14ac:dyDescent="0.2">
      <c r="A354" s="13">
        <f ca="1">IFERROR(__xludf.DUMMYFUNCTION("""COMPUTED_VALUE"""),44349.6458333333)</f>
        <v>44349.645833333299</v>
      </c>
      <c r="B354" s="14">
        <f ca="1">IFERROR(__xludf.DUMMYFUNCTION("""COMPUTED_VALUE"""),3129.45)</f>
        <v>3129.45</v>
      </c>
      <c r="C354" s="15">
        <f t="shared" ca="1" si="2"/>
        <v>-7.4690770694577635E-3</v>
      </c>
      <c r="D354" s="14">
        <f t="shared" ca="1" si="3"/>
        <v>3133.3820000000005</v>
      </c>
      <c r="E354" s="17"/>
      <c r="F354" s="17"/>
    </row>
    <row r="355" spans="1:6" ht="12.75" x14ac:dyDescent="0.2">
      <c r="A355" s="13">
        <f ca="1">IFERROR(__xludf.DUMMYFUNCTION("""COMPUTED_VALUE"""),44350.6458333333)</f>
        <v>44350.645833333299</v>
      </c>
      <c r="B355" s="14">
        <f ca="1">IFERROR(__xludf.DUMMYFUNCTION("""COMPUTED_VALUE"""),3141.25)</f>
        <v>3141.25</v>
      </c>
      <c r="C355" s="15">
        <f t="shared" ca="1" si="2"/>
        <v>3.7706306219942309E-3</v>
      </c>
      <c r="D355" s="14">
        <f t="shared" ca="1" si="3"/>
        <v>3135.4770000000008</v>
      </c>
      <c r="E355" s="17"/>
      <c r="F355" s="17"/>
    </row>
    <row r="356" spans="1:6" ht="12.75" x14ac:dyDescent="0.2">
      <c r="A356" s="13">
        <f ca="1">IFERROR(__xludf.DUMMYFUNCTION("""COMPUTED_VALUE"""),44351.6458333333)</f>
        <v>44351.645833333299</v>
      </c>
      <c r="B356" s="14">
        <f ca="1">IFERROR(__xludf.DUMMYFUNCTION("""COMPUTED_VALUE"""),3143.75)</f>
        <v>3143.75</v>
      </c>
      <c r="C356" s="15">
        <f t="shared" ca="1" si="2"/>
        <v>7.9586152009558653E-4</v>
      </c>
      <c r="D356" s="14">
        <f t="shared" ca="1" si="3"/>
        <v>3137.3480000000004</v>
      </c>
      <c r="E356" s="17"/>
      <c r="F356" s="17"/>
    </row>
    <row r="357" spans="1:6" ht="12.75" x14ac:dyDescent="0.2">
      <c r="A357" s="13">
        <f ca="1">IFERROR(__xludf.DUMMYFUNCTION("""COMPUTED_VALUE"""),44354.6458333333)</f>
        <v>44354.645833333299</v>
      </c>
      <c r="B357" s="14">
        <f ca="1">IFERROR(__xludf.DUMMYFUNCTION("""COMPUTED_VALUE"""),3183.2)</f>
        <v>3183.2</v>
      </c>
      <c r="C357" s="15">
        <f t="shared" ca="1" si="2"/>
        <v>1.254870775347916E-2</v>
      </c>
      <c r="D357" s="14">
        <f t="shared" ca="1" si="3"/>
        <v>3138.4190000000008</v>
      </c>
      <c r="E357" s="17"/>
      <c r="F357" s="17"/>
    </row>
    <row r="358" spans="1:6" ht="12.75" x14ac:dyDescent="0.2">
      <c r="A358" s="13">
        <f ca="1">IFERROR(__xludf.DUMMYFUNCTION("""COMPUTED_VALUE"""),44355.6458333333)</f>
        <v>44355.645833333299</v>
      </c>
      <c r="B358" s="14">
        <f ca="1">IFERROR(__xludf.DUMMYFUNCTION("""COMPUTED_VALUE"""),3200.15)</f>
        <v>3200.15</v>
      </c>
      <c r="C358" s="15">
        <f t="shared" ca="1" si="2"/>
        <v>5.3248303593869117E-3</v>
      </c>
      <c r="D358" s="14">
        <f t="shared" ca="1" si="3"/>
        <v>3139.5700000000006</v>
      </c>
      <c r="E358" s="17"/>
      <c r="F358" s="17"/>
    </row>
    <row r="359" spans="1:6" ht="12.75" x14ac:dyDescent="0.2">
      <c r="A359" s="13">
        <f ca="1">IFERROR(__xludf.DUMMYFUNCTION("""COMPUTED_VALUE"""),44356.6458333333)</f>
        <v>44356.645833333299</v>
      </c>
      <c r="B359" s="14">
        <f ca="1">IFERROR(__xludf.DUMMYFUNCTION("""COMPUTED_VALUE"""),3200.25)</f>
        <v>3200.25</v>
      </c>
      <c r="C359" s="15">
        <f t="shared" ca="1" si="2"/>
        <v>3.1248535224959184E-5</v>
      </c>
      <c r="D359" s="14">
        <f t="shared" ca="1" si="3"/>
        <v>3141.1530000000002</v>
      </c>
      <c r="E359" s="17"/>
      <c r="F359" s="17"/>
    </row>
    <row r="360" spans="1:6" ht="12.75" x14ac:dyDescent="0.2">
      <c r="A360" s="13">
        <f ca="1">IFERROR(__xludf.DUMMYFUNCTION("""COMPUTED_VALUE"""),44357.6458333333)</f>
        <v>44357.645833333299</v>
      </c>
      <c r="B360" s="14">
        <f ca="1">IFERROR(__xludf.DUMMYFUNCTION("""COMPUTED_VALUE"""),3216.8)</f>
        <v>3216.8</v>
      </c>
      <c r="C360" s="15">
        <f t="shared" ca="1" si="2"/>
        <v>5.1714709788297508E-3</v>
      </c>
      <c r="D360" s="14">
        <f t="shared" ca="1" si="3"/>
        <v>3144.1920000000009</v>
      </c>
      <c r="E360" s="17"/>
      <c r="F360" s="17"/>
    </row>
    <row r="361" spans="1:6" ht="12.75" x14ac:dyDescent="0.2">
      <c r="A361" s="13">
        <f ca="1">IFERROR(__xludf.DUMMYFUNCTION("""COMPUTED_VALUE"""),44358.6458333333)</f>
        <v>44358.645833333299</v>
      </c>
      <c r="B361" s="14">
        <f ca="1">IFERROR(__xludf.DUMMYFUNCTION("""COMPUTED_VALUE"""),3273.8)</f>
        <v>3273.8</v>
      </c>
      <c r="C361" s="15">
        <f t="shared" ca="1" si="2"/>
        <v>1.7719472767968147E-2</v>
      </c>
      <c r="D361" s="14">
        <f t="shared" ca="1" si="3"/>
        <v>3148.3320000000003</v>
      </c>
      <c r="E361" s="17"/>
      <c r="F361" s="17"/>
    </row>
    <row r="362" spans="1:6" ht="12.75" x14ac:dyDescent="0.2">
      <c r="A362" s="13">
        <f ca="1">IFERROR(__xludf.DUMMYFUNCTION("""COMPUTED_VALUE"""),44361.6458333333)</f>
        <v>44361.645833333299</v>
      </c>
      <c r="B362" s="14">
        <f ca="1">IFERROR(__xludf.DUMMYFUNCTION("""COMPUTED_VALUE"""),3276.35)</f>
        <v>3276.35</v>
      </c>
      <c r="C362" s="15">
        <f t="shared" ca="1" si="2"/>
        <v>7.7891135683305635E-4</v>
      </c>
      <c r="D362" s="14">
        <f t="shared" ca="1" si="3"/>
        <v>3150.6880000000001</v>
      </c>
      <c r="E362" s="17"/>
      <c r="F362" s="17"/>
    </row>
    <row r="363" spans="1:6" ht="12.75" x14ac:dyDescent="0.2">
      <c r="A363" s="13">
        <f ca="1">IFERROR(__xludf.DUMMYFUNCTION("""COMPUTED_VALUE"""),44362.6458333333)</f>
        <v>44362.645833333299</v>
      </c>
      <c r="B363" s="14">
        <f ca="1">IFERROR(__xludf.DUMMYFUNCTION("""COMPUTED_VALUE"""),3262.75)</f>
        <v>3262.75</v>
      </c>
      <c r="C363" s="15">
        <f t="shared" ca="1" si="2"/>
        <v>-4.1509606726998216E-3</v>
      </c>
      <c r="D363" s="14">
        <f t="shared" ca="1" si="3"/>
        <v>3152.386</v>
      </c>
      <c r="E363" s="17"/>
      <c r="F363" s="17"/>
    </row>
    <row r="364" spans="1:6" ht="12.75" x14ac:dyDescent="0.2">
      <c r="A364" s="13">
        <f ca="1">IFERROR(__xludf.DUMMYFUNCTION("""COMPUTED_VALUE"""),44363.6458333333)</f>
        <v>44363.645833333299</v>
      </c>
      <c r="B364" s="14">
        <f ca="1">IFERROR(__xludf.DUMMYFUNCTION("""COMPUTED_VALUE"""),3274.35)</f>
        <v>3274.35</v>
      </c>
      <c r="C364" s="15">
        <f t="shared" ca="1" si="2"/>
        <v>3.5552831200673651E-3</v>
      </c>
      <c r="D364" s="14">
        <f t="shared" ca="1" si="3"/>
        <v>3154.5729999999999</v>
      </c>
      <c r="E364" s="17"/>
      <c r="F364" s="17"/>
    </row>
    <row r="365" spans="1:6" ht="12.75" x14ac:dyDescent="0.2">
      <c r="A365" s="13">
        <f ca="1">IFERROR(__xludf.DUMMYFUNCTION("""COMPUTED_VALUE"""),44364.6458333333)</f>
        <v>44364.645833333299</v>
      </c>
      <c r="B365" s="14">
        <f ca="1">IFERROR(__xludf.DUMMYFUNCTION("""COMPUTED_VALUE"""),3317.75)</f>
        <v>3317.75</v>
      </c>
      <c r="C365" s="15">
        <f t="shared" ca="1" si="2"/>
        <v>1.325453906882279E-2</v>
      </c>
      <c r="D365" s="14">
        <f t="shared" ca="1" si="3"/>
        <v>3156.15</v>
      </c>
      <c r="E365" s="17"/>
      <c r="F365" s="17"/>
    </row>
    <row r="366" spans="1:6" ht="12.75" x14ac:dyDescent="0.2">
      <c r="A366" s="13">
        <f ca="1">IFERROR(__xludf.DUMMYFUNCTION("""COMPUTED_VALUE"""),44365.6458333333)</f>
        <v>44365.645833333299</v>
      </c>
      <c r="B366" s="14">
        <f ca="1">IFERROR(__xludf.DUMMYFUNCTION("""COMPUTED_VALUE"""),3297.3)</f>
        <v>3297.3</v>
      </c>
      <c r="C366" s="15">
        <f t="shared" ca="1" si="2"/>
        <v>-6.1638158390474596E-3</v>
      </c>
      <c r="D366" s="14">
        <f t="shared" ca="1" si="3"/>
        <v>3156.8019999999997</v>
      </c>
      <c r="E366" s="17"/>
      <c r="F366" s="17"/>
    </row>
    <row r="367" spans="1:6" ht="12.75" x14ac:dyDescent="0.2">
      <c r="A367" s="13">
        <f ca="1">IFERROR(__xludf.DUMMYFUNCTION("""COMPUTED_VALUE"""),44368.6458333333)</f>
        <v>44368.645833333299</v>
      </c>
      <c r="B367" s="14">
        <f ca="1">IFERROR(__xludf.DUMMYFUNCTION("""COMPUTED_VALUE"""),3273.1)</f>
        <v>3273.1</v>
      </c>
      <c r="C367" s="15">
        <f t="shared" ca="1" si="2"/>
        <v>-7.3393382464441714E-3</v>
      </c>
      <c r="D367" s="14">
        <f t="shared" ca="1" si="3"/>
        <v>3156.8359999999993</v>
      </c>
      <c r="E367" s="17"/>
      <c r="F367" s="17"/>
    </row>
    <row r="368" spans="1:6" ht="12.75" x14ac:dyDescent="0.2">
      <c r="A368" s="13">
        <f ca="1">IFERROR(__xludf.DUMMYFUNCTION("""COMPUTED_VALUE"""),44369.6458333333)</f>
        <v>44369.645833333299</v>
      </c>
      <c r="B368" s="14">
        <f ca="1">IFERROR(__xludf.DUMMYFUNCTION("""COMPUTED_VALUE"""),3301.2)</f>
        <v>3301.2</v>
      </c>
      <c r="C368" s="15">
        <f t="shared" ca="1" si="2"/>
        <v>8.585133359811703E-3</v>
      </c>
      <c r="D368" s="14">
        <f t="shared" ca="1" si="3"/>
        <v>3156.5129999999999</v>
      </c>
      <c r="E368" s="17"/>
      <c r="F368" s="17"/>
    </row>
    <row r="369" spans="1:6" ht="12.75" x14ac:dyDescent="0.2">
      <c r="A369" s="13">
        <f ca="1">IFERROR(__xludf.DUMMYFUNCTION("""COMPUTED_VALUE"""),44370.6458333333)</f>
        <v>44370.645833333299</v>
      </c>
      <c r="B369" s="14">
        <f ca="1">IFERROR(__xludf.DUMMYFUNCTION("""COMPUTED_VALUE"""),3261.4)</f>
        <v>3261.4</v>
      </c>
      <c r="C369" s="15">
        <f t="shared" ca="1" si="2"/>
        <v>-1.2056221979885984E-2</v>
      </c>
      <c r="D369" s="14">
        <f t="shared" ca="1" si="3"/>
        <v>3155.2959999999998</v>
      </c>
      <c r="E369" s="17"/>
      <c r="F369" s="17"/>
    </row>
    <row r="370" spans="1:6" ht="12.75" x14ac:dyDescent="0.2">
      <c r="A370" s="13">
        <f ca="1">IFERROR(__xludf.DUMMYFUNCTION("""COMPUTED_VALUE"""),44371.6458333333)</f>
        <v>44371.645833333299</v>
      </c>
      <c r="B370" s="14">
        <f ca="1">IFERROR(__xludf.DUMMYFUNCTION("""COMPUTED_VALUE"""),3373.6)</f>
        <v>3373.6</v>
      </c>
      <c r="C370" s="15">
        <f t="shared" ca="1" si="2"/>
        <v>3.4402403875636089E-2</v>
      </c>
      <c r="D370" s="14">
        <f t="shared" ca="1" si="3"/>
        <v>3157.837</v>
      </c>
      <c r="E370" s="17"/>
      <c r="F370" s="17"/>
    </row>
    <row r="371" spans="1:6" ht="12.75" x14ac:dyDescent="0.2">
      <c r="A371" s="13">
        <f ca="1">IFERROR(__xludf.DUMMYFUNCTION("""COMPUTED_VALUE"""),44372.6458333333)</f>
        <v>44372.645833333299</v>
      </c>
      <c r="B371" s="14">
        <f ca="1">IFERROR(__xludf.DUMMYFUNCTION("""COMPUTED_VALUE"""),3380.8)</f>
        <v>3380.8</v>
      </c>
      <c r="C371" s="15">
        <f t="shared" ca="1" si="2"/>
        <v>2.1342186388428885E-3</v>
      </c>
      <c r="D371" s="14">
        <f t="shared" ca="1" si="3"/>
        <v>3163.3719999999994</v>
      </c>
      <c r="E371" s="17"/>
      <c r="F371" s="17"/>
    </row>
    <row r="372" spans="1:6" ht="12.75" x14ac:dyDescent="0.2">
      <c r="A372" s="13">
        <f ca="1">IFERROR(__xludf.DUMMYFUNCTION("""COMPUTED_VALUE"""),44375.6458333333)</f>
        <v>44375.645833333299</v>
      </c>
      <c r="B372" s="14">
        <f ca="1">IFERROR(__xludf.DUMMYFUNCTION("""COMPUTED_VALUE"""),3336.75)</f>
        <v>3336.75</v>
      </c>
      <c r="C372" s="15">
        <f t="shared" ca="1" si="2"/>
        <v>-1.3029460482726019E-2</v>
      </c>
      <c r="D372" s="14">
        <f t="shared" ca="1" si="3"/>
        <v>3165.7280000000001</v>
      </c>
      <c r="E372" s="17"/>
      <c r="F372" s="17"/>
    </row>
    <row r="373" spans="1:6" ht="12.75" x14ac:dyDescent="0.2">
      <c r="A373" s="13">
        <f ca="1">IFERROR(__xludf.DUMMYFUNCTION("""COMPUTED_VALUE"""),44376.6458333333)</f>
        <v>44376.645833333299</v>
      </c>
      <c r="B373" s="14">
        <f ca="1">IFERROR(__xludf.DUMMYFUNCTION("""COMPUTED_VALUE"""),3340.85)</f>
        <v>3340.85</v>
      </c>
      <c r="C373" s="15">
        <f t="shared" ca="1" si="2"/>
        <v>1.228740540945461E-3</v>
      </c>
      <c r="D373" s="14">
        <f t="shared" ca="1" si="3"/>
        <v>3168.6420000000003</v>
      </c>
      <c r="E373" s="17"/>
      <c r="F373" s="17"/>
    </row>
    <row r="374" spans="1:6" ht="12.75" x14ac:dyDescent="0.2">
      <c r="A374" s="13">
        <f ca="1">IFERROR(__xludf.DUMMYFUNCTION("""COMPUTED_VALUE"""),44377.6458333333)</f>
        <v>44377.645833333299</v>
      </c>
      <c r="B374" s="14">
        <f ca="1">IFERROR(__xludf.DUMMYFUNCTION("""COMPUTED_VALUE"""),3345.75)</f>
        <v>3345.75</v>
      </c>
      <c r="C374" s="15">
        <f t="shared" ca="1" si="2"/>
        <v>1.4666926081685627E-3</v>
      </c>
      <c r="D374" s="14">
        <f t="shared" ca="1" si="3"/>
        <v>3172.3210000000004</v>
      </c>
      <c r="E374" s="17"/>
      <c r="F374" s="17"/>
    </row>
    <row r="375" spans="1:6" ht="12.75" x14ac:dyDescent="0.2">
      <c r="A375" s="13">
        <f ca="1">IFERROR(__xludf.DUMMYFUNCTION("""COMPUTED_VALUE"""),44378.6458333333)</f>
        <v>44378.645833333299</v>
      </c>
      <c r="B375" s="14">
        <f ca="1">IFERROR(__xludf.DUMMYFUNCTION("""COMPUTED_VALUE"""),3341.5)</f>
        <v>3341.5</v>
      </c>
      <c r="C375" s="15">
        <f t="shared" ca="1" si="2"/>
        <v>-1.2702682507659269E-3</v>
      </c>
      <c r="D375" s="14">
        <f t="shared" ca="1" si="3"/>
        <v>3176.26</v>
      </c>
      <c r="E375" s="17"/>
      <c r="F375" s="17"/>
    </row>
    <row r="376" spans="1:6" ht="12.75" x14ac:dyDescent="0.2">
      <c r="A376" s="13">
        <f ca="1">IFERROR(__xludf.DUMMYFUNCTION("""COMPUTED_VALUE"""),44379.6458333333)</f>
        <v>44379.645833333299</v>
      </c>
      <c r="B376" s="14">
        <f ca="1">IFERROR(__xludf.DUMMYFUNCTION("""COMPUTED_VALUE"""),3325.45)</f>
        <v>3325.45</v>
      </c>
      <c r="C376" s="15">
        <f t="shared" ca="1" si="2"/>
        <v>-4.8032320814006546E-3</v>
      </c>
      <c r="D376" s="14">
        <f t="shared" ca="1" si="3"/>
        <v>3180.3930000000005</v>
      </c>
      <c r="E376" s="17"/>
      <c r="F376" s="17"/>
    </row>
    <row r="377" spans="1:6" ht="12.75" x14ac:dyDescent="0.2">
      <c r="A377" s="13">
        <f ca="1">IFERROR(__xludf.DUMMYFUNCTION("""COMPUTED_VALUE"""),44382.6458333333)</f>
        <v>44382.645833333299</v>
      </c>
      <c r="B377" s="14">
        <f ca="1">IFERROR(__xludf.DUMMYFUNCTION("""COMPUTED_VALUE"""),3321)</f>
        <v>3321</v>
      </c>
      <c r="C377" s="15">
        <f t="shared" ca="1" si="2"/>
        <v>-1.3381647596565349E-3</v>
      </c>
      <c r="D377" s="14">
        <f t="shared" ca="1" si="3"/>
        <v>3184.6230000000005</v>
      </c>
      <c r="E377" s="17"/>
      <c r="F377" s="17"/>
    </row>
    <row r="378" spans="1:6" ht="12.75" x14ac:dyDescent="0.2">
      <c r="A378" s="13">
        <f ca="1">IFERROR(__xludf.DUMMYFUNCTION("""COMPUTED_VALUE"""),44383.6458333333)</f>
        <v>44383.645833333299</v>
      </c>
      <c r="B378" s="14">
        <f ca="1">IFERROR(__xludf.DUMMYFUNCTION("""COMPUTED_VALUE"""),3262.3)</f>
        <v>3262.3</v>
      </c>
      <c r="C378" s="15">
        <f t="shared" ca="1" si="2"/>
        <v>-1.7675398976211953E-2</v>
      </c>
      <c r="D378" s="14">
        <f t="shared" ca="1" si="3"/>
        <v>3187.8530000000001</v>
      </c>
      <c r="E378" s="17"/>
      <c r="F378" s="17"/>
    </row>
    <row r="379" spans="1:6" ht="12.75" x14ac:dyDescent="0.2">
      <c r="A379" s="13">
        <f ca="1">IFERROR(__xludf.DUMMYFUNCTION("""COMPUTED_VALUE"""),44384.6458333333)</f>
        <v>44384.645833333299</v>
      </c>
      <c r="B379" s="14">
        <f ca="1">IFERROR(__xludf.DUMMYFUNCTION("""COMPUTED_VALUE"""),3274.95)</f>
        <v>3274.95</v>
      </c>
      <c r="C379" s="15">
        <f t="shared" ca="1" si="2"/>
        <v>3.8776323452778261E-3</v>
      </c>
      <c r="D379" s="14">
        <f t="shared" ca="1" si="3"/>
        <v>3190.7120000000009</v>
      </c>
      <c r="E379" s="17"/>
      <c r="F379" s="17"/>
    </row>
    <row r="380" spans="1:6" ht="12.75" x14ac:dyDescent="0.2">
      <c r="A380" s="13">
        <f ca="1">IFERROR(__xludf.DUMMYFUNCTION("""COMPUTED_VALUE"""),44385.6458333333)</f>
        <v>44385.645833333299</v>
      </c>
      <c r="B380" s="14">
        <f ca="1">IFERROR(__xludf.DUMMYFUNCTION("""COMPUTED_VALUE"""),3258.5)</f>
        <v>3258.5</v>
      </c>
      <c r="C380" s="15">
        <f t="shared" ca="1" si="2"/>
        <v>-5.0229774500373248E-3</v>
      </c>
      <c r="D380" s="14">
        <f t="shared" ca="1" si="3"/>
        <v>3193.4000000000005</v>
      </c>
      <c r="E380" s="17"/>
      <c r="F380" s="17"/>
    </row>
    <row r="381" spans="1:6" ht="12.75" x14ac:dyDescent="0.2">
      <c r="A381" s="13">
        <f ca="1">IFERROR(__xludf.DUMMYFUNCTION("""COMPUTED_VALUE"""),44386.6458333333)</f>
        <v>44386.645833333299</v>
      </c>
      <c r="B381" s="14">
        <f ca="1">IFERROR(__xludf.DUMMYFUNCTION("""COMPUTED_VALUE"""),3208.15)</f>
        <v>3208.15</v>
      </c>
      <c r="C381" s="15">
        <f t="shared" ca="1" si="2"/>
        <v>-1.5451895043731789E-2</v>
      </c>
      <c r="D381" s="14">
        <f t="shared" ca="1" si="3"/>
        <v>3195.2580000000003</v>
      </c>
      <c r="E381" s="17"/>
      <c r="F381" s="17"/>
    </row>
    <row r="382" spans="1:6" ht="12.75" x14ac:dyDescent="0.2">
      <c r="A382" s="13">
        <f ca="1">IFERROR(__xludf.DUMMYFUNCTION("""COMPUTED_VALUE"""),44389.6458333333)</f>
        <v>44389.645833333299</v>
      </c>
      <c r="B382" s="14">
        <f ca="1">IFERROR(__xludf.DUMMYFUNCTION("""COMPUTED_VALUE"""),3193.1)</f>
        <v>3193.1</v>
      </c>
      <c r="C382" s="15">
        <f t="shared" ca="1" si="2"/>
        <v>-4.6911771581753525E-3</v>
      </c>
      <c r="D382" s="14">
        <f t="shared" ca="1" si="3"/>
        <v>3198.4070000000006</v>
      </c>
      <c r="E382" s="17"/>
      <c r="F382" s="17"/>
    </row>
    <row r="383" spans="1:6" ht="12.75" x14ac:dyDescent="0.2">
      <c r="A383" s="13">
        <f ca="1">IFERROR(__xludf.DUMMYFUNCTION("""COMPUTED_VALUE"""),44390.6458333333)</f>
        <v>44390.645833333299</v>
      </c>
      <c r="B383" s="14">
        <f ca="1">IFERROR(__xludf.DUMMYFUNCTION("""COMPUTED_VALUE"""),3187.55)</f>
        <v>3187.55</v>
      </c>
      <c r="C383" s="15">
        <f t="shared" ca="1" si="2"/>
        <v>-1.7381228273464222E-3</v>
      </c>
      <c r="D383" s="14">
        <f t="shared" ca="1" si="3"/>
        <v>3201.4180000000006</v>
      </c>
      <c r="E383" s="17"/>
      <c r="F383" s="17"/>
    </row>
    <row r="384" spans="1:6" ht="12.75" x14ac:dyDescent="0.2">
      <c r="A384" s="13">
        <f ca="1">IFERROR(__xludf.DUMMYFUNCTION("""COMPUTED_VALUE"""),44391.6458333333)</f>
        <v>44391.645833333299</v>
      </c>
      <c r="B384" s="14">
        <f ca="1">IFERROR(__xludf.DUMMYFUNCTION("""COMPUTED_VALUE"""),3214.55)</f>
        <v>3214.55</v>
      </c>
      <c r="C384" s="15">
        <f t="shared" ca="1" si="2"/>
        <v>8.4704553654060266E-3</v>
      </c>
      <c r="D384" s="14">
        <f t="shared" ca="1" si="3"/>
        <v>3204.7140000000004</v>
      </c>
      <c r="E384" s="17"/>
      <c r="F384" s="17"/>
    </row>
    <row r="385" spans="1:6" ht="12.75" x14ac:dyDescent="0.2">
      <c r="A385" s="13">
        <f ca="1">IFERROR(__xludf.DUMMYFUNCTION("""COMPUTED_VALUE"""),44392.6458333333)</f>
        <v>44392.645833333299</v>
      </c>
      <c r="B385" s="14">
        <f ca="1">IFERROR(__xludf.DUMMYFUNCTION("""COMPUTED_VALUE"""),3202.95)</f>
        <v>3202.95</v>
      </c>
      <c r="C385" s="15">
        <f t="shared" ca="1" si="2"/>
        <v>-3.6085921824207112E-3</v>
      </c>
      <c r="D385" s="14">
        <f t="shared" ca="1" si="3"/>
        <v>3206.8590000000004</v>
      </c>
      <c r="E385" s="17"/>
      <c r="F385" s="17"/>
    </row>
    <row r="386" spans="1:6" ht="12.75" x14ac:dyDescent="0.2">
      <c r="A386" s="13">
        <f ca="1">IFERROR(__xludf.DUMMYFUNCTION("""COMPUTED_VALUE"""),44393.6458333333)</f>
        <v>44393.645833333299</v>
      </c>
      <c r="B386" s="14">
        <f ca="1">IFERROR(__xludf.DUMMYFUNCTION("""COMPUTED_VALUE"""),3194.8)</f>
        <v>3194.8</v>
      </c>
      <c r="C386" s="15">
        <f t="shared" ca="1" si="2"/>
        <v>-2.5445292620863702E-3</v>
      </c>
      <c r="D386" s="14">
        <f t="shared" ca="1" si="3"/>
        <v>3208.5259999999998</v>
      </c>
      <c r="E386" s="17"/>
      <c r="F386" s="17"/>
    </row>
    <row r="387" spans="1:6" ht="12.75" x14ac:dyDescent="0.2">
      <c r="A387" s="13">
        <f ca="1">IFERROR(__xludf.DUMMYFUNCTION("""COMPUTED_VALUE"""),44396.6458333333)</f>
        <v>44396.645833333299</v>
      </c>
      <c r="B387" s="14">
        <f ca="1">IFERROR(__xludf.DUMMYFUNCTION("""COMPUTED_VALUE"""),3184.6)</f>
        <v>3184.6</v>
      </c>
      <c r="C387" s="15">
        <f t="shared" ca="1" si="2"/>
        <v>-3.1926881181921773E-3</v>
      </c>
      <c r="D387" s="14">
        <f t="shared" ca="1" si="3"/>
        <v>3209.56</v>
      </c>
      <c r="E387" s="17"/>
      <c r="F387" s="17"/>
    </row>
    <row r="388" spans="1:6" ht="12.75" x14ac:dyDescent="0.2">
      <c r="A388" s="13">
        <f ca="1">IFERROR(__xludf.DUMMYFUNCTION("""COMPUTED_VALUE"""),44397.6458333333)</f>
        <v>44397.645833333299</v>
      </c>
      <c r="B388" s="14">
        <f ca="1">IFERROR(__xludf.DUMMYFUNCTION("""COMPUTED_VALUE"""),3205.8)</f>
        <v>3205.8</v>
      </c>
      <c r="C388" s="15">
        <f t="shared" ca="1" si="2"/>
        <v>6.6570369905170068E-3</v>
      </c>
      <c r="D388" s="14">
        <f t="shared" ca="1" si="3"/>
        <v>3210.7659999999996</v>
      </c>
      <c r="E388" s="17"/>
      <c r="F388" s="17"/>
    </row>
    <row r="389" spans="1:6" ht="12.75" x14ac:dyDescent="0.2">
      <c r="A389" s="13">
        <f ca="1">IFERROR(__xludf.DUMMYFUNCTION("""COMPUTED_VALUE"""),44399.6458333333)</f>
        <v>44399.645833333299</v>
      </c>
      <c r="B389" s="14">
        <f ca="1">IFERROR(__xludf.DUMMYFUNCTION("""COMPUTED_VALUE"""),3216.35)</f>
        <v>3216.35</v>
      </c>
      <c r="C389" s="15">
        <f t="shared" ca="1" si="2"/>
        <v>3.2909102252167699E-3</v>
      </c>
      <c r="D389" s="14">
        <f t="shared" ca="1" si="3"/>
        <v>3212.6409999999996</v>
      </c>
      <c r="E389" s="17"/>
      <c r="F389" s="17"/>
    </row>
    <row r="390" spans="1:6" ht="12.75" x14ac:dyDescent="0.2">
      <c r="A390" s="13">
        <f ca="1">IFERROR(__xludf.DUMMYFUNCTION("""COMPUTED_VALUE"""),44400.6458333333)</f>
        <v>44400.645833333299</v>
      </c>
      <c r="B390" s="14">
        <f ca="1">IFERROR(__xludf.DUMMYFUNCTION("""COMPUTED_VALUE"""),3212.85)</f>
        <v>3212.85</v>
      </c>
      <c r="C390" s="15">
        <f t="shared" ca="1" si="2"/>
        <v>-1.0881900290702351E-3</v>
      </c>
      <c r="D390" s="14">
        <f t="shared" ca="1" si="3"/>
        <v>3215.1460000000002</v>
      </c>
      <c r="E390" s="17"/>
      <c r="F390" s="17"/>
    </row>
    <row r="391" spans="1:6" ht="12.75" x14ac:dyDescent="0.2">
      <c r="A391" s="13">
        <f ca="1">IFERROR(__xludf.DUMMYFUNCTION("""COMPUTED_VALUE"""),44403.6458333333)</f>
        <v>44403.645833333299</v>
      </c>
      <c r="B391" s="14">
        <f ca="1">IFERROR(__xludf.DUMMYFUNCTION("""COMPUTED_VALUE"""),3197.55)</f>
        <v>3197.55</v>
      </c>
      <c r="C391" s="15">
        <f t="shared" ca="1" si="2"/>
        <v>-4.7621270834304896E-3</v>
      </c>
      <c r="D391" s="14">
        <f t="shared" ca="1" si="3"/>
        <v>3218.0669999999996</v>
      </c>
      <c r="E391" s="17"/>
      <c r="F391" s="17"/>
    </row>
    <row r="392" spans="1:6" ht="12.75" x14ac:dyDescent="0.2">
      <c r="A392" s="13">
        <f ca="1">IFERROR(__xludf.DUMMYFUNCTION("""COMPUTED_VALUE"""),44404.6458333333)</f>
        <v>44404.645833333299</v>
      </c>
      <c r="B392" s="14">
        <f ca="1">IFERROR(__xludf.DUMMYFUNCTION("""COMPUTED_VALUE"""),3182.95)</f>
        <v>3182.95</v>
      </c>
      <c r="C392" s="15">
        <f t="shared" ca="1" si="2"/>
        <v>-4.5659958405654955E-3</v>
      </c>
      <c r="D392" s="14">
        <f t="shared" ca="1" si="3"/>
        <v>3220.3310000000001</v>
      </c>
      <c r="E392" s="17"/>
      <c r="F392" s="17"/>
    </row>
    <row r="393" spans="1:6" ht="12.75" x14ac:dyDescent="0.2">
      <c r="A393" s="13">
        <f ca="1">IFERROR(__xludf.DUMMYFUNCTION("""COMPUTED_VALUE"""),44405.6458333333)</f>
        <v>44405.645833333299</v>
      </c>
      <c r="B393" s="14">
        <f ca="1">IFERROR(__xludf.DUMMYFUNCTION("""COMPUTED_VALUE"""),3197.8)</f>
        <v>3197.8</v>
      </c>
      <c r="C393" s="15">
        <f t="shared" ca="1" si="2"/>
        <v>4.6654832780912425E-3</v>
      </c>
      <c r="D393" s="14">
        <f t="shared" ca="1" si="3"/>
        <v>3222.5110000000004</v>
      </c>
      <c r="E393" s="17"/>
      <c r="F393" s="17"/>
    </row>
    <row r="394" spans="1:6" ht="12.75" x14ac:dyDescent="0.2">
      <c r="A394" s="13">
        <f ca="1">IFERROR(__xludf.DUMMYFUNCTION("""COMPUTED_VALUE"""),44406.6458333333)</f>
        <v>44406.645833333299</v>
      </c>
      <c r="B394" s="14">
        <f ca="1">IFERROR(__xludf.DUMMYFUNCTION("""COMPUTED_VALUE"""),3195.8)</f>
        <v>3195.8</v>
      </c>
      <c r="C394" s="15">
        <f t="shared" ca="1" si="2"/>
        <v>-6.2542998311343467E-4</v>
      </c>
      <c r="D394" s="14">
        <f t="shared" ca="1" si="3"/>
        <v>3224.7870000000003</v>
      </c>
      <c r="E394" s="17"/>
      <c r="F394" s="17"/>
    </row>
    <row r="395" spans="1:6" ht="12.75" x14ac:dyDescent="0.2">
      <c r="A395" s="13">
        <f ca="1">IFERROR(__xludf.DUMMYFUNCTION("""COMPUTED_VALUE"""),44407.6458333333)</f>
        <v>44407.645833333299</v>
      </c>
      <c r="B395" s="14">
        <f ca="1">IFERROR(__xludf.DUMMYFUNCTION("""COMPUTED_VALUE"""),3167.45)</f>
        <v>3167.45</v>
      </c>
      <c r="C395" s="15">
        <f t="shared" ca="1" si="2"/>
        <v>-8.8710182114025704E-3</v>
      </c>
      <c r="D395" s="14">
        <f t="shared" ca="1" si="3"/>
        <v>3226.9359999999997</v>
      </c>
      <c r="E395" s="17"/>
      <c r="F395" s="17"/>
    </row>
    <row r="396" spans="1:6" ht="12.75" x14ac:dyDescent="0.2">
      <c r="A396" s="13">
        <f ca="1">IFERROR(__xludf.DUMMYFUNCTION("""COMPUTED_VALUE"""),44410.6458333333)</f>
        <v>44410.645833333299</v>
      </c>
      <c r="B396" s="14">
        <f ca="1">IFERROR(__xludf.DUMMYFUNCTION("""COMPUTED_VALUE"""),3219.4)</f>
        <v>3219.4</v>
      </c>
      <c r="C396" s="15">
        <f t="shared" ca="1" si="2"/>
        <v>1.640120601745898E-2</v>
      </c>
      <c r="D396" s="14">
        <f t="shared" ca="1" si="3"/>
        <v>3229.7140000000004</v>
      </c>
      <c r="E396" s="17"/>
      <c r="F396" s="17"/>
    </row>
    <row r="397" spans="1:6" ht="12.75" x14ac:dyDescent="0.2">
      <c r="A397" s="13">
        <f ca="1">IFERROR(__xludf.DUMMYFUNCTION("""COMPUTED_VALUE"""),44411.6458333333)</f>
        <v>44411.645833333299</v>
      </c>
      <c r="B397" s="14">
        <f ca="1">IFERROR(__xludf.DUMMYFUNCTION("""COMPUTED_VALUE"""),3284.9)</f>
        <v>3284.9</v>
      </c>
      <c r="C397" s="15">
        <f t="shared" ca="1" si="2"/>
        <v>2.0345405976268882E-2</v>
      </c>
      <c r="D397" s="14">
        <f t="shared" ca="1" si="3"/>
        <v>3233.7820000000002</v>
      </c>
      <c r="E397" s="17"/>
      <c r="F397" s="17"/>
    </row>
    <row r="398" spans="1:6" ht="12.75" x14ac:dyDescent="0.2">
      <c r="A398" s="13">
        <f ca="1">IFERROR(__xludf.DUMMYFUNCTION("""COMPUTED_VALUE"""),44412.6458333333)</f>
        <v>44412.645833333299</v>
      </c>
      <c r="B398" s="14">
        <f ca="1">IFERROR(__xludf.DUMMYFUNCTION("""COMPUTED_VALUE"""),3273.95)</f>
        <v>3273.95</v>
      </c>
      <c r="C398" s="15">
        <f t="shared" ca="1" si="2"/>
        <v>-3.3334348077568299E-3</v>
      </c>
      <c r="D398" s="14">
        <f t="shared" ca="1" si="3"/>
        <v>3236.9810000000002</v>
      </c>
      <c r="E398" s="17"/>
      <c r="F398" s="17"/>
    </row>
    <row r="399" spans="1:6" ht="12.75" x14ac:dyDescent="0.2">
      <c r="A399" s="13">
        <f ca="1">IFERROR(__xludf.DUMMYFUNCTION("""COMPUTED_VALUE"""),44413.6458333333)</f>
        <v>44413.645833333299</v>
      </c>
      <c r="B399" s="14">
        <f ca="1">IFERROR(__xludf.DUMMYFUNCTION("""COMPUTED_VALUE"""),3283.95)</f>
        <v>3283.95</v>
      </c>
      <c r="C399" s="15">
        <f t="shared" ca="1" si="2"/>
        <v>3.0544143924005063E-3</v>
      </c>
      <c r="D399" s="14">
        <f t="shared" ca="1" si="3"/>
        <v>3239.4900000000007</v>
      </c>
      <c r="E399" s="17"/>
      <c r="F399" s="17"/>
    </row>
    <row r="400" spans="1:6" ht="12.75" x14ac:dyDescent="0.2">
      <c r="A400" s="13">
        <f ca="1">IFERROR(__xludf.DUMMYFUNCTION("""COMPUTED_VALUE"""),44414.6458333333)</f>
        <v>44414.645833333299</v>
      </c>
      <c r="B400" s="14">
        <f ca="1">IFERROR(__xludf.DUMMYFUNCTION("""COMPUTED_VALUE"""),3309.8)</f>
        <v>3309.8</v>
      </c>
      <c r="C400" s="15">
        <f t="shared" ca="1" si="2"/>
        <v>7.8716180209810194E-3</v>
      </c>
      <c r="D400" s="14">
        <f t="shared" ca="1" si="3"/>
        <v>3242.0860000000002</v>
      </c>
      <c r="E400" s="17"/>
      <c r="F400" s="17"/>
    </row>
    <row r="401" spans="1:6" ht="12.75" x14ac:dyDescent="0.2">
      <c r="A401" s="13">
        <f ca="1">IFERROR(__xludf.DUMMYFUNCTION("""COMPUTED_VALUE"""),44417.6458333333)</f>
        <v>44417.645833333299</v>
      </c>
      <c r="B401" s="14">
        <f ca="1">IFERROR(__xludf.DUMMYFUNCTION("""COMPUTED_VALUE"""),3322.7)</f>
        <v>3322.7</v>
      </c>
      <c r="C401" s="15">
        <f t="shared" ca="1" si="2"/>
        <v>3.8975164662515827E-3</v>
      </c>
      <c r="D401" s="14">
        <f t="shared" ca="1" si="3"/>
        <v>3245.6680000000006</v>
      </c>
      <c r="E401" s="17"/>
      <c r="F401" s="17"/>
    </row>
    <row r="402" spans="1:6" ht="12.75" x14ac:dyDescent="0.2">
      <c r="A402" s="13">
        <f ca="1">IFERROR(__xludf.DUMMYFUNCTION("""COMPUTED_VALUE"""),44418.6458333333)</f>
        <v>44418.645833333299</v>
      </c>
      <c r="B402" s="14">
        <f ca="1">IFERROR(__xludf.DUMMYFUNCTION("""COMPUTED_VALUE"""),3333.9)</f>
        <v>3333.9</v>
      </c>
      <c r="C402" s="15">
        <f t="shared" ca="1" si="2"/>
        <v>3.3707527011166416E-3</v>
      </c>
      <c r="D402" s="14">
        <f t="shared" ca="1" si="3"/>
        <v>3249.1630000000005</v>
      </c>
      <c r="E402" s="17"/>
      <c r="F402" s="17"/>
    </row>
    <row r="403" spans="1:6" ht="12.75" x14ac:dyDescent="0.2">
      <c r="A403" s="13">
        <f ca="1">IFERROR(__xludf.DUMMYFUNCTION("""COMPUTED_VALUE"""),44419.6458333333)</f>
        <v>44419.645833333299</v>
      </c>
      <c r="B403" s="14">
        <f ca="1">IFERROR(__xludf.DUMMYFUNCTION("""COMPUTED_VALUE"""),3344.2)</f>
        <v>3344.2</v>
      </c>
      <c r="C403" s="15">
        <f t="shared" ca="1" si="2"/>
        <v>3.0894747892857843E-3</v>
      </c>
      <c r="D403" s="14">
        <f t="shared" ca="1" si="3"/>
        <v>3252.9870000000014</v>
      </c>
      <c r="E403" s="17"/>
      <c r="F403" s="17"/>
    </row>
    <row r="404" spans="1:6" ht="12.75" x14ac:dyDescent="0.2">
      <c r="A404" s="13">
        <f ca="1">IFERROR(__xludf.DUMMYFUNCTION("""COMPUTED_VALUE"""),44420.6458333333)</f>
        <v>44420.645833333299</v>
      </c>
      <c r="B404" s="14">
        <f ca="1">IFERROR(__xludf.DUMMYFUNCTION("""COMPUTED_VALUE"""),3351.75)</f>
        <v>3351.75</v>
      </c>
      <c r="C404" s="15">
        <f t="shared" ca="1" si="2"/>
        <v>2.2576400932958762E-3</v>
      </c>
      <c r="D404" s="14">
        <f t="shared" ca="1" si="3"/>
        <v>3257.4330000000009</v>
      </c>
      <c r="E404" s="17"/>
      <c r="F404" s="17"/>
    </row>
    <row r="405" spans="1:6" ht="12.75" x14ac:dyDescent="0.2">
      <c r="A405" s="13">
        <f ca="1">IFERROR(__xludf.DUMMYFUNCTION("""COMPUTED_VALUE"""),44421.6458333333)</f>
        <v>44421.645833333299</v>
      </c>
      <c r="B405" s="14">
        <f ca="1">IFERROR(__xludf.DUMMYFUNCTION("""COMPUTED_VALUE"""),3463.4)</f>
        <v>3463.4</v>
      </c>
      <c r="C405" s="15">
        <f t="shared" ca="1" si="2"/>
        <v>3.3310956962780747E-2</v>
      </c>
      <c r="D405" s="14">
        <f t="shared" ca="1" si="3"/>
        <v>3263.8760000000011</v>
      </c>
      <c r="E405" s="17"/>
      <c r="F405" s="17"/>
    </row>
    <row r="406" spans="1:6" ht="12.75" x14ac:dyDescent="0.2">
      <c r="A406" s="13">
        <f ca="1">IFERROR(__xludf.DUMMYFUNCTION("""COMPUTED_VALUE"""),44424.6458333333)</f>
        <v>44424.645833333299</v>
      </c>
      <c r="B406" s="14">
        <f ca="1">IFERROR(__xludf.DUMMYFUNCTION("""COMPUTED_VALUE"""),3472.95)</f>
        <v>3472.95</v>
      </c>
      <c r="C406" s="15">
        <f t="shared" ca="1" si="2"/>
        <v>2.7574060172084192E-3</v>
      </c>
      <c r="D406" s="14">
        <f t="shared" ca="1" si="3"/>
        <v>3270.4600000000009</v>
      </c>
      <c r="E406" s="17"/>
      <c r="F406" s="17"/>
    </row>
    <row r="407" spans="1:6" ht="12.75" x14ac:dyDescent="0.2">
      <c r="A407" s="13">
        <f ca="1">IFERROR(__xludf.DUMMYFUNCTION("""COMPUTED_VALUE"""),44425.6458333333)</f>
        <v>44425.645833333299</v>
      </c>
      <c r="B407" s="14">
        <f ca="1">IFERROR(__xludf.DUMMYFUNCTION("""COMPUTED_VALUE"""),3553.05)</f>
        <v>3553.05</v>
      </c>
      <c r="C407" s="15">
        <f t="shared" ca="1" si="2"/>
        <v>2.3063965792770036E-2</v>
      </c>
      <c r="D407" s="14">
        <f t="shared" ca="1" si="3"/>
        <v>3277.8570000000009</v>
      </c>
      <c r="E407" s="17"/>
      <c r="F407" s="17"/>
    </row>
    <row r="408" spans="1:6" ht="12.75" x14ac:dyDescent="0.2">
      <c r="A408" s="13">
        <f ca="1">IFERROR(__xludf.DUMMYFUNCTION("""COMPUTED_VALUE"""),44426.6458333333)</f>
        <v>44426.645833333299</v>
      </c>
      <c r="B408" s="14">
        <f ca="1">IFERROR(__xludf.DUMMYFUNCTION("""COMPUTED_VALUE"""),3560.55)</f>
        <v>3560.55</v>
      </c>
      <c r="C408" s="15">
        <f t="shared" ca="1" si="2"/>
        <v>2.1108624984167434E-3</v>
      </c>
      <c r="D408" s="14">
        <f t="shared" ca="1" si="3"/>
        <v>3285.0650000000001</v>
      </c>
      <c r="E408" s="17"/>
      <c r="F408" s="17"/>
    </row>
    <row r="409" spans="1:6" ht="12.75" x14ac:dyDescent="0.2">
      <c r="A409" s="13">
        <f ca="1">IFERROR(__xludf.DUMMYFUNCTION("""COMPUTED_VALUE"""),44428.6458333333)</f>
        <v>44428.645833333299</v>
      </c>
      <c r="B409" s="14">
        <f ca="1">IFERROR(__xludf.DUMMYFUNCTION("""COMPUTED_VALUE"""),3559.5)</f>
        <v>3559.5</v>
      </c>
      <c r="C409" s="15">
        <f t="shared" ca="1" si="2"/>
        <v>-2.9489826010031805E-4</v>
      </c>
      <c r="D409" s="14">
        <f t="shared" ca="1" si="3"/>
        <v>3292.25</v>
      </c>
      <c r="E409" s="17"/>
      <c r="F409" s="17"/>
    </row>
    <row r="410" spans="1:6" ht="12.75" x14ac:dyDescent="0.2">
      <c r="A410" s="13">
        <f ca="1">IFERROR(__xludf.DUMMYFUNCTION("""COMPUTED_VALUE"""),44431.6458333333)</f>
        <v>44431.645833333299</v>
      </c>
      <c r="B410" s="14">
        <f ca="1">IFERROR(__xludf.DUMMYFUNCTION("""COMPUTED_VALUE"""),3637.4)</f>
        <v>3637.4</v>
      </c>
      <c r="C410" s="15">
        <f t="shared" ca="1" si="2"/>
        <v>2.1885096221379463E-2</v>
      </c>
      <c r="D410" s="14">
        <f t="shared" ca="1" si="3"/>
        <v>3300.6620000000003</v>
      </c>
      <c r="E410" s="17"/>
      <c r="F410" s="17"/>
    </row>
    <row r="411" spans="1:6" ht="12.75" x14ac:dyDescent="0.2">
      <c r="A411" s="13">
        <f ca="1">IFERROR(__xludf.DUMMYFUNCTION("""COMPUTED_VALUE"""),44432.6458333333)</f>
        <v>44432.645833333299</v>
      </c>
      <c r="B411" s="14">
        <f ca="1">IFERROR(__xludf.DUMMYFUNCTION("""COMPUTED_VALUE"""),3613.2)</f>
        <v>3613.2</v>
      </c>
      <c r="C411" s="15">
        <f t="shared" ca="1" si="2"/>
        <v>-6.6531038653984131E-3</v>
      </c>
      <c r="D411" s="14">
        <f t="shared" ca="1" si="3"/>
        <v>3307.45</v>
      </c>
      <c r="E411" s="17"/>
      <c r="F411" s="17"/>
    </row>
    <row r="412" spans="1:6" ht="12.75" x14ac:dyDescent="0.2">
      <c r="A412" s="13">
        <f ca="1">IFERROR(__xludf.DUMMYFUNCTION("""COMPUTED_VALUE"""),44433.6458333333)</f>
        <v>44433.645833333299</v>
      </c>
      <c r="B412" s="14">
        <f ca="1">IFERROR(__xludf.DUMMYFUNCTION("""COMPUTED_VALUE"""),3659)</f>
        <v>3659</v>
      </c>
      <c r="C412" s="15">
        <f t="shared" ca="1" si="2"/>
        <v>1.2675744492416818E-2</v>
      </c>
      <c r="D412" s="14">
        <f t="shared" ca="1" si="3"/>
        <v>3315.1030000000001</v>
      </c>
      <c r="E412" s="17"/>
      <c r="F412" s="17"/>
    </row>
    <row r="413" spans="1:6" ht="12.75" x14ac:dyDescent="0.2">
      <c r="A413" s="13">
        <f ca="1">IFERROR(__xludf.DUMMYFUNCTION("""COMPUTED_VALUE"""),44434.6458333333)</f>
        <v>44434.645833333299</v>
      </c>
      <c r="B413" s="14">
        <f ca="1">IFERROR(__xludf.DUMMYFUNCTION("""COMPUTED_VALUE"""),3671.85)</f>
        <v>3671.85</v>
      </c>
      <c r="C413" s="15">
        <f t="shared" ca="1" si="2"/>
        <v>3.5118884941240935E-3</v>
      </c>
      <c r="D413" s="14">
        <f t="shared" ca="1" si="3"/>
        <v>3323.2849999999994</v>
      </c>
      <c r="E413" s="17"/>
      <c r="F413" s="17"/>
    </row>
    <row r="414" spans="1:6" ht="12.75" x14ac:dyDescent="0.2">
      <c r="A414" s="13">
        <f ca="1">IFERROR(__xludf.DUMMYFUNCTION("""COMPUTED_VALUE"""),44435.6458333333)</f>
        <v>44435.645833333299</v>
      </c>
      <c r="B414" s="14">
        <f ca="1">IFERROR(__xludf.DUMMYFUNCTION("""COMPUTED_VALUE"""),3720.15)</f>
        <v>3720.15</v>
      </c>
      <c r="C414" s="15">
        <f t="shared" ca="1" si="2"/>
        <v>1.3154132113240014E-2</v>
      </c>
      <c r="D414" s="14">
        <f t="shared" ca="1" si="3"/>
        <v>3332.2009999999996</v>
      </c>
      <c r="E414" s="17"/>
      <c r="F414" s="17"/>
    </row>
    <row r="415" spans="1:6" ht="12.75" x14ac:dyDescent="0.2">
      <c r="A415" s="13">
        <f ca="1">IFERROR(__xludf.DUMMYFUNCTION("""COMPUTED_VALUE"""),44438.6458333333)</f>
        <v>44438.645833333299</v>
      </c>
      <c r="B415" s="14">
        <f ca="1">IFERROR(__xludf.DUMMYFUNCTION("""COMPUTED_VALUE"""),3701.3)</f>
        <v>3701.3</v>
      </c>
      <c r="C415" s="15">
        <f t="shared" ca="1" si="2"/>
        <v>-5.0669999865596838E-3</v>
      </c>
      <c r="D415" s="14">
        <f t="shared" ca="1" si="3"/>
        <v>3339.8719999999994</v>
      </c>
      <c r="E415" s="17"/>
      <c r="F415" s="17"/>
    </row>
    <row r="416" spans="1:6" ht="12.75" x14ac:dyDescent="0.2">
      <c r="A416" s="13">
        <f ca="1">IFERROR(__xludf.DUMMYFUNCTION("""COMPUTED_VALUE"""),44439.6458333333)</f>
        <v>44439.645833333299</v>
      </c>
      <c r="B416" s="14">
        <f ca="1">IFERROR(__xludf.DUMMYFUNCTION("""COMPUTED_VALUE"""),3786.45)</f>
        <v>3786.45</v>
      </c>
      <c r="C416" s="15">
        <f t="shared" ca="1" si="2"/>
        <v>2.3005430524410286E-2</v>
      </c>
      <c r="D416" s="14">
        <f t="shared" ca="1" si="3"/>
        <v>3349.6549999999993</v>
      </c>
      <c r="E416" s="17"/>
      <c r="F416" s="17"/>
    </row>
    <row r="417" spans="1:6" ht="12.75" x14ac:dyDescent="0.2">
      <c r="A417" s="13">
        <f ca="1">IFERROR(__xludf.DUMMYFUNCTION("""COMPUTED_VALUE"""),44440.6458333333)</f>
        <v>44440.645833333299</v>
      </c>
      <c r="B417" s="14">
        <f ca="1">IFERROR(__xludf.DUMMYFUNCTION("""COMPUTED_VALUE"""),3714.95)</f>
        <v>3714.95</v>
      </c>
      <c r="C417" s="15">
        <f t="shared" ca="1" si="2"/>
        <v>-1.8883122713887701E-2</v>
      </c>
      <c r="D417" s="14">
        <f t="shared" ca="1" si="3"/>
        <v>3358.4919999999997</v>
      </c>
      <c r="E417" s="17"/>
      <c r="F417" s="17"/>
    </row>
    <row r="418" spans="1:6" ht="12.75" x14ac:dyDescent="0.2">
      <c r="A418" s="13">
        <f ca="1">IFERROR(__xludf.DUMMYFUNCTION("""COMPUTED_VALUE"""),44441.6458333333)</f>
        <v>44441.645833333299</v>
      </c>
      <c r="B418" s="14">
        <f ca="1">IFERROR(__xludf.DUMMYFUNCTION("""COMPUTED_VALUE"""),3836.75)</f>
        <v>3836.75</v>
      </c>
      <c r="C418" s="15">
        <f t="shared" ca="1" si="2"/>
        <v>3.2786443962906642E-2</v>
      </c>
      <c r="D418" s="14">
        <f t="shared" ca="1" si="3"/>
        <v>3369.203</v>
      </c>
      <c r="E418" s="17"/>
      <c r="F418" s="17"/>
    </row>
    <row r="419" spans="1:6" ht="12.75" x14ac:dyDescent="0.2">
      <c r="A419" s="13">
        <f ca="1">IFERROR(__xludf.DUMMYFUNCTION("""COMPUTED_VALUE"""),44442.6458333333)</f>
        <v>44442.645833333299</v>
      </c>
      <c r="B419" s="14">
        <f ca="1">IFERROR(__xludf.DUMMYFUNCTION("""COMPUTED_VALUE"""),3842.05)</f>
        <v>3842.05</v>
      </c>
      <c r="C419" s="15">
        <f t="shared" ca="1" si="2"/>
        <v>1.3813774679090063E-3</v>
      </c>
      <c r="D419" s="14">
        <f t="shared" ca="1" si="3"/>
        <v>3380.8159999999998</v>
      </c>
      <c r="E419" s="17"/>
      <c r="F419" s="17"/>
    </row>
    <row r="420" spans="1:6" ht="12.75" x14ac:dyDescent="0.2">
      <c r="A420" s="13">
        <f ca="1">IFERROR(__xludf.DUMMYFUNCTION("""COMPUTED_VALUE"""),44445.6458333333)</f>
        <v>44445.645833333299</v>
      </c>
      <c r="B420" s="14">
        <f ca="1">IFERROR(__xludf.DUMMYFUNCTION("""COMPUTED_VALUE"""),3852)</f>
        <v>3852</v>
      </c>
      <c r="C420" s="15">
        <f t="shared" ca="1" si="2"/>
        <v>2.589763277417001E-3</v>
      </c>
      <c r="D420" s="14">
        <f t="shared" ca="1" si="3"/>
        <v>3390.3839999999996</v>
      </c>
      <c r="E420" s="17"/>
      <c r="F420" s="17"/>
    </row>
    <row r="421" spans="1:6" ht="12.75" x14ac:dyDescent="0.2">
      <c r="A421" s="13">
        <f ca="1">IFERROR(__xludf.DUMMYFUNCTION("""COMPUTED_VALUE"""),44446.6458333333)</f>
        <v>44446.645833333299</v>
      </c>
      <c r="B421" s="14">
        <f ca="1">IFERROR(__xludf.DUMMYFUNCTION("""COMPUTED_VALUE"""),3815.9)</f>
        <v>3815.9</v>
      </c>
      <c r="C421" s="15">
        <f t="shared" ca="1" si="2"/>
        <v>-9.3717549325025296E-3</v>
      </c>
      <c r="D421" s="14">
        <f t="shared" ca="1" si="3"/>
        <v>3399.0859999999993</v>
      </c>
      <c r="E421" s="17"/>
      <c r="F421" s="17"/>
    </row>
    <row r="422" spans="1:6" ht="12.75" x14ac:dyDescent="0.2">
      <c r="A422" s="13">
        <f ca="1">IFERROR(__xludf.DUMMYFUNCTION("""COMPUTED_VALUE"""),44447.6458333333)</f>
        <v>44447.645833333299</v>
      </c>
      <c r="B422" s="14">
        <f ca="1">IFERROR(__xludf.DUMMYFUNCTION("""COMPUTED_VALUE"""),3774.15)</f>
        <v>3774.15</v>
      </c>
      <c r="C422" s="15">
        <f t="shared" ca="1" si="2"/>
        <v>-1.0941062396813361E-2</v>
      </c>
      <c r="D422" s="14">
        <f t="shared" ca="1" si="3"/>
        <v>3407.8339999999989</v>
      </c>
      <c r="E422" s="17"/>
      <c r="F422" s="17"/>
    </row>
    <row r="423" spans="1:6" ht="12.75" x14ac:dyDescent="0.2">
      <c r="A423" s="13">
        <f ca="1">IFERROR(__xludf.DUMMYFUNCTION("""COMPUTED_VALUE"""),44448.6458333333)</f>
        <v>44448.645833333299</v>
      </c>
      <c r="B423" s="14">
        <f ca="1">IFERROR(__xludf.DUMMYFUNCTION("""COMPUTED_VALUE"""),3791.4)</f>
        <v>3791.4</v>
      </c>
      <c r="C423" s="15">
        <f t="shared" ca="1" si="2"/>
        <v>4.5705655578076598E-3</v>
      </c>
      <c r="D423" s="14">
        <f t="shared" ca="1" si="3"/>
        <v>3416.8449999999989</v>
      </c>
      <c r="E423" s="17"/>
      <c r="F423" s="17"/>
    </row>
    <row r="424" spans="1:6" ht="12.75" x14ac:dyDescent="0.2">
      <c r="A424" s="13">
        <f ca="1">IFERROR(__xludf.DUMMYFUNCTION("""COMPUTED_VALUE"""),44452.6458333333)</f>
        <v>44452.645833333299</v>
      </c>
      <c r="B424" s="14">
        <f ca="1">IFERROR(__xludf.DUMMYFUNCTION("""COMPUTED_VALUE"""),3845.35)</f>
        <v>3845.35</v>
      </c>
      <c r="C424" s="15">
        <f t="shared" ca="1" si="2"/>
        <v>1.4229572189692341E-2</v>
      </c>
      <c r="D424" s="14">
        <f t="shared" ca="1" si="3"/>
        <v>3426.8369999999995</v>
      </c>
      <c r="E424" s="17"/>
      <c r="F424" s="17"/>
    </row>
    <row r="425" spans="1:6" ht="12.75" x14ac:dyDescent="0.2">
      <c r="A425" s="13">
        <f ca="1">IFERROR(__xludf.DUMMYFUNCTION("""COMPUTED_VALUE"""),44453.6458333333)</f>
        <v>44453.645833333299</v>
      </c>
      <c r="B425" s="14">
        <f ca="1">IFERROR(__xludf.DUMMYFUNCTION("""COMPUTED_VALUE"""),3885.9)</f>
        <v>3885.9</v>
      </c>
      <c r="C425" s="15">
        <f t="shared" ca="1" si="2"/>
        <v>1.0545203947625037E-2</v>
      </c>
      <c r="D425" s="14">
        <f t="shared" ca="1" si="3"/>
        <v>3437.7249999999995</v>
      </c>
      <c r="E425" s="17"/>
      <c r="F425" s="17"/>
    </row>
    <row r="426" spans="1:6" ht="12.75" x14ac:dyDescent="0.2">
      <c r="A426" s="13">
        <f ca="1">IFERROR(__xludf.DUMMYFUNCTION("""COMPUTED_VALUE"""),44454.6458333333)</f>
        <v>44454.645833333299</v>
      </c>
      <c r="B426" s="14">
        <f ca="1">IFERROR(__xludf.DUMMYFUNCTION("""COMPUTED_VALUE"""),3954.55)</f>
        <v>3954.55</v>
      </c>
      <c r="C426" s="15">
        <f t="shared" ca="1" si="2"/>
        <v>1.7666435060089025E-2</v>
      </c>
      <c r="D426" s="14">
        <f t="shared" ca="1" si="3"/>
        <v>3450.3069999999989</v>
      </c>
      <c r="E426" s="17"/>
      <c r="F426" s="17"/>
    </row>
    <row r="427" spans="1:6" ht="12.75" x14ac:dyDescent="0.2">
      <c r="A427" s="13">
        <f ca="1">IFERROR(__xludf.DUMMYFUNCTION("""COMPUTED_VALUE"""),44455.6458333333)</f>
        <v>44455.645833333299</v>
      </c>
      <c r="B427" s="14">
        <f ca="1">IFERROR(__xludf.DUMMYFUNCTION("""COMPUTED_VALUE"""),3903.3)</f>
        <v>3903.3</v>
      </c>
      <c r="C427" s="15">
        <f t="shared" ca="1" si="2"/>
        <v>-1.2959755218672209E-2</v>
      </c>
      <c r="D427" s="14">
        <f t="shared" ca="1" si="3"/>
        <v>3461.9529999999986</v>
      </c>
      <c r="E427" s="17"/>
      <c r="F427" s="17"/>
    </row>
    <row r="428" spans="1:6" ht="12.75" x14ac:dyDescent="0.2">
      <c r="A428" s="13">
        <f ca="1">IFERROR(__xludf.DUMMYFUNCTION("""COMPUTED_VALUE"""),44456.6458333333)</f>
        <v>44456.645833333299</v>
      </c>
      <c r="B428" s="14">
        <f ca="1">IFERROR(__xludf.DUMMYFUNCTION("""COMPUTED_VALUE"""),3827.85)</f>
        <v>3827.85</v>
      </c>
      <c r="C428" s="15">
        <f t="shared" ca="1" si="2"/>
        <v>-1.9329797863346432E-2</v>
      </c>
      <c r="D428" s="14">
        <f t="shared" ca="1" si="3"/>
        <v>3473.2639999999983</v>
      </c>
      <c r="E428" s="17"/>
      <c r="F428" s="17"/>
    </row>
    <row r="429" spans="1:6" ht="12.75" x14ac:dyDescent="0.2">
      <c r="A429" s="13">
        <f ca="1">IFERROR(__xludf.DUMMYFUNCTION("""COMPUTED_VALUE"""),44459.6458333333)</f>
        <v>44459.645833333299</v>
      </c>
      <c r="B429" s="14">
        <f ca="1">IFERROR(__xludf.DUMMYFUNCTION("""COMPUTED_VALUE"""),3823.5)</f>
        <v>3823.5</v>
      </c>
      <c r="C429" s="15">
        <f t="shared" ca="1" si="2"/>
        <v>-1.1364081664642089E-3</v>
      </c>
      <c r="D429" s="14">
        <f t="shared" ca="1" si="3"/>
        <v>3484.2349999999988</v>
      </c>
      <c r="E429" s="17"/>
      <c r="F429" s="17"/>
    </row>
    <row r="430" spans="1:6" ht="12.75" x14ac:dyDescent="0.2">
      <c r="A430" s="13">
        <f ca="1">IFERROR(__xludf.DUMMYFUNCTION("""COMPUTED_VALUE"""),44460.6458333333)</f>
        <v>44460.645833333299</v>
      </c>
      <c r="B430" s="14">
        <f ca="1">IFERROR(__xludf.DUMMYFUNCTION("""COMPUTED_VALUE"""),3862.95)</f>
        <v>3862.95</v>
      </c>
      <c r="C430" s="15">
        <f t="shared" ca="1" si="2"/>
        <v>1.0317771675166787E-2</v>
      </c>
      <c r="D430" s="14">
        <f t="shared" ca="1" si="3"/>
        <v>3496.3239999999992</v>
      </c>
      <c r="E430" s="17"/>
      <c r="F430" s="17"/>
    </row>
    <row r="431" spans="1:6" ht="12.75" x14ac:dyDescent="0.2">
      <c r="A431" s="13">
        <f ca="1">IFERROR(__xludf.DUMMYFUNCTION("""COMPUTED_VALUE"""),44461.6458333333)</f>
        <v>44461.645833333299</v>
      </c>
      <c r="B431" s="14">
        <f ca="1">IFERROR(__xludf.DUMMYFUNCTION("""COMPUTED_VALUE"""),3862.15)</f>
        <v>3862.15</v>
      </c>
      <c r="C431" s="15">
        <f t="shared" ca="1" si="2"/>
        <v>-2.0709561345599869E-4</v>
      </c>
      <c r="D431" s="14">
        <f t="shared" ca="1" si="3"/>
        <v>3509.4039999999991</v>
      </c>
      <c r="E431" s="17"/>
      <c r="F431" s="17"/>
    </row>
    <row r="432" spans="1:6" ht="12.75" x14ac:dyDescent="0.2">
      <c r="A432" s="13">
        <f ca="1">IFERROR(__xludf.DUMMYFUNCTION("""COMPUTED_VALUE"""),44462.6458333333)</f>
        <v>44462.645833333299</v>
      </c>
      <c r="B432" s="14">
        <f ca="1">IFERROR(__xludf.DUMMYFUNCTION("""COMPUTED_VALUE"""),3869.25)</f>
        <v>3869.25</v>
      </c>
      <c r="C432" s="15">
        <f t="shared" ca="1" si="2"/>
        <v>1.8383542845306078E-3</v>
      </c>
      <c r="D432" s="14">
        <f t="shared" ca="1" si="3"/>
        <v>3522.9269999999997</v>
      </c>
      <c r="E432" s="17"/>
      <c r="F432" s="17"/>
    </row>
    <row r="433" spans="1:6" ht="12.75" x14ac:dyDescent="0.2">
      <c r="A433" s="13">
        <f ca="1">IFERROR(__xludf.DUMMYFUNCTION("""COMPUTED_VALUE"""),44463.6458333333)</f>
        <v>44463.645833333299</v>
      </c>
      <c r="B433" s="14">
        <f ca="1">IFERROR(__xludf.DUMMYFUNCTION("""COMPUTED_VALUE"""),3871.3)</f>
        <v>3871.3</v>
      </c>
      <c r="C433" s="15">
        <f t="shared" ca="1" si="2"/>
        <v>5.298184402662276E-4</v>
      </c>
      <c r="D433" s="14">
        <f t="shared" ca="1" si="3"/>
        <v>3536.601999999999</v>
      </c>
      <c r="E433" s="17"/>
      <c r="F433" s="17"/>
    </row>
    <row r="434" spans="1:6" ht="12.75" x14ac:dyDescent="0.2">
      <c r="A434" s="13">
        <f ca="1">IFERROR(__xludf.DUMMYFUNCTION("""COMPUTED_VALUE"""),44466.6458333333)</f>
        <v>44466.645833333299</v>
      </c>
      <c r="B434" s="14">
        <f ca="1">IFERROR(__xludf.DUMMYFUNCTION("""COMPUTED_VALUE"""),3836.95)</f>
        <v>3836.95</v>
      </c>
      <c r="C434" s="15">
        <f t="shared" ca="1" si="2"/>
        <v>-8.8729884018289296E-3</v>
      </c>
      <c r="D434" s="14">
        <f t="shared" ca="1" si="3"/>
        <v>3549.0499999999993</v>
      </c>
      <c r="E434" s="17"/>
      <c r="F434" s="17"/>
    </row>
    <row r="435" spans="1:6" ht="12.75" x14ac:dyDescent="0.2">
      <c r="A435" s="13">
        <f ca="1">IFERROR(__xludf.DUMMYFUNCTION("""COMPUTED_VALUE"""),44467.6458333333)</f>
        <v>44467.645833333299</v>
      </c>
      <c r="B435" s="14">
        <f ca="1">IFERROR(__xludf.DUMMYFUNCTION("""COMPUTED_VALUE"""),3779.15)</f>
        <v>3779.15</v>
      </c>
      <c r="C435" s="15">
        <f t="shared" ca="1" si="2"/>
        <v>-1.5064048267504071E-2</v>
      </c>
      <c r="D435" s="14">
        <f t="shared" ca="1" si="3"/>
        <v>3560.5739999999992</v>
      </c>
      <c r="E435" s="17"/>
      <c r="F435" s="17"/>
    </row>
    <row r="436" spans="1:6" ht="12.75" x14ac:dyDescent="0.2">
      <c r="A436" s="13">
        <f ca="1">IFERROR(__xludf.DUMMYFUNCTION("""COMPUTED_VALUE"""),44468.6458333333)</f>
        <v>44468.645833333299</v>
      </c>
      <c r="B436" s="14">
        <f ca="1">IFERROR(__xludf.DUMMYFUNCTION("""COMPUTED_VALUE"""),3791.9)</f>
        <v>3791.9</v>
      </c>
      <c r="C436" s="15">
        <f t="shared" ca="1" si="2"/>
        <v>3.3737745260178365E-3</v>
      </c>
      <c r="D436" s="14">
        <f t="shared" ca="1" si="3"/>
        <v>3572.5159999999987</v>
      </c>
      <c r="E436" s="17"/>
      <c r="F436" s="17"/>
    </row>
    <row r="437" spans="1:6" ht="12.75" x14ac:dyDescent="0.2">
      <c r="A437" s="13">
        <f ca="1">IFERROR(__xludf.DUMMYFUNCTION("""COMPUTED_VALUE"""),44469.6458333333)</f>
        <v>44469.645833333299</v>
      </c>
      <c r="B437" s="14">
        <f ca="1">IFERROR(__xludf.DUMMYFUNCTION("""COMPUTED_VALUE"""),3775.55)</f>
        <v>3775.55</v>
      </c>
      <c r="C437" s="15">
        <f t="shared" ca="1" si="2"/>
        <v>-4.3118225691605172E-3</v>
      </c>
      <c r="D437" s="14">
        <f t="shared" ca="1" si="3"/>
        <v>3584.3349999999987</v>
      </c>
      <c r="E437" s="17"/>
      <c r="F437" s="17"/>
    </row>
    <row r="438" spans="1:6" ht="12.75" x14ac:dyDescent="0.2">
      <c r="A438" s="13">
        <f ca="1">IFERROR(__xludf.DUMMYFUNCTION("""COMPUTED_VALUE"""),44470.6458333333)</f>
        <v>44470.645833333299</v>
      </c>
      <c r="B438" s="14">
        <f ca="1">IFERROR(__xludf.DUMMYFUNCTION("""COMPUTED_VALUE"""),3730.2)</f>
        <v>3730.2</v>
      </c>
      <c r="C438" s="15">
        <f t="shared" ca="1" si="2"/>
        <v>-1.2011495013971585E-2</v>
      </c>
      <c r="D438" s="14">
        <f t="shared" ca="1" si="3"/>
        <v>3594.8229999999994</v>
      </c>
      <c r="E438" s="17"/>
      <c r="F438" s="17"/>
    </row>
    <row r="439" spans="1:6" ht="12.75" x14ac:dyDescent="0.2">
      <c r="A439" s="13">
        <f ca="1">IFERROR(__xludf.DUMMYFUNCTION("""COMPUTED_VALUE"""),44473.6458333333)</f>
        <v>44473.645833333299</v>
      </c>
      <c r="B439" s="14">
        <f ca="1">IFERROR(__xludf.DUMMYFUNCTION("""COMPUTED_VALUE"""),3773.3)</f>
        <v>3773.3</v>
      </c>
      <c r="C439" s="15">
        <f t="shared" ca="1" si="2"/>
        <v>1.1554340249852579E-2</v>
      </c>
      <c r="D439" s="14">
        <f t="shared" ca="1" si="3"/>
        <v>3605.9619999999991</v>
      </c>
      <c r="E439" s="17"/>
      <c r="F439" s="17"/>
    </row>
    <row r="440" spans="1:6" ht="12.75" x14ac:dyDescent="0.2">
      <c r="A440" s="13">
        <f ca="1">IFERROR(__xludf.DUMMYFUNCTION("""COMPUTED_VALUE"""),44474.6458333333)</f>
        <v>44474.645833333299</v>
      </c>
      <c r="B440" s="14">
        <f ca="1">IFERROR(__xludf.DUMMYFUNCTION("""COMPUTED_VALUE"""),3833.3)</f>
        <v>3833.3</v>
      </c>
      <c r="C440" s="15">
        <f t="shared" ca="1" si="2"/>
        <v>1.5901200540640925E-2</v>
      </c>
      <c r="D440" s="14">
        <f t="shared" ca="1" si="3"/>
        <v>3618.3709999999992</v>
      </c>
      <c r="E440" s="17"/>
      <c r="F440" s="17"/>
    </row>
    <row r="441" spans="1:6" ht="12.75" x14ac:dyDescent="0.2">
      <c r="A441" s="13">
        <f ca="1">IFERROR(__xludf.DUMMYFUNCTION("""COMPUTED_VALUE"""),44475.6458333333)</f>
        <v>44475.645833333299</v>
      </c>
      <c r="B441" s="14">
        <f ca="1">IFERROR(__xludf.DUMMYFUNCTION("""COMPUTED_VALUE"""),3810.9)</f>
        <v>3810.9</v>
      </c>
      <c r="C441" s="15">
        <f t="shared" ca="1" si="2"/>
        <v>-5.8435290741658541E-3</v>
      </c>
      <c r="D441" s="14">
        <f t="shared" ca="1" si="3"/>
        <v>3630.6379999999995</v>
      </c>
      <c r="E441" s="17"/>
      <c r="F441" s="17"/>
    </row>
    <row r="442" spans="1:6" ht="12.75" x14ac:dyDescent="0.2">
      <c r="A442" s="13">
        <f ca="1">IFERROR(__xludf.DUMMYFUNCTION("""COMPUTED_VALUE"""),44476.6458333333)</f>
        <v>44476.645833333299</v>
      </c>
      <c r="B442" s="14">
        <f ca="1">IFERROR(__xludf.DUMMYFUNCTION("""COMPUTED_VALUE"""),3892.9)</f>
        <v>3892.9</v>
      </c>
      <c r="C442" s="15">
        <f t="shared" ca="1" si="2"/>
        <v>2.1517226901781816E-2</v>
      </c>
      <c r="D442" s="14">
        <f t="shared" ca="1" si="3"/>
        <v>3644.8369999999991</v>
      </c>
      <c r="E442" s="17"/>
      <c r="F442" s="17"/>
    </row>
    <row r="443" spans="1:6" ht="12.75" x14ac:dyDescent="0.2">
      <c r="A443" s="13">
        <f ca="1">IFERROR(__xludf.DUMMYFUNCTION("""COMPUTED_VALUE"""),44477.6458333333)</f>
        <v>44477.645833333299</v>
      </c>
      <c r="B443" s="14">
        <f ca="1">IFERROR(__xludf.DUMMYFUNCTION("""COMPUTED_VALUE"""),3935.65)</f>
        <v>3935.65</v>
      </c>
      <c r="C443" s="15">
        <f t="shared" ca="1" si="2"/>
        <v>1.0981530478563428E-2</v>
      </c>
      <c r="D443" s="14">
        <f t="shared" ca="1" si="3"/>
        <v>3659.5939999999991</v>
      </c>
      <c r="E443" s="17"/>
      <c r="F443" s="17"/>
    </row>
    <row r="444" spans="1:6" ht="12.75" x14ac:dyDescent="0.2">
      <c r="A444" s="13">
        <f ca="1">IFERROR(__xludf.DUMMYFUNCTION("""COMPUTED_VALUE"""),44480.6458333333)</f>
        <v>44480.645833333299</v>
      </c>
      <c r="B444" s="14">
        <f ca="1">IFERROR(__xludf.DUMMYFUNCTION("""COMPUTED_VALUE"""),3685.6)</f>
        <v>3685.6</v>
      </c>
      <c r="C444" s="15">
        <f t="shared" ca="1" si="2"/>
        <v>-6.3534613088054082E-2</v>
      </c>
      <c r="D444" s="14">
        <f t="shared" ca="1" si="3"/>
        <v>3669.389999999999</v>
      </c>
      <c r="E444" s="17"/>
      <c r="F444" s="17"/>
    </row>
    <row r="445" spans="1:6" ht="12.75" x14ac:dyDescent="0.2">
      <c r="A445" s="13">
        <f ca="1">IFERROR(__xludf.DUMMYFUNCTION("""COMPUTED_VALUE"""),44481.6458333333)</f>
        <v>44481.645833333299</v>
      </c>
      <c r="B445" s="14">
        <f ca="1">IFERROR(__xludf.DUMMYFUNCTION("""COMPUTED_VALUE"""),3652.85)</f>
        <v>3652.85</v>
      </c>
      <c r="C445" s="15">
        <f t="shared" ca="1" si="2"/>
        <v>-8.8859344475797908E-3</v>
      </c>
      <c r="D445" s="14">
        <f t="shared" ca="1" si="3"/>
        <v>3679.0979999999986</v>
      </c>
      <c r="E445" s="17"/>
      <c r="F445" s="17"/>
    </row>
    <row r="446" spans="1:6" ht="12.75" x14ac:dyDescent="0.2">
      <c r="A446" s="13">
        <f ca="1">IFERROR(__xludf.DUMMYFUNCTION("""COMPUTED_VALUE"""),44482.6458333333)</f>
        <v>44482.645833333299</v>
      </c>
      <c r="B446" s="14">
        <f ca="1">IFERROR(__xludf.DUMMYFUNCTION("""COMPUTED_VALUE"""),3655.2)</f>
        <v>3655.2</v>
      </c>
      <c r="C446" s="15">
        <f t="shared" ca="1" si="2"/>
        <v>6.4333328770693754E-4</v>
      </c>
      <c r="D446" s="14">
        <f t="shared" ca="1" si="3"/>
        <v>3687.8139999999989</v>
      </c>
      <c r="E446" s="17"/>
      <c r="F446" s="17"/>
    </row>
    <row r="447" spans="1:6" ht="12.75" x14ac:dyDescent="0.2">
      <c r="A447" s="13">
        <f ca="1">IFERROR(__xludf.DUMMYFUNCTION("""COMPUTED_VALUE"""),44483.6458333333)</f>
        <v>44483.645833333299</v>
      </c>
      <c r="B447" s="14">
        <f ca="1">IFERROR(__xludf.DUMMYFUNCTION("""COMPUTED_VALUE"""),3611.45)</f>
        <v>3611.45</v>
      </c>
      <c r="C447" s="15">
        <f t="shared" ca="1" si="2"/>
        <v>-1.1969249288684591E-2</v>
      </c>
      <c r="D447" s="14">
        <f t="shared" ca="1" si="3"/>
        <v>3694.3449999999998</v>
      </c>
      <c r="E447" s="17"/>
      <c r="F447" s="17"/>
    </row>
    <row r="448" spans="1:6" ht="12.75" x14ac:dyDescent="0.2">
      <c r="A448" s="13">
        <f ca="1">IFERROR(__xludf.DUMMYFUNCTION("""COMPUTED_VALUE"""),44487.6458333333)</f>
        <v>44487.645833333299</v>
      </c>
      <c r="B448" s="14">
        <f ca="1">IFERROR(__xludf.DUMMYFUNCTION("""COMPUTED_VALUE"""),3647.15)</f>
        <v>3647.15</v>
      </c>
      <c r="C448" s="15">
        <f t="shared" ca="1" si="2"/>
        <v>9.8852261556992005E-3</v>
      </c>
      <c r="D448" s="14">
        <f t="shared" ca="1" si="3"/>
        <v>3701.8089999999997</v>
      </c>
      <c r="E448" s="17"/>
      <c r="F448" s="17"/>
    </row>
    <row r="449" spans="1:6" ht="12.75" x14ac:dyDescent="0.2">
      <c r="A449" s="13">
        <f ca="1">IFERROR(__xludf.DUMMYFUNCTION("""COMPUTED_VALUE"""),44488.6458333333)</f>
        <v>44488.645833333299</v>
      </c>
      <c r="B449" s="14">
        <f ca="1">IFERROR(__xludf.DUMMYFUNCTION("""COMPUTED_VALUE"""),3634.15)</f>
        <v>3634.15</v>
      </c>
      <c r="C449" s="15">
        <f t="shared" ca="1" si="2"/>
        <v>-3.5644270183567972E-3</v>
      </c>
      <c r="D449" s="14">
        <f t="shared" ca="1" si="3"/>
        <v>3708.8129999999992</v>
      </c>
      <c r="E449" s="17"/>
      <c r="F449" s="17"/>
    </row>
    <row r="450" spans="1:6" ht="12.75" x14ac:dyDescent="0.2">
      <c r="A450" s="13">
        <f ca="1">IFERROR(__xludf.DUMMYFUNCTION("""COMPUTED_VALUE"""),44489.6458333333)</f>
        <v>44489.645833333299</v>
      </c>
      <c r="B450" s="14">
        <f ca="1">IFERROR(__xludf.DUMMYFUNCTION("""COMPUTED_VALUE"""),3608.85)</f>
        <v>3608.85</v>
      </c>
      <c r="C450" s="15">
        <f t="shared" ca="1" si="2"/>
        <v>-6.9617379579819394E-3</v>
      </c>
      <c r="D450" s="14">
        <f t="shared" ca="1" si="3"/>
        <v>3714.793999999999</v>
      </c>
      <c r="E450" s="17"/>
      <c r="F450" s="17"/>
    </row>
    <row r="451" spans="1:6" ht="12.75" x14ac:dyDescent="0.2">
      <c r="A451" s="13">
        <f ca="1">IFERROR(__xludf.DUMMYFUNCTION("""COMPUTED_VALUE"""),44490.6458333333)</f>
        <v>44490.645833333299</v>
      </c>
      <c r="B451" s="14">
        <f ca="1">IFERROR(__xludf.DUMMYFUNCTION("""COMPUTED_VALUE"""),3532.5)</f>
        <v>3532.5</v>
      </c>
      <c r="C451" s="15">
        <f t="shared" ca="1" si="2"/>
        <v>-2.1156324036742946E-2</v>
      </c>
      <c r="D451" s="14">
        <f t="shared" ca="1" si="3"/>
        <v>3718.9899999999993</v>
      </c>
      <c r="E451" s="17"/>
      <c r="F451" s="17"/>
    </row>
    <row r="452" spans="1:6" ht="12.75" x14ac:dyDescent="0.2">
      <c r="A452" s="13">
        <f ca="1">IFERROR(__xludf.DUMMYFUNCTION("""COMPUTED_VALUE"""),44491.6458333333)</f>
        <v>44491.645833333299</v>
      </c>
      <c r="B452" s="14">
        <f ca="1">IFERROR(__xludf.DUMMYFUNCTION("""COMPUTED_VALUE"""),3498.85)</f>
        <v>3498.85</v>
      </c>
      <c r="C452" s="15">
        <f t="shared" ca="1" si="2"/>
        <v>-9.5258315640481817E-3</v>
      </c>
      <c r="D452" s="14">
        <f t="shared" ca="1" si="3"/>
        <v>3722.2889999999998</v>
      </c>
      <c r="E452" s="17"/>
      <c r="F452" s="17"/>
    </row>
    <row r="453" spans="1:6" ht="12.75" x14ac:dyDescent="0.2">
      <c r="A453" s="13">
        <f ca="1">IFERROR(__xludf.DUMMYFUNCTION("""COMPUTED_VALUE"""),44494.6458333333)</f>
        <v>44494.645833333299</v>
      </c>
      <c r="B453" s="14">
        <f ca="1">IFERROR(__xludf.DUMMYFUNCTION("""COMPUTED_VALUE"""),3492.95)</f>
        <v>3492.95</v>
      </c>
      <c r="C453" s="15">
        <f t="shared" ca="1" si="2"/>
        <v>-1.6862683453134908E-3</v>
      </c>
      <c r="D453" s="14">
        <f t="shared" ca="1" si="3"/>
        <v>3725.2639999999997</v>
      </c>
      <c r="E453" s="17"/>
      <c r="F453" s="17"/>
    </row>
    <row r="454" spans="1:6" ht="12.75" x14ac:dyDescent="0.2">
      <c r="A454" s="13">
        <f ca="1">IFERROR(__xludf.DUMMYFUNCTION("""COMPUTED_VALUE"""),44495.6458333333)</f>
        <v>44495.645833333299</v>
      </c>
      <c r="B454" s="14">
        <f ca="1">IFERROR(__xludf.DUMMYFUNCTION("""COMPUTED_VALUE"""),3482.6)</f>
        <v>3482.6</v>
      </c>
      <c r="C454" s="15">
        <f t="shared" ca="1" si="2"/>
        <v>-2.9631114101260625E-3</v>
      </c>
      <c r="D454" s="14">
        <f t="shared" ca="1" si="3"/>
        <v>3727.8810000000003</v>
      </c>
      <c r="E454" s="17"/>
      <c r="F454" s="17"/>
    </row>
    <row r="455" spans="1:6" ht="12.75" x14ac:dyDescent="0.2">
      <c r="A455" s="13">
        <f ca="1">IFERROR(__xludf.DUMMYFUNCTION("""COMPUTED_VALUE"""),44496.6458333333)</f>
        <v>44496.645833333299</v>
      </c>
      <c r="B455" s="14">
        <f ca="1">IFERROR(__xludf.DUMMYFUNCTION("""COMPUTED_VALUE"""),3489.75)</f>
        <v>3489.75</v>
      </c>
      <c r="C455" s="15">
        <f t="shared" ca="1" si="2"/>
        <v>2.05306380290593E-3</v>
      </c>
      <c r="D455" s="14">
        <f t="shared" ca="1" si="3"/>
        <v>3728.4080000000004</v>
      </c>
      <c r="E455" s="17"/>
      <c r="F455" s="17"/>
    </row>
    <row r="456" spans="1:6" ht="12.75" x14ac:dyDescent="0.2">
      <c r="A456" s="13">
        <f ca="1">IFERROR(__xludf.DUMMYFUNCTION("""COMPUTED_VALUE"""),44497.6458333333)</f>
        <v>44497.645833333299</v>
      </c>
      <c r="B456" s="14">
        <f ca="1">IFERROR(__xludf.DUMMYFUNCTION("""COMPUTED_VALUE"""),3421.65)</f>
        <v>3421.65</v>
      </c>
      <c r="C456" s="15">
        <f t="shared" ca="1" si="2"/>
        <v>-1.9514291854717314E-2</v>
      </c>
      <c r="D456" s="14">
        <f t="shared" ca="1" si="3"/>
        <v>3727.3820000000005</v>
      </c>
      <c r="E456" s="17"/>
      <c r="F456" s="17"/>
    </row>
    <row r="457" spans="1:6" ht="12.75" x14ac:dyDescent="0.2">
      <c r="A457" s="13">
        <f ca="1">IFERROR(__xludf.DUMMYFUNCTION("""COMPUTED_VALUE"""),44498.6458333333)</f>
        <v>44498.645833333299</v>
      </c>
      <c r="B457" s="14">
        <f ca="1">IFERROR(__xludf.DUMMYFUNCTION("""COMPUTED_VALUE"""),3397.75)</f>
        <v>3397.75</v>
      </c>
      <c r="C457" s="15">
        <f t="shared" ca="1" si="2"/>
        <v>-6.98493416918744E-3</v>
      </c>
      <c r="D457" s="14">
        <f t="shared" ca="1" si="3"/>
        <v>3724.2760000000007</v>
      </c>
      <c r="E457" s="17"/>
      <c r="F457" s="17"/>
    </row>
    <row r="458" spans="1:6" ht="12.75" x14ac:dyDescent="0.2">
      <c r="A458" s="13">
        <f ca="1">IFERROR(__xludf.DUMMYFUNCTION("""COMPUTED_VALUE"""),44501.6458333333)</f>
        <v>44501.645833333299</v>
      </c>
      <c r="B458" s="14">
        <f ca="1">IFERROR(__xludf.DUMMYFUNCTION("""COMPUTED_VALUE"""),3476.4)</f>
        <v>3476.4</v>
      </c>
      <c r="C458" s="15">
        <f t="shared" ca="1" si="2"/>
        <v>2.3147671253035185E-2</v>
      </c>
      <c r="D458" s="14">
        <f t="shared" ca="1" si="3"/>
        <v>3722.5930000000003</v>
      </c>
      <c r="E458" s="17"/>
      <c r="F458" s="17"/>
    </row>
    <row r="459" spans="1:6" ht="12.75" x14ac:dyDescent="0.2">
      <c r="A459" s="13">
        <f ca="1">IFERROR(__xludf.DUMMYFUNCTION("""COMPUTED_VALUE"""),44502.6458333333)</f>
        <v>44502.645833333299</v>
      </c>
      <c r="B459" s="14">
        <f ca="1">IFERROR(__xludf.DUMMYFUNCTION("""COMPUTED_VALUE"""),3484.2)</f>
        <v>3484.2</v>
      </c>
      <c r="C459" s="15">
        <f t="shared" ca="1" si="2"/>
        <v>2.2437003797031174E-3</v>
      </c>
      <c r="D459" s="14">
        <f t="shared" ca="1" si="3"/>
        <v>3721.0870000000009</v>
      </c>
      <c r="E459" s="17"/>
      <c r="F459" s="17"/>
    </row>
    <row r="460" spans="1:6" ht="12.75" x14ac:dyDescent="0.2">
      <c r="A460" s="13">
        <f ca="1">IFERROR(__xludf.DUMMYFUNCTION("""COMPUTED_VALUE"""),44503.6458333333)</f>
        <v>44503.645833333299</v>
      </c>
      <c r="B460" s="14">
        <f ca="1">IFERROR(__xludf.DUMMYFUNCTION("""COMPUTED_VALUE"""),3492.25)</f>
        <v>3492.25</v>
      </c>
      <c r="C460" s="15">
        <f t="shared" ca="1" si="2"/>
        <v>2.3104299408760465E-3</v>
      </c>
      <c r="D460" s="14">
        <f t="shared" ca="1" si="3"/>
        <v>3718.1840000000007</v>
      </c>
      <c r="E460" s="17"/>
      <c r="F460" s="17"/>
    </row>
    <row r="461" spans="1:6" ht="12.75" x14ac:dyDescent="0.2">
      <c r="A461" s="13">
        <f ca="1">IFERROR(__xludf.DUMMYFUNCTION("""COMPUTED_VALUE"""),44504.8020833333)</f>
        <v>44504.802083333299</v>
      </c>
      <c r="B461" s="14">
        <f ca="1">IFERROR(__xludf.DUMMYFUNCTION("""COMPUTED_VALUE"""),3508.65)</f>
        <v>3508.65</v>
      </c>
      <c r="C461" s="15">
        <f t="shared" ca="1" si="2"/>
        <v>4.6961128212470449E-3</v>
      </c>
      <c r="D461" s="14">
        <f t="shared" ca="1" si="3"/>
        <v>3716.0930000000003</v>
      </c>
      <c r="E461" s="17"/>
      <c r="F461" s="17"/>
    </row>
    <row r="462" spans="1:6" ht="12.75" x14ac:dyDescent="0.2">
      <c r="A462" s="13">
        <f ca="1">IFERROR(__xludf.DUMMYFUNCTION("""COMPUTED_VALUE"""),44508.6458333333)</f>
        <v>44508.645833333299</v>
      </c>
      <c r="B462" s="14">
        <f ca="1">IFERROR(__xludf.DUMMYFUNCTION("""COMPUTED_VALUE"""),3502.75)</f>
        <v>3502.75</v>
      </c>
      <c r="C462" s="15">
        <f t="shared" ca="1" si="2"/>
        <v>-1.6815584341556278E-3</v>
      </c>
      <c r="D462" s="14">
        <f t="shared" ca="1" si="3"/>
        <v>3712.9679999999998</v>
      </c>
      <c r="E462" s="17"/>
      <c r="F462" s="17"/>
    </row>
    <row r="463" spans="1:6" ht="12.75" x14ac:dyDescent="0.2">
      <c r="A463" s="13">
        <f ca="1">IFERROR(__xludf.DUMMYFUNCTION("""COMPUTED_VALUE"""),44509.6458333333)</f>
        <v>44509.645833333299</v>
      </c>
      <c r="B463" s="14">
        <f ca="1">IFERROR(__xludf.DUMMYFUNCTION("""COMPUTED_VALUE"""),3505.7)</f>
        <v>3505.7</v>
      </c>
      <c r="C463" s="15">
        <f t="shared" ca="1" si="2"/>
        <v>8.4219541788588259E-4</v>
      </c>
      <c r="D463" s="14">
        <f t="shared" ca="1" si="3"/>
        <v>3709.6450000000004</v>
      </c>
      <c r="E463" s="17"/>
      <c r="F463" s="17"/>
    </row>
    <row r="464" spans="1:6" ht="12.75" x14ac:dyDescent="0.2">
      <c r="A464" s="13">
        <f ca="1">IFERROR(__xludf.DUMMYFUNCTION("""COMPUTED_VALUE"""),44510.6458333333)</f>
        <v>44510.645833333299</v>
      </c>
      <c r="B464" s="14">
        <f ca="1">IFERROR(__xludf.DUMMYFUNCTION("""COMPUTED_VALUE"""),3484.3)</f>
        <v>3484.3</v>
      </c>
      <c r="C464" s="15">
        <f t="shared" ca="1" si="2"/>
        <v>-6.1043443534813946E-3</v>
      </c>
      <c r="D464" s="14">
        <f t="shared" ca="1" si="3"/>
        <v>3704.9279999999999</v>
      </c>
      <c r="E464" s="17"/>
      <c r="F464" s="17"/>
    </row>
    <row r="465" spans="1:6" ht="12.75" x14ac:dyDescent="0.2">
      <c r="A465" s="13">
        <f ca="1">IFERROR(__xludf.DUMMYFUNCTION("""COMPUTED_VALUE"""),44511.6458333333)</f>
        <v>44511.645833333299</v>
      </c>
      <c r="B465" s="14">
        <f ca="1">IFERROR(__xludf.DUMMYFUNCTION("""COMPUTED_VALUE"""),3488.2)</f>
        <v>3488.2</v>
      </c>
      <c r="C465" s="15">
        <f t="shared" ca="1" si="2"/>
        <v>1.1193066039087984E-3</v>
      </c>
      <c r="D465" s="14">
        <f t="shared" ca="1" si="3"/>
        <v>3700.6660000000002</v>
      </c>
      <c r="E465" s="17"/>
      <c r="F465" s="17"/>
    </row>
    <row r="466" spans="1:6" ht="12.75" x14ac:dyDescent="0.2">
      <c r="A466" s="13">
        <f ca="1">IFERROR(__xludf.DUMMYFUNCTION("""COMPUTED_VALUE"""),44512.6458333333)</f>
        <v>44512.645833333299</v>
      </c>
      <c r="B466" s="14">
        <f ca="1">IFERROR(__xludf.DUMMYFUNCTION("""COMPUTED_VALUE"""),3526.05)</f>
        <v>3526.05</v>
      </c>
      <c r="C466" s="15">
        <f t="shared" ca="1" si="2"/>
        <v>1.0850868642853229E-2</v>
      </c>
      <c r="D466" s="14">
        <f t="shared" ca="1" si="3"/>
        <v>3695.4580000000001</v>
      </c>
      <c r="E466" s="17"/>
      <c r="F466" s="17"/>
    </row>
    <row r="467" spans="1:6" ht="12.75" x14ac:dyDescent="0.2">
      <c r="A467" s="13">
        <f ca="1">IFERROR(__xludf.DUMMYFUNCTION("""COMPUTED_VALUE"""),44515.6458333333)</f>
        <v>44515.645833333299</v>
      </c>
      <c r="B467" s="14">
        <f ca="1">IFERROR(__xludf.DUMMYFUNCTION("""COMPUTED_VALUE"""),3553.3)</f>
        <v>3553.3</v>
      </c>
      <c r="C467" s="15">
        <f t="shared" ca="1" si="2"/>
        <v>7.7281944385361179E-3</v>
      </c>
      <c r="D467" s="14">
        <f t="shared" ca="1" si="3"/>
        <v>3692.2249999999995</v>
      </c>
      <c r="E467" s="17"/>
      <c r="F467" s="17"/>
    </row>
    <row r="468" spans="1:6" ht="12.75" x14ac:dyDescent="0.2">
      <c r="A468" s="13">
        <f ca="1">IFERROR(__xludf.DUMMYFUNCTION("""COMPUTED_VALUE"""),44516.6458333333)</f>
        <v>44516.645833333299</v>
      </c>
      <c r="B468" s="14">
        <f ca="1">IFERROR(__xludf.DUMMYFUNCTION("""COMPUTED_VALUE"""),3556.4)</f>
        <v>3556.4</v>
      </c>
      <c r="C468" s="15">
        <f t="shared" ca="1" si="2"/>
        <v>8.7242844679580323E-4</v>
      </c>
      <c r="D468" s="14">
        <f t="shared" ca="1" si="3"/>
        <v>3686.6179999999995</v>
      </c>
      <c r="E468" s="17"/>
      <c r="F468" s="17"/>
    </row>
    <row r="469" spans="1:6" ht="12.75" x14ac:dyDescent="0.2">
      <c r="A469" s="13">
        <f ca="1">IFERROR(__xludf.DUMMYFUNCTION("""COMPUTED_VALUE"""),44517.6458333333)</f>
        <v>44517.645833333299</v>
      </c>
      <c r="B469" s="14">
        <f ca="1">IFERROR(__xludf.DUMMYFUNCTION("""COMPUTED_VALUE"""),3521.9)</f>
        <v>3521.9</v>
      </c>
      <c r="C469" s="15">
        <f t="shared" ca="1" si="2"/>
        <v>-9.7008210549994756E-3</v>
      </c>
      <c r="D469" s="14">
        <f t="shared" ca="1" si="3"/>
        <v>3680.2149999999992</v>
      </c>
      <c r="E469" s="17"/>
      <c r="F469" s="17"/>
    </row>
    <row r="470" spans="1:6" ht="12.75" x14ac:dyDescent="0.2">
      <c r="A470" s="13">
        <f ca="1">IFERROR(__xludf.DUMMYFUNCTION("""COMPUTED_VALUE"""),44518.6458333333)</f>
        <v>44518.645833333299</v>
      </c>
      <c r="B470" s="14">
        <f ca="1">IFERROR(__xludf.DUMMYFUNCTION("""COMPUTED_VALUE"""),3475.7)</f>
        <v>3475.7</v>
      </c>
      <c r="C470" s="15">
        <f t="shared" ca="1" si="2"/>
        <v>-1.3117919304920678E-2</v>
      </c>
      <c r="D470" s="14">
        <f t="shared" ca="1" si="3"/>
        <v>3672.6889999999999</v>
      </c>
      <c r="E470" s="17"/>
      <c r="F470" s="17"/>
    </row>
    <row r="471" spans="1:6" ht="12.75" x14ac:dyDescent="0.2">
      <c r="A471" s="13">
        <f ca="1">IFERROR(__xludf.DUMMYFUNCTION("""COMPUTED_VALUE"""),44522.6458333333)</f>
        <v>44522.645833333299</v>
      </c>
      <c r="B471" s="14">
        <f ca="1">IFERROR(__xludf.DUMMYFUNCTION("""COMPUTED_VALUE"""),3458.4)</f>
        <v>3458.4</v>
      </c>
      <c r="C471" s="15">
        <f t="shared" ca="1" si="2"/>
        <v>-4.9774146215150195E-3</v>
      </c>
      <c r="D471" s="14">
        <f t="shared" ca="1" si="3"/>
        <v>3665.5389999999998</v>
      </c>
      <c r="E471" s="17"/>
      <c r="F471" s="17"/>
    </row>
    <row r="472" spans="1:6" ht="12.75" x14ac:dyDescent="0.2">
      <c r="A472" s="13">
        <f ca="1">IFERROR(__xludf.DUMMYFUNCTION("""COMPUTED_VALUE"""),44523.6458333333)</f>
        <v>44523.645833333299</v>
      </c>
      <c r="B472" s="14">
        <f ca="1">IFERROR(__xludf.DUMMYFUNCTION("""COMPUTED_VALUE"""),3464.25)</f>
        <v>3464.25</v>
      </c>
      <c r="C472" s="15">
        <f t="shared" ca="1" si="2"/>
        <v>1.6915336571825534E-3</v>
      </c>
      <c r="D472" s="14">
        <f t="shared" ca="1" si="3"/>
        <v>3659.3409999999999</v>
      </c>
      <c r="E472" s="17"/>
      <c r="F472" s="17"/>
    </row>
    <row r="473" spans="1:6" ht="12.75" x14ac:dyDescent="0.2">
      <c r="A473" s="13">
        <f ca="1">IFERROR(__xludf.DUMMYFUNCTION("""COMPUTED_VALUE"""),44524.6458333333)</f>
        <v>44524.645833333299</v>
      </c>
      <c r="B473" s="14">
        <f ca="1">IFERROR(__xludf.DUMMYFUNCTION("""COMPUTED_VALUE"""),3443.3)</f>
        <v>3443.3</v>
      </c>
      <c r="C473" s="15">
        <f t="shared" ca="1" si="2"/>
        <v>-6.047485025618804E-3</v>
      </c>
      <c r="D473" s="14">
        <f t="shared" ca="1" si="3"/>
        <v>3652.378999999999</v>
      </c>
      <c r="E473" s="17"/>
      <c r="F473" s="17"/>
    </row>
    <row r="474" spans="1:6" ht="12.75" x14ac:dyDescent="0.2">
      <c r="A474" s="13">
        <f ca="1">IFERROR(__xludf.DUMMYFUNCTION("""COMPUTED_VALUE"""),44525.6458333333)</f>
        <v>44525.645833333299</v>
      </c>
      <c r="B474" s="14">
        <f ca="1">IFERROR(__xludf.DUMMYFUNCTION("""COMPUTED_VALUE"""),3445.9)</f>
        <v>3445.9</v>
      </c>
      <c r="C474" s="15">
        <f t="shared" ca="1" si="2"/>
        <v>7.5508959428449707E-4</v>
      </c>
      <c r="D474" s="14">
        <f t="shared" ca="1" si="3"/>
        <v>3644.3899999999994</v>
      </c>
      <c r="E474" s="17"/>
      <c r="F474" s="17"/>
    </row>
    <row r="475" spans="1:6" ht="12.75" x14ac:dyDescent="0.2">
      <c r="A475" s="13">
        <f ca="1">IFERROR(__xludf.DUMMYFUNCTION("""COMPUTED_VALUE"""),44526.6458333333)</f>
        <v>44526.645833333299</v>
      </c>
      <c r="B475" s="14">
        <f ca="1">IFERROR(__xludf.DUMMYFUNCTION("""COMPUTED_VALUE"""),3446.85)</f>
        <v>3446.85</v>
      </c>
      <c r="C475" s="15">
        <f t="shared" ca="1" si="2"/>
        <v>2.7568995037574595E-4</v>
      </c>
      <c r="D475" s="14">
        <f t="shared" ca="1" si="3"/>
        <v>3635.6089999999995</v>
      </c>
      <c r="E475" s="17"/>
      <c r="F475" s="17"/>
    </row>
    <row r="476" spans="1:6" ht="12.75" x14ac:dyDescent="0.2">
      <c r="A476" s="13">
        <f ca="1">IFERROR(__xludf.DUMMYFUNCTION("""COMPUTED_VALUE"""),44529.6458333333)</f>
        <v>44529.645833333299</v>
      </c>
      <c r="B476" s="14">
        <f ca="1">IFERROR(__xludf.DUMMYFUNCTION("""COMPUTED_VALUE"""),3502)</f>
        <v>3502</v>
      </c>
      <c r="C476" s="15">
        <f t="shared" ca="1" si="2"/>
        <v>1.6000116047985902E-2</v>
      </c>
      <c r="D476" s="14">
        <f t="shared" ca="1" si="3"/>
        <v>3626.5579999999991</v>
      </c>
      <c r="E476" s="17"/>
      <c r="F476" s="17"/>
    </row>
    <row r="477" spans="1:6" ht="12.75" x14ac:dyDescent="0.2">
      <c r="A477" s="13">
        <f ca="1">IFERROR(__xludf.DUMMYFUNCTION("""COMPUTED_VALUE"""),44530.6458333333)</f>
        <v>44530.645833333299</v>
      </c>
      <c r="B477" s="14">
        <f ca="1">IFERROR(__xludf.DUMMYFUNCTION("""COMPUTED_VALUE"""),3529.15)</f>
        <v>3529.15</v>
      </c>
      <c r="C477" s="15">
        <f t="shared" ca="1" si="2"/>
        <v>7.7527127355796477E-3</v>
      </c>
      <c r="D477" s="14">
        <f t="shared" ca="1" si="3"/>
        <v>3619.0749999999989</v>
      </c>
      <c r="E477" s="17"/>
      <c r="F477" s="17"/>
    </row>
    <row r="478" spans="1:6" ht="12.75" x14ac:dyDescent="0.2">
      <c r="A478" s="13">
        <f ca="1">IFERROR(__xludf.DUMMYFUNCTION("""COMPUTED_VALUE"""),44531.6458333333)</f>
        <v>44531.645833333299</v>
      </c>
      <c r="B478" s="14">
        <f ca="1">IFERROR(__xludf.DUMMYFUNCTION("""COMPUTED_VALUE"""),3577.8)</f>
        <v>3577.8</v>
      </c>
      <c r="C478" s="15">
        <f t="shared" ca="1" si="2"/>
        <v>1.3785189068189263E-2</v>
      </c>
      <c r="D478" s="14">
        <f t="shared" ca="1" si="3"/>
        <v>3614.0739999999987</v>
      </c>
      <c r="E478" s="17"/>
      <c r="F478" s="17"/>
    </row>
    <row r="479" spans="1:6" ht="12.75" x14ac:dyDescent="0.2">
      <c r="A479" s="13">
        <f ca="1">IFERROR(__xludf.DUMMYFUNCTION("""COMPUTED_VALUE"""),44532.6458333333)</f>
        <v>44532.645833333299</v>
      </c>
      <c r="B479" s="14">
        <f ca="1">IFERROR(__xludf.DUMMYFUNCTION("""COMPUTED_VALUE"""),3642.9)</f>
        <v>3642.9</v>
      </c>
      <c r="C479" s="15">
        <f t="shared" ca="1" si="2"/>
        <v>1.8195539158141871E-2</v>
      </c>
      <c r="D479" s="14">
        <f t="shared" ca="1" si="3"/>
        <v>3610.4619999999982</v>
      </c>
      <c r="E479" s="17"/>
      <c r="F479" s="17"/>
    </row>
    <row r="480" spans="1:6" ht="12.75" x14ac:dyDescent="0.2">
      <c r="A480" s="13">
        <f ca="1">IFERROR(__xludf.DUMMYFUNCTION("""COMPUTED_VALUE"""),44533.6458333333)</f>
        <v>44533.645833333299</v>
      </c>
      <c r="B480" s="14">
        <f ca="1">IFERROR(__xludf.DUMMYFUNCTION("""COMPUTED_VALUE"""),3640.45)</f>
        <v>3640.45</v>
      </c>
      <c r="C480" s="15">
        <f t="shared" ca="1" si="2"/>
        <v>-6.7254110735959216E-4</v>
      </c>
      <c r="D480" s="14">
        <f t="shared" ca="1" si="3"/>
        <v>3606.0119999999988</v>
      </c>
      <c r="E480" s="17"/>
      <c r="F480" s="17"/>
    </row>
    <row r="481" spans="1:6" ht="12.75" x14ac:dyDescent="0.2">
      <c r="A481" s="13">
        <f ca="1">IFERROR(__xludf.DUMMYFUNCTION("""COMPUTED_VALUE"""),44536.6458333333)</f>
        <v>44536.645833333299</v>
      </c>
      <c r="B481" s="14">
        <f ca="1">IFERROR(__xludf.DUMMYFUNCTION("""COMPUTED_VALUE"""),3536.4)</f>
        <v>3536.4</v>
      </c>
      <c r="C481" s="15">
        <f t="shared" ca="1" si="2"/>
        <v>-2.8581631391723428E-2</v>
      </c>
      <c r="D481" s="14">
        <f t="shared" ca="1" si="3"/>
        <v>3599.4969999999994</v>
      </c>
      <c r="E481" s="17"/>
      <c r="F481" s="17"/>
    </row>
    <row r="482" spans="1:6" ht="12.75" x14ac:dyDescent="0.2">
      <c r="A482" s="13">
        <f ca="1">IFERROR(__xludf.DUMMYFUNCTION("""COMPUTED_VALUE"""),44537.6458333333)</f>
        <v>44537.645833333299</v>
      </c>
      <c r="B482" s="14">
        <f ca="1">IFERROR(__xludf.DUMMYFUNCTION("""COMPUTED_VALUE"""),3584.5)</f>
        <v>3584.5</v>
      </c>
      <c r="C482" s="15">
        <f t="shared" ca="1" si="2"/>
        <v>1.3601402556271847E-2</v>
      </c>
      <c r="D482" s="14">
        <f t="shared" ca="1" si="3"/>
        <v>3593.8019999999988</v>
      </c>
      <c r="E482" s="17"/>
      <c r="F482" s="17"/>
    </row>
    <row r="483" spans="1:6" ht="12.75" x14ac:dyDescent="0.2">
      <c r="A483" s="13">
        <f ca="1">IFERROR(__xludf.DUMMYFUNCTION("""COMPUTED_VALUE"""),44538.6458333333)</f>
        <v>44538.645833333299</v>
      </c>
      <c r="B483" s="14">
        <f ca="1">IFERROR(__xludf.DUMMYFUNCTION("""COMPUTED_VALUE"""),3626.9)</f>
        <v>3626.9</v>
      </c>
      <c r="C483" s="15">
        <f t="shared" ca="1" si="2"/>
        <v>1.1828706932626609E-2</v>
      </c>
      <c r="D483" s="14">
        <f t="shared" ca="1" si="3"/>
        <v>3588.9139999999984</v>
      </c>
      <c r="E483" s="17"/>
      <c r="F483" s="17"/>
    </row>
    <row r="484" spans="1:6" ht="12.75" x14ac:dyDescent="0.2">
      <c r="A484" s="13">
        <f ca="1">IFERROR(__xludf.DUMMYFUNCTION("""COMPUTED_VALUE"""),44539.6458333333)</f>
        <v>44539.645833333299</v>
      </c>
      <c r="B484" s="14">
        <f ca="1">IFERROR(__xludf.DUMMYFUNCTION("""COMPUTED_VALUE"""),3601.75)</f>
        <v>3601.75</v>
      </c>
      <c r="C484" s="15">
        <f t="shared" ca="1" si="2"/>
        <v>-6.9342965066585549E-3</v>
      </c>
      <c r="D484" s="14">
        <f t="shared" ca="1" si="3"/>
        <v>3584.2099999999987</v>
      </c>
      <c r="E484" s="17"/>
      <c r="F484" s="17"/>
    </row>
    <row r="485" spans="1:6" ht="12.75" x14ac:dyDescent="0.2">
      <c r="A485" s="13">
        <f ca="1">IFERROR(__xludf.DUMMYFUNCTION("""COMPUTED_VALUE"""),44540.6458333333)</f>
        <v>44540.645833333299</v>
      </c>
      <c r="B485" s="14">
        <f ca="1">IFERROR(__xludf.DUMMYFUNCTION("""COMPUTED_VALUE"""),3636.8)</f>
        <v>3636.8</v>
      </c>
      <c r="C485" s="15">
        <f t="shared" ca="1" si="2"/>
        <v>9.7313805788852292E-3</v>
      </c>
      <c r="D485" s="14">
        <f t="shared" ca="1" si="3"/>
        <v>3581.362999999998</v>
      </c>
      <c r="E485" s="17"/>
      <c r="F485" s="17"/>
    </row>
    <row r="486" spans="1:6" ht="12.75" x14ac:dyDescent="0.2">
      <c r="A486" s="13">
        <f ca="1">IFERROR(__xludf.DUMMYFUNCTION("""COMPUTED_VALUE"""),44543.6458333333)</f>
        <v>44543.645833333299</v>
      </c>
      <c r="B486" s="14">
        <f ca="1">IFERROR(__xludf.DUMMYFUNCTION("""COMPUTED_VALUE"""),3609.65)</f>
        <v>3609.65</v>
      </c>
      <c r="C486" s="15">
        <f t="shared" ca="1" si="2"/>
        <v>-7.4653541575011584E-3</v>
      </c>
      <c r="D486" s="14">
        <f t="shared" ca="1" si="3"/>
        <v>3577.717999999998</v>
      </c>
      <c r="E486" s="17"/>
      <c r="F486" s="17"/>
    </row>
    <row r="487" spans="1:6" ht="12.75" x14ac:dyDescent="0.2">
      <c r="A487" s="13">
        <f ca="1">IFERROR(__xludf.DUMMYFUNCTION("""COMPUTED_VALUE"""),44544.6458333333)</f>
        <v>44544.645833333299</v>
      </c>
      <c r="B487" s="14">
        <f ca="1">IFERROR(__xludf.DUMMYFUNCTION("""COMPUTED_VALUE"""),3623.8)</f>
        <v>3623.8</v>
      </c>
      <c r="C487" s="15">
        <f t="shared" ca="1" si="2"/>
        <v>3.9200476500491632E-3</v>
      </c>
      <c r="D487" s="14">
        <f t="shared" ca="1" si="3"/>
        <v>3574.6829999999982</v>
      </c>
      <c r="E487" s="17"/>
      <c r="F487" s="17"/>
    </row>
    <row r="488" spans="1:6" ht="12.75" x14ac:dyDescent="0.2">
      <c r="A488" s="13">
        <f ca="1">IFERROR(__xludf.DUMMYFUNCTION("""COMPUTED_VALUE"""),44545.6458333333)</f>
        <v>44545.645833333299</v>
      </c>
      <c r="B488" s="14">
        <f ca="1">IFERROR(__xludf.DUMMYFUNCTION("""COMPUTED_VALUE"""),3570.35)</f>
        <v>3570.35</v>
      </c>
      <c r="C488" s="15">
        <f t="shared" ca="1" si="2"/>
        <v>-1.4749710248910031E-2</v>
      </c>
      <c r="D488" s="14">
        <f t="shared" ca="1" si="3"/>
        <v>3571.4859999999981</v>
      </c>
      <c r="E488" s="17"/>
      <c r="F488" s="17"/>
    </row>
    <row r="489" spans="1:6" ht="12.75" x14ac:dyDescent="0.2">
      <c r="A489" s="13">
        <f ca="1">IFERROR(__xludf.DUMMYFUNCTION("""COMPUTED_VALUE"""),44546.6458333333)</f>
        <v>44546.645833333299</v>
      </c>
      <c r="B489" s="14">
        <f ca="1">IFERROR(__xludf.DUMMYFUNCTION("""COMPUTED_VALUE"""),3581.6)</f>
        <v>3581.6</v>
      </c>
      <c r="C489" s="15">
        <f t="shared" ca="1" si="2"/>
        <v>3.1509515873793248E-3</v>
      </c>
      <c r="D489" s="14">
        <f t="shared" ca="1" si="3"/>
        <v>3567.6519999999991</v>
      </c>
      <c r="E489" s="17"/>
      <c r="F489" s="17"/>
    </row>
    <row r="490" spans="1:6" ht="12.75" x14ac:dyDescent="0.2">
      <c r="A490" s="13">
        <f ca="1">IFERROR(__xludf.DUMMYFUNCTION("""COMPUTED_VALUE"""),44547.6458333333)</f>
        <v>44547.645833333299</v>
      </c>
      <c r="B490" s="14">
        <f ca="1">IFERROR(__xludf.DUMMYFUNCTION("""COMPUTED_VALUE"""),3584.35)</f>
        <v>3584.35</v>
      </c>
      <c r="C490" s="15">
        <f t="shared" ca="1" si="2"/>
        <v>7.6781326781327763E-4</v>
      </c>
      <c r="D490" s="14">
        <f t="shared" ca="1" si="3"/>
        <v>3562.6729999999993</v>
      </c>
      <c r="E490" s="17"/>
      <c r="F490" s="17"/>
    </row>
    <row r="491" spans="1:6" ht="12.75" x14ac:dyDescent="0.2">
      <c r="A491" s="13">
        <f ca="1">IFERROR(__xludf.DUMMYFUNCTION("""COMPUTED_VALUE"""),44550.6458333333)</f>
        <v>44550.645833333299</v>
      </c>
      <c r="B491" s="14">
        <f ca="1">IFERROR(__xludf.DUMMYFUNCTION("""COMPUTED_VALUE"""),3556.9)</f>
        <v>3556.9</v>
      </c>
      <c r="C491" s="15">
        <f t="shared" ca="1" si="2"/>
        <v>-7.6582922984641533E-3</v>
      </c>
      <c r="D491" s="14">
        <f t="shared" ca="1" si="3"/>
        <v>3557.5929999999989</v>
      </c>
      <c r="E491" s="17"/>
      <c r="F491" s="17"/>
    </row>
    <row r="492" spans="1:6" ht="12.75" x14ac:dyDescent="0.2">
      <c r="A492" s="13">
        <f ca="1">IFERROR(__xludf.DUMMYFUNCTION("""COMPUTED_VALUE"""),44551.6458333333)</f>
        <v>44551.645833333299</v>
      </c>
      <c r="B492" s="14">
        <f ca="1">IFERROR(__xludf.DUMMYFUNCTION("""COMPUTED_VALUE"""),3608.3)</f>
        <v>3608.3</v>
      </c>
      <c r="C492" s="15">
        <f t="shared" ca="1" si="2"/>
        <v>1.4450785796620735E-2</v>
      </c>
      <c r="D492" s="14">
        <f t="shared" ca="1" si="3"/>
        <v>3551.9009999999985</v>
      </c>
      <c r="E492" s="17"/>
      <c r="F492" s="17"/>
    </row>
    <row r="493" spans="1:6" ht="12.75" x14ac:dyDescent="0.2">
      <c r="A493" s="13">
        <f ca="1">IFERROR(__xludf.DUMMYFUNCTION("""COMPUTED_VALUE"""),44552.6458333333)</f>
        <v>44552.645833333299</v>
      </c>
      <c r="B493" s="14">
        <f ca="1">IFERROR(__xludf.DUMMYFUNCTION("""COMPUTED_VALUE"""),3630.75)</f>
        <v>3630.75</v>
      </c>
      <c r="C493" s="15">
        <f t="shared" ca="1" si="2"/>
        <v>6.2217664828312369E-3</v>
      </c>
      <c r="D493" s="14">
        <f t="shared" ca="1" si="3"/>
        <v>3545.8029999999985</v>
      </c>
      <c r="E493" s="17"/>
      <c r="F493" s="17"/>
    </row>
    <row r="494" spans="1:6" ht="12.75" x14ac:dyDescent="0.2">
      <c r="A494" s="13">
        <f ca="1">IFERROR(__xludf.DUMMYFUNCTION("""COMPUTED_VALUE"""),44553.6458333333)</f>
        <v>44553.645833333299</v>
      </c>
      <c r="B494" s="14">
        <f ca="1">IFERROR(__xludf.DUMMYFUNCTION("""COMPUTED_VALUE"""),3662.7)</f>
        <v>3662.7</v>
      </c>
      <c r="C494" s="15">
        <f t="shared" ca="1" si="2"/>
        <v>8.7998347448874359E-3</v>
      </c>
      <c r="D494" s="14">
        <f t="shared" ca="1" si="3"/>
        <v>3545.3449999999989</v>
      </c>
      <c r="E494" s="17"/>
      <c r="F494" s="17"/>
    </row>
    <row r="495" spans="1:6" ht="12.75" x14ac:dyDescent="0.2">
      <c r="A495" s="13">
        <f ca="1">IFERROR(__xludf.DUMMYFUNCTION("""COMPUTED_VALUE"""),44554.6458333333)</f>
        <v>44554.645833333299</v>
      </c>
      <c r="B495" s="14">
        <f ca="1">IFERROR(__xludf.DUMMYFUNCTION("""COMPUTED_VALUE"""),3670.9)</f>
        <v>3670.9</v>
      </c>
      <c r="C495" s="15">
        <f t="shared" ca="1" si="2"/>
        <v>2.2387855953258651E-3</v>
      </c>
      <c r="D495" s="14">
        <f t="shared" ca="1" si="3"/>
        <v>3545.7059999999988</v>
      </c>
      <c r="E495" s="17"/>
      <c r="F495" s="17"/>
    </row>
    <row r="496" spans="1:6" ht="12.75" x14ac:dyDescent="0.2">
      <c r="A496" s="13">
        <f ca="1">IFERROR(__xludf.DUMMYFUNCTION("""COMPUTED_VALUE"""),44557.6458333333)</f>
        <v>44557.645833333299</v>
      </c>
      <c r="B496" s="14">
        <f ca="1">IFERROR(__xludf.DUMMYFUNCTION("""COMPUTED_VALUE"""),3696.1)</f>
        <v>3696.1</v>
      </c>
      <c r="C496" s="15">
        <f t="shared" ca="1" si="2"/>
        <v>6.864801547304511E-3</v>
      </c>
      <c r="D496" s="14">
        <f t="shared" ca="1" si="3"/>
        <v>3546.5239999999985</v>
      </c>
      <c r="E496" s="17"/>
      <c r="F496" s="17"/>
    </row>
    <row r="497" spans="1:6" ht="12.75" x14ac:dyDescent="0.2">
      <c r="A497" s="13">
        <f ca="1">IFERROR(__xludf.DUMMYFUNCTION("""COMPUTED_VALUE"""),44558.6458333333)</f>
        <v>44558.645833333299</v>
      </c>
      <c r="B497" s="14">
        <f ca="1">IFERROR(__xludf.DUMMYFUNCTION("""COMPUTED_VALUE"""),3706.55)</f>
        <v>3706.55</v>
      </c>
      <c r="C497" s="15">
        <f t="shared" ca="1" si="2"/>
        <v>2.8273044560482852E-3</v>
      </c>
      <c r="D497" s="14">
        <f t="shared" ca="1" si="3"/>
        <v>3548.4259999999986</v>
      </c>
      <c r="E497" s="17"/>
      <c r="F497" s="17"/>
    </row>
    <row r="498" spans="1:6" ht="12.75" x14ac:dyDescent="0.2">
      <c r="A498" s="13">
        <f ca="1">IFERROR(__xludf.DUMMYFUNCTION("""COMPUTED_VALUE"""),44559.6458333333)</f>
        <v>44559.645833333299</v>
      </c>
      <c r="B498" s="14">
        <f ca="1">IFERROR(__xludf.DUMMYFUNCTION("""COMPUTED_VALUE"""),3694.7)</f>
        <v>3694.7</v>
      </c>
      <c r="C498" s="15">
        <f t="shared" ca="1" si="2"/>
        <v>-3.1970430723989862E-3</v>
      </c>
      <c r="D498" s="14">
        <f t="shared" ca="1" si="3"/>
        <v>3549.376999999999</v>
      </c>
      <c r="E498" s="17"/>
      <c r="F498" s="17"/>
    </row>
    <row r="499" spans="1:6" ht="12.75" x14ac:dyDescent="0.2">
      <c r="A499" s="13">
        <f ca="1">IFERROR(__xludf.DUMMYFUNCTION("""COMPUTED_VALUE"""),44560.6458333333)</f>
        <v>44560.645833333299</v>
      </c>
      <c r="B499" s="14">
        <f ca="1">IFERROR(__xludf.DUMMYFUNCTION("""COMPUTED_VALUE"""),3733.75)</f>
        <v>3733.75</v>
      </c>
      <c r="C499" s="15">
        <f t="shared" ca="1" si="2"/>
        <v>1.0569193709908831E-2</v>
      </c>
      <c r="D499" s="14">
        <f t="shared" ca="1" si="3"/>
        <v>3551.3689999999997</v>
      </c>
      <c r="E499" s="17"/>
      <c r="F499" s="17"/>
    </row>
    <row r="500" spans="1:6" ht="12.75" x14ac:dyDescent="0.2">
      <c r="A500" s="13">
        <f ca="1">IFERROR(__xludf.DUMMYFUNCTION("""COMPUTED_VALUE"""),44561.6458333333)</f>
        <v>44561.645833333299</v>
      </c>
      <c r="B500" s="14">
        <f ca="1">IFERROR(__xludf.DUMMYFUNCTION("""COMPUTED_VALUE"""),3738.35)</f>
        <v>3738.35</v>
      </c>
      <c r="C500" s="15">
        <f t="shared" ca="1" si="2"/>
        <v>1.2320053565451072E-3</v>
      </c>
      <c r="D500" s="14">
        <f t="shared" ca="1" si="3"/>
        <v>3553.9589999999998</v>
      </c>
      <c r="E500" s="17"/>
      <c r="F500" s="17"/>
    </row>
    <row r="501" spans="1:6" ht="12.75" x14ac:dyDescent="0.2">
      <c r="A501" s="13">
        <f ca="1">IFERROR(__xludf.DUMMYFUNCTION("""COMPUTED_VALUE"""),44564.6458333333)</f>
        <v>44564.645833333299</v>
      </c>
      <c r="B501" s="14">
        <f ca="1">IFERROR(__xludf.DUMMYFUNCTION("""COMPUTED_VALUE"""),3817.75)</f>
        <v>3817.75</v>
      </c>
      <c r="C501" s="15">
        <f t="shared" ca="1" si="2"/>
        <v>2.1239316810892639E-2</v>
      </c>
      <c r="D501" s="14">
        <f t="shared" ca="1" si="3"/>
        <v>3559.6639999999998</v>
      </c>
      <c r="E501" s="17"/>
      <c r="F501" s="17"/>
    </row>
    <row r="502" spans="1:6" ht="12.75" x14ac:dyDescent="0.2">
      <c r="A502" s="13">
        <f ca="1">IFERROR(__xludf.DUMMYFUNCTION("""COMPUTED_VALUE"""),44565.6458333333)</f>
        <v>44565.645833333299</v>
      </c>
      <c r="B502" s="14">
        <f ca="1">IFERROR(__xludf.DUMMYFUNCTION("""COMPUTED_VALUE"""),3884.75)</f>
        <v>3884.75</v>
      </c>
      <c r="C502" s="15">
        <f t="shared" ca="1" si="2"/>
        <v>1.7549603824241977E-2</v>
      </c>
      <c r="D502" s="14">
        <f t="shared" ca="1" si="3"/>
        <v>3567.3819999999996</v>
      </c>
      <c r="E502" s="17"/>
      <c r="F502" s="17"/>
    </row>
    <row r="503" spans="1:6" ht="12.75" x14ac:dyDescent="0.2">
      <c r="A503" s="13">
        <f ca="1">IFERROR(__xludf.DUMMYFUNCTION("""COMPUTED_VALUE"""),44566.6458333333)</f>
        <v>44566.645833333299</v>
      </c>
      <c r="B503" s="14">
        <f ca="1">IFERROR(__xludf.DUMMYFUNCTION("""COMPUTED_VALUE"""),3860.95)</f>
        <v>3860.95</v>
      </c>
      <c r="C503" s="15">
        <f t="shared" ca="1" si="2"/>
        <v>-6.1265203681061253E-3</v>
      </c>
      <c r="D503" s="14">
        <f t="shared" ca="1" si="3"/>
        <v>3574.7420000000006</v>
      </c>
      <c r="E503" s="17"/>
      <c r="F503" s="17"/>
    </row>
    <row r="504" spans="1:6" ht="12.75" x14ac:dyDescent="0.2">
      <c r="A504" s="13">
        <f ca="1">IFERROR(__xludf.DUMMYFUNCTION("""COMPUTED_VALUE"""),44567.6458333333)</f>
        <v>44567.645833333299</v>
      </c>
      <c r="B504" s="14">
        <f ca="1">IFERROR(__xludf.DUMMYFUNCTION("""COMPUTED_VALUE"""),3807.45)</f>
        <v>3807.45</v>
      </c>
      <c r="C504" s="15">
        <f t="shared" ca="1" si="2"/>
        <v>-1.3856693300871581E-2</v>
      </c>
      <c r="D504" s="14">
        <f t="shared" ca="1" si="3"/>
        <v>3581.2390000000009</v>
      </c>
      <c r="E504" s="17"/>
      <c r="F504" s="17"/>
    </row>
    <row r="505" spans="1:6" ht="12.75" x14ac:dyDescent="0.2">
      <c r="A505" s="13">
        <f ca="1">IFERROR(__xludf.DUMMYFUNCTION("""COMPUTED_VALUE"""),44568.6458333333)</f>
        <v>44568.645833333299</v>
      </c>
      <c r="B505" s="14">
        <f ca="1">IFERROR(__xludf.DUMMYFUNCTION("""COMPUTED_VALUE"""),3853.5)</f>
        <v>3853.5</v>
      </c>
      <c r="C505" s="15">
        <f t="shared" ca="1" si="2"/>
        <v>1.2094709057243191E-2</v>
      </c>
      <c r="D505" s="14">
        <f t="shared" ca="1" si="3"/>
        <v>3588.514000000001</v>
      </c>
      <c r="E505" s="17"/>
      <c r="F505" s="17"/>
    </row>
    <row r="506" spans="1:6" ht="12.75" x14ac:dyDescent="0.2">
      <c r="A506" s="13">
        <f ca="1">IFERROR(__xludf.DUMMYFUNCTION("""COMPUTED_VALUE"""),44571.6458333333)</f>
        <v>44571.645833333299</v>
      </c>
      <c r="B506" s="14">
        <f ca="1">IFERROR(__xludf.DUMMYFUNCTION("""COMPUTED_VALUE"""),3879.85)</f>
        <v>3879.85</v>
      </c>
      <c r="C506" s="15">
        <f t="shared" ca="1" si="2"/>
        <v>6.8379395354871697E-3</v>
      </c>
      <c r="D506" s="14">
        <f t="shared" ca="1" si="3"/>
        <v>3597.6780000000012</v>
      </c>
      <c r="E506" s="17"/>
      <c r="F506" s="17"/>
    </row>
    <row r="507" spans="1:6" ht="12.75" x14ac:dyDescent="0.2">
      <c r="A507" s="13">
        <f ca="1">IFERROR(__xludf.DUMMYFUNCTION("""COMPUTED_VALUE"""),44572.6458333333)</f>
        <v>44572.645833333299</v>
      </c>
      <c r="B507" s="14">
        <f ca="1">IFERROR(__xludf.DUMMYFUNCTION("""COMPUTED_VALUE"""),3915.9)</f>
        <v>3915.9</v>
      </c>
      <c r="C507" s="15">
        <f t="shared" ca="1" si="2"/>
        <v>9.2915963246003042E-3</v>
      </c>
      <c r="D507" s="14">
        <f t="shared" ca="1" si="3"/>
        <v>3608.0410000000002</v>
      </c>
      <c r="E507" s="17"/>
      <c r="F507" s="17"/>
    </row>
    <row r="508" spans="1:6" ht="12.75" x14ac:dyDescent="0.2">
      <c r="A508" s="13">
        <f ca="1">IFERROR(__xludf.DUMMYFUNCTION("""COMPUTED_VALUE"""),44573.6458333333)</f>
        <v>44573.645833333299</v>
      </c>
      <c r="B508" s="14">
        <f ca="1">IFERROR(__xludf.DUMMYFUNCTION("""COMPUTED_VALUE"""),3859.9)</f>
        <v>3859.9</v>
      </c>
      <c r="C508" s="15">
        <f t="shared" ca="1" si="2"/>
        <v>-1.4300671620827932E-2</v>
      </c>
      <c r="D508" s="14">
        <f t="shared" ca="1" si="3"/>
        <v>3615.7110000000002</v>
      </c>
      <c r="E508" s="17"/>
      <c r="F508" s="17"/>
    </row>
    <row r="509" spans="1:6" ht="12.75" x14ac:dyDescent="0.2">
      <c r="A509" s="13">
        <f ca="1">IFERROR(__xludf.DUMMYFUNCTION("""COMPUTED_VALUE"""),44574.6458333333)</f>
        <v>44574.645833333299</v>
      </c>
      <c r="B509" s="14">
        <f ca="1">IFERROR(__xludf.DUMMYFUNCTION("""COMPUTED_VALUE"""),3897.9)</f>
        <v>3897.9</v>
      </c>
      <c r="C509" s="15">
        <f t="shared" ca="1" si="2"/>
        <v>9.844814632503418E-3</v>
      </c>
      <c r="D509" s="14">
        <f t="shared" ca="1" si="3"/>
        <v>3623.9850000000001</v>
      </c>
      <c r="E509" s="17"/>
      <c r="F509" s="17"/>
    </row>
    <row r="510" spans="1:6" ht="12.75" x14ac:dyDescent="0.2">
      <c r="A510" s="13">
        <f ca="1">IFERROR(__xludf.DUMMYFUNCTION("""COMPUTED_VALUE"""),44575.6458333333)</f>
        <v>44575.645833333299</v>
      </c>
      <c r="B510" s="14">
        <f ca="1">IFERROR(__xludf.DUMMYFUNCTION("""COMPUTED_VALUE"""),3968.15)</f>
        <v>3968.15</v>
      </c>
      <c r="C510" s="15">
        <f t="shared" ca="1" si="2"/>
        <v>1.8022524949331764E-2</v>
      </c>
      <c r="D510" s="14">
        <f t="shared" ca="1" si="3"/>
        <v>3633.5030000000006</v>
      </c>
      <c r="E510" s="17"/>
      <c r="F510" s="17"/>
    </row>
    <row r="511" spans="1:6" ht="12.75" x14ac:dyDescent="0.2">
      <c r="A511" s="13">
        <f ca="1">IFERROR(__xludf.DUMMYFUNCTION("""COMPUTED_VALUE"""),44578.6458333333)</f>
        <v>44578.645833333299</v>
      </c>
      <c r="B511" s="14">
        <f ca="1">IFERROR(__xludf.DUMMYFUNCTION("""COMPUTED_VALUE"""),4019.15)</f>
        <v>4019.15</v>
      </c>
      <c r="C511" s="15">
        <f t="shared" ca="1" si="2"/>
        <v>1.2852336731222325E-2</v>
      </c>
      <c r="D511" s="14">
        <f t="shared" ca="1" si="3"/>
        <v>3643.7130000000006</v>
      </c>
      <c r="E511" s="17"/>
      <c r="F511" s="17"/>
    </row>
    <row r="512" spans="1:6" ht="12.75" x14ac:dyDescent="0.2">
      <c r="A512" s="13">
        <f ca="1">IFERROR(__xludf.DUMMYFUNCTION("""COMPUTED_VALUE"""),44579.6458333333)</f>
        <v>44579.645833333299</v>
      </c>
      <c r="B512" s="14">
        <f ca="1">IFERROR(__xludf.DUMMYFUNCTION("""COMPUTED_VALUE"""),3990.6)</f>
        <v>3990.6</v>
      </c>
      <c r="C512" s="15">
        <f t="shared" ca="1" si="2"/>
        <v>-7.1034920318973072E-3</v>
      </c>
      <c r="D512" s="14">
        <f t="shared" ca="1" si="3"/>
        <v>3653.4700000000007</v>
      </c>
      <c r="E512" s="17"/>
      <c r="F512" s="17"/>
    </row>
    <row r="513" spans="1:6" ht="12.75" x14ac:dyDescent="0.2">
      <c r="A513" s="13">
        <f ca="1">IFERROR(__xludf.DUMMYFUNCTION("""COMPUTED_VALUE"""),44580.6458333333)</f>
        <v>44580.645833333299</v>
      </c>
      <c r="B513" s="14">
        <f ca="1">IFERROR(__xludf.DUMMYFUNCTION("""COMPUTED_VALUE"""),3914.65)</f>
        <v>3914.65</v>
      </c>
      <c r="C513" s="15">
        <f t="shared" ref="C513:C767" ca="1" si="4">(B513/B512)-1</f>
        <v>-1.903222573046659E-2</v>
      </c>
      <c r="D513" s="14">
        <f t="shared" ca="1" si="3"/>
        <v>3661.6490000000003</v>
      </c>
      <c r="E513" s="17"/>
      <c r="F513" s="17"/>
    </row>
    <row r="514" spans="1:6" ht="12.75" x14ac:dyDescent="0.2">
      <c r="A514" s="13">
        <f ca="1">IFERROR(__xludf.DUMMYFUNCTION("""COMPUTED_VALUE"""),44581.6458333333)</f>
        <v>44581.645833333299</v>
      </c>
      <c r="B514" s="14">
        <f ca="1">IFERROR(__xludf.DUMMYFUNCTION("""COMPUTED_VALUE"""),3826.55)</f>
        <v>3826.55</v>
      </c>
      <c r="C514" s="15">
        <f t="shared" ca="1" si="4"/>
        <v>-2.250520480758178E-2</v>
      </c>
      <c r="D514" s="14">
        <f t="shared" ca="1" si="3"/>
        <v>3668.4940000000001</v>
      </c>
      <c r="E514" s="17"/>
      <c r="F514" s="17"/>
    </row>
    <row r="515" spans="1:6" ht="12.75" x14ac:dyDescent="0.2">
      <c r="A515" s="13">
        <f ca="1">IFERROR(__xludf.DUMMYFUNCTION("""COMPUTED_VALUE"""),44582.6458333333)</f>
        <v>44582.645833333299</v>
      </c>
      <c r="B515" s="14">
        <f ca="1">IFERROR(__xludf.DUMMYFUNCTION("""COMPUTED_VALUE"""),3833.5)</f>
        <v>3833.5</v>
      </c>
      <c r="C515" s="15">
        <f t="shared" ca="1" si="4"/>
        <v>1.8162574642954787E-3</v>
      </c>
      <c r="D515" s="14">
        <f t="shared" ca="1" si="3"/>
        <v>3675.4</v>
      </c>
      <c r="E515" s="17"/>
      <c r="F515" s="17"/>
    </row>
    <row r="516" spans="1:6" ht="12.75" x14ac:dyDescent="0.2">
      <c r="A516" s="13">
        <f ca="1">IFERROR(__xludf.DUMMYFUNCTION("""COMPUTED_VALUE"""),44585.6458333333)</f>
        <v>44585.645833333299</v>
      </c>
      <c r="B516" s="14">
        <f ca="1">IFERROR(__xludf.DUMMYFUNCTION("""COMPUTED_VALUE"""),3771.35)</f>
        <v>3771.35</v>
      </c>
      <c r="C516" s="15">
        <f t="shared" ca="1" si="4"/>
        <v>-1.6212338593974196E-2</v>
      </c>
      <c r="D516" s="14">
        <f t="shared" ca="1" si="3"/>
        <v>3680.3060000000005</v>
      </c>
      <c r="E516" s="17"/>
      <c r="F516" s="17"/>
    </row>
    <row r="517" spans="1:6" ht="12.75" x14ac:dyDescent="0.2">
      <c r="A517" s="13">
        <f ca="1">IFERROR(__xludf.DUMMYFUNCTION("""COMPUTED_VALUE"""),44586.6458333333)</f>
        <v>44586.645833333299</v>
      </c>
      <c r="B517" s="14">
        <f ca="1">IFERROR(__xludf.DUMMYFUNCTION("""COMPUTED_VALUE"""),3769.9)</f>
        <v>3769.9</v>
      </c>
      <c r="C517" s="15">
        <f t="shared" ca="1" si="4"/>
        <v>-3.8447770692184857E-4</v>
      </c>
      <c r="D517" s="14">
        <f t="shared" ca="1" si="3"/>
        <v>3684.6379999999999</v>
      </c>
      <c r="E517" s="17"/>
      <c r="F517" s="17"/>
    </row>
    <row r="518" spans="1:6" ht="12.75" x14ac:dyDescent="0.2">
      <c r="A518" s="13">
        <f ca="1">IFERROR(__xludf.DUMMYFUNCTION("""COMPUTED_VALUE"""),44588.6458333333)</f>
        <v>44588.645833333299</v>
      </c>
      <c r="B518" s="14">
        <f ca="1">IFERROR(__xludf.DUMMYFUNCTION("""COMPUTED_VALUE"""),3649.25)</f>
        <v>3649.25</v>
      </c>
      <c r="C518" s="15">
        <f t="shared" ca="1" si="4"/>
        <v>-3.2003501419135771E-2</v>
      </c>
      <c r="D518" s="14">
        <f t="shared" ca="1" si="3"/>
        <v>3686.4949999999999</v>
      </c>
      <c r="E518" s="17"/>
      <c r="F518" s="17"/>
    </row>
    <row r="519" spans="1:6" ht="12.75" x14ac:dyDescent="0.2">
      <c r="A519" s="13">
        <f ca="1">IFERROR(__xludf.DUMMYFUNCTION("""COMPUTED_VALUE"""),44589.6458333333)</f>
        <v>44589.645833333299</v>
      </c>
      <c r="B519" s="14">
        <f ca="1">IFERROR(__xludf.DUMMYFUNCTION("""COMPUTED_VALUE"""),3690.05)</f>
        <v>3690.05</v>
      </c>
      <c r="C519" s="15">
        <f t="shared" ca="1" si="4"/>
        <v>1.1180379530040474E-2</v>
      </c>
      <c r="D519" s="14">
        <f t="shared" ca="1" si="3"/>
        <v>3689.8579999999993</v>
      </c>
      <c r="E519" s="17"/>
      <c r="F519" s="17"/>
    </row>
    <row r="520" spans="1:6" ht="12.75" x14ac:dyDescent="0.2">
      <c r="A520" s="13">
        <f ca="1">IFERROR(__xludf.DUMMYFUNCTION("""COMPUTED_VALUE"""),44592.6458333333)</f>
        <v>44592.645833333299</v>
      </c>
      <c r="B520" s="14">
        <f ca="1">IFERROR(__xludf.DUMMYFUNCTION("""COMPUTED_VALUE"""),3736.25)</f>
        <v>3736.25</v>
      </c>
      <c r="C520" s="15">
        <f t="shared" ca="1" si="4"/>
        <v>1.2520155553447765E-2</v>
      </c>
      <c r="D520" s="14">
        <f t="shared" ca="1" si="3"/>
        <v>3695.0689999999995</v>
      </c>
      <c r="E520" s="17"/>
      <c r="F520" s="17"/>
    </row>
    <row r="521" spans="1:6" ht="12.75" x14ac:dyDescent="0.2">
      <c r="A521" s="13">
        <f ca="1">IFERROR(__xludf.DUMMYFUNCTION("""COMPUTED_VALUE"""),44593.6458333333)</f>
        <v>44593.645833333299</v>
      </c>
      <c r="B521" s="14">
        <f ca="1">IFERROR(__xludf.DUMMYFUNCTION("""COMPUTED_VALUE"""),3800.65)</f>
        <v>3800.65</v>
      </c>
      <c r="C521" s="15">
        <f t="shared" ca="1" si="4"/>
        <v>1.7236533957845523E-2</v>
      </c>
      <c r="D521" s="14">
        <f t="shared" ca="1" si="3"/>
        <v>3701.9139999999989</v>
      </c>
      <c r="E521" s="17"/>
      <c r="F521" s="17"/>
    </row>
    <row r="522" spans="1:6" ht="12.75" x14ac:dyDescent="0.2">
      <c r="A522" s="13">
        <f ca="1">IFERROR(__xludf.DUMMYFUNCTION("""COMPUTED_VALUE"""),44594.6458333333)</f>
        <v>44594.645833333299</v>
      </c>
      <c r="B522" s="14">
        <f ca="1">IFERROR(__xludf.DUMMYFUNCTION("""COMPUTED_VALUE"""),3856.2)</f>
        <v>3856.2</v>
      </c>
      <c r="C522" s="15">
        <f t="shared" ca="1" si="4"/>
        <v>1.4615920960888262E-2</v>
      </c>
      <c r="D522" s="14">
        <f t="shared" ca="1" si="3"/>
        <v>3709.7529999999992</v>
      </c>
      <c r="E522" s="17"/>
      <c r="F522" s="17"/>
    </row>
    <row r="523" spans="1:6" ht="12.75" x14ac:dyDescent="0.2">
      <c r="A523" s="13">
        <f ca="1">IFERROR(__xludf.DUMMYFUNCTION("""COMPUTED_VALUE"""),44595.6458333333)</f>
        <v>44595.645833333299</v>
      </c>
      <c r="B523" s="14">
        <f ca="1">IFERROR(__xludf.DUMMYFUNCTION("""COMPUTED_VALUE"""),3824.6)</f>
        <v>3824.6</v>
      </c>
      <c r="C523" s="15">
        <f t="shared" ca="1" si="4"/>
        <v>-8.1945957159897942E-3</v>
      </c>
      <c r="D523" s="14">
        <f t="shared" ca="1" si="3"/>
        <v>3717.3789999999995</v>
      </c>
      <c r="E523" s="17"/>
      <c r="F523" s="17"/>
    </row>
    <row r="524" spans="1:6" ht="12.75" x14ac:dyDescent="0.2">
      <c r="A524" s="13">
        <f ca="1">IFERROR(__xludf.DUMMYFUNCTION("""COMPUTED_VALUE"""),44596.6458333333)</f>
        <v>44596.645833333299</v>
      </c>
      <c r="B524" s="14">
        <f ca="1">IFERROR(__xludf.DUMMYFUNCTION("""COMPUTED_VALUE"""),3814.9)</f>
        <v>3814.9</v>
      </c>
      <c r="C524" s="15">
        <f t="shared" ca="1" si="4"/>
        <v>-2.5362129373005526E-3</v>
      </c>
      <c r="D524" s="14">
        <f t="shared" ca="1" si="3"/>
        <v>3724.7589999999996</v>
      </c>
      <c r="E524" s="17"/>
      <c r="F524" s="17"/>
    </row>
    <row r="525" spans="1:6" ht="12.75" x14ac:dyDescent="0.2">
      <c r="A525" s="13">
        <f ca="1">IFERROR(__xludf.DUMMYFUNCTION("""COMPUTED_VALUE"""),44599.6458333333)</f>
        <v>44599.645833333299</v>
      </c>
      <c r="B525" s="14">
        <f ca="1">IFERROR(__xludf.DUMMYFUNCTION("""COMPUTED_VALUE"""),3779)</f>
        <v>3779</v>
      </c>
      <c r="C525" s="15">
        <f t="shared" ca="1" si="4"/>
        <v>-9.4104694749534978E-3</v>
      </c>
      <c r="D525" s="14">
        <f t="shared" ca="1" si="3"/>
        <v>3731.4019999999996</v>
      </c>
      <c r="E525" s="17"/>
      <c r="F525" s="17"/>
    </row>
    <row r="526" spans="1:6" ht="12.75" x14ac:dyDescent="0.2">
      <c r="A526" s="13">
        <f ca="1">IFERROR(__xludf.DUMMYFUNCTION("""COMPUTED_VALUE"""),44600.6458333333)</f>
        <v>44600.645833333299</v>
      </c>
      <c r="B526" s="14">
        <f ca="1">IFERROR(__xludf.DUMMYFUNCTION("""COMPUTED_VALUE"""),3743.45)</f>
        <v>3743.45</v>
      </c>
      <c r="C526" s="15">
        <f t="shared" ca="1" si="4"/>
        <v>-9.4072505953957108E-3</v>
      </c>
      <c r="D526" s="14">
        <f t="shared" ca="1" si="3"/>
        <v>3736.2309999999993</v>
      </c>
      <c r="E526" s="17"/>
      <c r="F526" s="17"/>
    </row>
    <row r="527" spans="1:6" ht="12.75" x14ac:dyDescent="0.2">
      <c r="A527" s="13">
        <f ca="1">IFERROR(__xludf.DUMMYFUNCTION("""COMPUTED_VALUE"""),44601.6458333333)</f>
        <v>44601.645833333299</v>
      </c>
      <c r="B527" s="14">
        <f ca="1">IFERROR(__xludf.DUMMYFUNCTION("""COMPUTED_VALUE"""),3760.55)</f>
        <v>3760.55</v>
      </c>
      <c r="C527" s="15">
        <f t="shared" ca="1" si="4"/>
        <v>4.567978736192746E-3</v>
      </c>
      <c r="D527" s="14">
        <f t="shared" ca="1" si="3"/>
        <v>3740.8589999999995</v>
      </c>
      <c r="E527" s="17"/>
      <c r="F527" s="17"/>
    </row>
    <row r="528" spans="1:6" ht="12.75" x14ac:dyDescent="0.2">
      <c r="A528" s="13">
        <f ca="1">IFERROR(__xludf.DUMMYFUNCTION("""COMPUTED_VALUE"""),44602.6458333333)</f>
        <v>44602.645833333299</v>
      </c>
      <c r="B528" s="14">
        <f ca="1">IFERROR(__xludf.DUMMYFUNCTION("""COMPUTED_VALUE"""),3770.35)</f>
        <v>3770.35</v>
      </c>
      <c r="C528" s="15">
        <f t="shared" ca="1" si="4"/>
        <v>2.6060017816542658E-3</v>
      </c>
      <c r="D528" s="14">
        <f t="shared" ca="1" si="3"/>
        <v>3744.7099999999996</v>
      </c>
      <c r="E528" s="17"/>
      <c r="F528" s="17"/>
    </row>
    <row r="529" spans="1:6" ht="12.75" x14ac:dyDescent="0.2">
      <c r="A529" s="13">
        <f ca="1">IFERROR(__xludf.DUMMYFUNCTION("""COMPUTED_VALUE"""),44603.6458333333)</f>
        <v>44603.645833333299</v>
      </c>
      <c r="B529" s="14">
        <f ca="1">IFERROR(__xludf.DUMMYFUNCTION("""COMPUTED_VALUE"""),3694.95)</f>
        <v>3694.95</v>
      </c>
      <c r="C529" s="15">
        <f t="shared" ca="1" si="4"/>
        <v>-1.9998143408436864E-2</v>
      </c>
      <c r="D529" s="14">
        <f t="shared" ca="1" si="3"/>
        <v>3745.7509999999997</v>
      </c>
      <c r="E529" s="17"/>
      <c r="F529" s="17"/>
    </row>
    <row r="530" spans="1:6" ht="12.75" x14ac:dyDescent="0.2">
      <c r="A530" s="13">
        <f ca="1">IFERROR(__xludf.DUMMYFUNCTION("""COMPUTED_VALUE"""),44606.6458333333)</f>
        <v>44606.645833333299</v>
      </c>
      <c r="B530" s="14">
        <f ca="1">IFERROR(__xludf.DUMMYFUNCTION("""COMPUTED_VALUE"""),3733.75)</f>
        <v>3733.75</v>
      </c>
      <c r="C530" s="15">
        <f t="shared" ca="1" si="4"/>
        <v>1.0500818684961999E-2</v>
      </c>
      <c r="D530" s="14">
        <f t="shared" ca="1" si="3"/>
        <v>3747.6169999999997</v>
      </c>
      <c r="E530" s="17"/>
      <c r="F530" s="17"/>
    </row>
    <row r="531" spans="1:6" ht="12.75" x14ac:dyDescent="0.2">
      <c r="A531" s="13">
        <f ca="1">IFERROR(__xludf.DUMMYFUNCTION("""COMPUTED_VALUE"""),44607.6458333333)</f>
        <v>44607.645833333299</v>
      </c>
      <c r="B531" s="14">
        <f ca="1">IFERROR(__xludf.DUMMYFUNCTION("""COMPUTED_VALUE"""),3817.8)</f>
        <v>3817.8</v>
      </c>
      <c r="C531" s="15">
        <f t="shared" ca="1" si="4"/>
        <v>2.2510880482089046E-2</v>
      </c>
      <c r="D531" s="14">
        <f t="shared" ca="1" si="3"/>
        <v>3753.2449999999994</v>
      </c>
      <c r="E531" s="17"/>
      <c r="F531" s="17"/>
    </row>
    <row r="532" spans="1:6" ht="12.75" x14ac:dyDescent="0.2">
      <c r="A532" s="13">
        <f ca="1">IFERROR(__xludf.DUMMYFUNCTION("""COMPUTED_VALUE"""),44608.6458333333)</f>
        <v>44608.645833333299</v>
      </c>
      <c r="B532" s="14">
        <f ca="1">IFERROR(__xludf.DUMMYFUNCTION("""COMPUTED_VALUE"""),3813.1)</f>
        <v>3813.1</v>
      </c>
      <c r="C532" s="15">
        <f t="shared" ca="1" si="4"/>
        <v>-1.2310754885013209E-3</v>
      </c>
      <c r="D532" s="14">
        <f t="shared" ca="1" si="3"/>
        <v>3757.8169999999996</v>
      </c>
      <c r="E532" s="17"/>
      <c r="F532" s="17"/>
    </row>
    <row r="533" spans="1:6" ht="12.75" x14ac:dyDescent="0.2">
      <c r="A533" s="13">
        <f ca="1">IFERROR(__xludf.DUMMYFUNCTION("""COMPUTED_VALUE"""),44609.6458333333)</f>
        <v>44609.645833333299</v>
      </c>
      <c r="B533" s="14">
        <f ca="1">IFERROR(__xludf.DUMMYFUNCTION("""COMPUTED_VALUE"""),3784.2)</f>
        <v>3784.2</v>
      </c>
      <c r="C533" s="15">
        <f t="shared" ca="1" si="4"/>
        <v>-7.5791350869371943E-3</v>
      </c>
      <c r="D533" s="14">
        <f t="shared" ca="1" si="3"/>
        <v>3760.9629999999997</v>
      </c>
      <c r="E533" s="17"/>
      <c r="F533" s="17"/>
    </row>
    <row r="534" spans="1:6" ht="12.75" x14ac:dyDescent="0.2">
      <c r="A534" s="13">
        <f ca="1">IFERROR(__xludf.DUMMYFUNCTION("""COMPUTED_VALUE"""),44610.6458333333)</f>
        <v>44610.645833333299</v>
      </c>
      <c r="B534" s="14">
        <f ca="1">IFERROR(__xludf.DUMMYFUNCTION("""COMPUTED_VALUE"""),3793.9)</f>
        <v>3793.9</v>
      </c>
      <c r="C534" s="15">
        <f t="shared" ca="1" si="4"/>
        <v>2.5632894667302342E-3</v>
      </c>
      <c r="D534" s="14">
        <f t="shared" ca="1" si="3"/>
        <v>3764.8059999999996</v>
      </c>
      <c r="E534" s="17"/>
      <c r="F534" s="17"/>
    </row>
    <row r="535" spans="1:6" ht="12.75" x14ac:dyDescent="0.2">
      <c r="A535" s="13">
        <f ca="1">IFERROR(__xludf.DUMMYFUNCTION("""COMPUTED_VALUE"""),44613.6458333333)</f>
        <v>44613.645833333299</v>
      </c>
      <c r="B535" s="14">
        <f ca="1">IFERROR(__xludf.DUMMYFUNCTION("""COMPUTED_VALUE"""),3719.4)</f>
        <v>3719.4</v>
      </c>
      <c r="C535" s="15">
        <f t="shared" ca="1" si="4"/>
        <v>-1.9636785365982234E-2</v>
      </c>
      <c r="D535" s="14">
        <f t="shared" ca="1" si="3"/>
        <v>3766.4580000000001</v>
      </c>
      <c r="E535" s="17"/>
      <c r="F535" s="17"/>
    </row>
    <row r="536" spans="1:6" ht="12.75" x14ac:dyDescent="0.2">
      <c r="A536" s="13">
        <f ca="1">IFERROR(__xludf.DUMMYFUNCTION("""COMPUTED_VALUE"""),44614.6458333333)</f>
        <v>44614.645833333299</v>
      </c>
      <c r="B536" s="14">
        <f ca="1">IFERROR(__xludf.DUMMYFUNCTION("""COMPUTED_VALUE"""),3586.4)</f>
        <v>3586.4</v>
      </c>
      <c r="C536" s="15">
        <f t="shared" ca="1" si="4"/>
        <v>-3.5758455664892219E-2</v>
      </c>
      <c r="D536" s="14">
        <f t="shared" ca="1" si="3"/>
        <v>3765.9929999999999</v>
      </c>
      <c r="E536" s="17"/>
      <c r="F536" s="17"/>
    </row>
    <row r="537" spans="1:6" ht="12.75" x14ac:dyDescent="0.2">
      <c r="A537" s="13">
        <f ca="1">IFERROR(__xludf.DUMMYFUNCTION("""COMPUTED_VALUE"""),44615.6458333333)</f>
        <v>44615.645833333299</v>
      </c>
      <c r="B537" s="14">
        <f ca="1">IFERROR(__xludf.DUMMYFUNCTION("""COMPUTED_VALUE"""),3563.8)</f>
        <v>3563.8</v>
      </c>
      <c r="C537" s="15">
        <f t="shared" ca="1" si="4"/>
        <v>-6.3015837608744185E-3</v>
      </c>
      <c r="D537" s="14">
        <f t="shared" ca="1" si="3"/>
        <v>3764.7929999999992</v>
      </c>
      <c r="E537" s="17"/>
      <c r="F537" s="17"/>
    </row>
    <row r="538" spans="1:6" ht="12.75" x14ac:dyDescent="0.2">
      <c r="A538" s="13">
        <f ca="1">IFERROR(__xludf.DUMMYFUNCTION("""COMPUTED_VALUE"""),44616.6458333333)</f>
        <v>44616.645833333299</v>
      </c>
      <c r="B538" s="14">
        <f ca="1">IFERROR(__xludf.DUMMYFUNCTION("""COMPUTED_VALUE"""),3401.65)</f>
        <v>3401.65</v>
      </c>
      <c r="C538" s="15">
        <f t="shared" ca="1" si="4"/>
        <v>-4.549918626185534E-2</v>
      </c>
      <c r="D538" s="14">
        <f t="shared" ca="1" si="3"/>
        <v>3761.418999999999</v>
      </c>
      <c r="E538" s="17"/>
      <c r="F538" s="17"/>
    </row>
    <row r="539" spans="1:6" ht="12.75" x14ac:dyDescent="0.2">
      <c r="A539" s="13">
        <f ca="1">IFERROR(__xludf.DUMMYFUNCTION("""COMPUTED_VALUE"""),44617.6458333333)</f>
        <v>44617.645833333299</v>
      </c>
      <c r="B539" s="14">
        <f ca="1">IFERROR(__xludf.DUMMYFUNCTION("""COMPUTED_VALUE"""),3520.75)</f>
        <v>3520.75</v>
      </c>
      <c r="C539" s="15">
        <f t="shared" ca="1" si="4"/>
        <v>3.501242044302022E-2</v>
      </c>
      <c r="D539" s="14">
        <f t="shared" ca="1" si="3"/>
        <v>3760.2019999999989</v>
      </c>
      <c r="E539" s="17"/>
      <c r="F539" s="17"/>
    </row>
    <row r="540" spans="1:6" ht="12.75" x14ac:dyDescent="0.2">
      <c r="A540" s="13">
        <f ca="1">IFERROR(__xludf.DUMMYFUNCTION("""COMPUTED_VALUE"""),44620.6458333333)</f>
        <v>44620.645833333299</v>
      </c>
      <c r="B540" s="14">
        <f ca="1">IFERROR(__xludf.DUMMYFUNCTION("""COMPUTED_VALUE"""),3554.2)</f>
        <v>3554.2</v>
      </c>
      <c r="C540" s="15">
        <f t="shared" ca="1" si="4"/>
        <v>9.500816587374894E-3</v>
      </c>
      <c r="D540" s="14">
        <f t="shared" ca="1" si="3"/>
        <v>3759.5989999999993</v>
      </c>
      <c r="E540" s="17"/>
      <c r="F540" s="17"/>
    </row>
    <row r="541" spans="1:6" ht="12.75" x14ac:dyDescent="0.2">
      <c r="A541" s="13">
        <f ca="1">IFERROR(__xludf.DUMMYFUNCTION("""COMPUTED_VALUE"""),44622.6458333333)</f>
        <v>44622.645833333299</v>
      </c>
      <c r="B541" s="14">
        <f ca="1">IFERROR(__xludf.DUMMYFUNCTION("""COMPUTED_VALUE"""),3546.15)</f>
        <v>3546.15</v>
      </c>
      <c r="C541" s="15">
        <f t="shared" ca="1" si="4"/>
        <v>-2.2649260030386253E-3</v>
      </c>
      <c r="D541" s="14">
        <f t="shared" ca="1" si="3"/>
        <v>3759.3839999999991</v>
      </c>
      <c r="E541" s="17"/>
      <c r="F541" s="17"/>
    </row>
    <row r="542" spans="1:6" ht="12.75" x14ac:dyDescent="0.2">
      <c r="A542" s="13">
        <f ca="1">IFERROR(__xludf.DUMMYFUNCTION("""COMPUTED_VALUE"""),44623.6458333333)</f>
        <v>44623.645833333299</v>
      </c>
      <c r="B542" s="14">
        <f ca="1">IFERROR(__xludf.DUMMYFUNCTION("""COMPUTED_VALUE"""),3544.4)</f>
        <v>3544.4</v>
      </c>
      <c r="C542" s="15">
        <f t="shared" ca="1" si="4"/>
        <v>-4.9349294305089941E-4</v>
      </c>
      <c r="D542" s="14">
        <f t="shared" ca="1" si="3"/>
        <v>3758.1059999999993</v>
      </c>
      <c r="E542" s="17"/>
      <c r="F542" s="17"/>
    </row>
    <row r="543" spans="1:6" ht="12.75" x14ac:dyDescent="0.2">
      <c r="A543" s="13">
        <f ca="1">IFERROR(__xludf.DUMMYFUNCTION("""COMPUTED_VALUE"""),44624.6458333333)</f>
        <v>44624.645833333299</v>
      </c>
      <c r="B543" s="14">
        <f ca="1">IFERROR(__xludf.DUMMYFUNCTION("""COMPUTED_VALUE"""),3524.35)</f>
        <v>3524.35</v>
      </c>
      <c r="C543" s="15">
        <f t="shared" ca="1" si="4"/>
        <v>-5.6568107437083848E-3</v>
      </c>
      <c r="D543" s="14">
        <f t="shared" ca="1" si="3"/>
        <v>3755.9780000000001</v>
      </c>
      <c r="E543" s="17"/>
      <c r="F543" s="17"/>
    </row>
    <row r="544" spans="1:6" ht="12.75" x14ac:dyDescent="0.2">
      <c r="A544" s="13">
        <f ca="1">IFERROR(__xludf.DUMMYFUNCTION("""COMPUTED_VALUE"""),44627.6458333333)</f>
        <v>44627.645833333299</v>
      </c>
      <c r="B544" s="14">
        <f ca="1">IFERROR(__xludf.DUMMYFUNCTION("""COMPUTED_VALUE"""),3484.9)</f>
        <v>3484.9</v>
      </c>
      <c r="C544" s="15">
        <f t="shared" ca="1" si="4"/>
        <v>-1.119355342119821E-2</v>
      </c>
      <c r="D544" s="14">
        <f t="shared" ca="1" si="3"/>
        <v>3752.4219999999996</v>
      </c>
      <c r="E544" s="17"/>
      <c r="F544" s="17"/>
    </row>
    <row r="545" spans="1:6" ht="12.75" x14ac:dyDescent="0.2">
      <c r="A545" s="13">
        <f ca="1">IFERROR(__xludf.DUMMYFUNCTION("""COMPUTED_VALUE"""),44628.6458333333)</f>
        <v>44628.645833333299</v>
      </c>
      <c r="B545" s="14">
        <f ca="1">IFERROR(__xludf.DUMMYFUNCTION("""COMPUTED_VALUE"""),3599.95)</f>
        <v>3599.95</v>
      </c>
      <c r="C545" s="15">
        <f t="shared" ca="1" si="4"/>
        <v>3.3013859795115952E-2</v>
      </c>
      <c r="D545" s="14">
        <f t="shared" ca="1" si="3"/>
        <v>3751.0029999999997</v>
      </c>
      <c r="E545" s="17"/>
      <c r="F545" s="17"/>
    </row>
    <row r="546" spans="1:6" ht="12.75" x14ac:dyDescent="0.2">
      <c r="A546" s="13">
        <f ca="1">IFERROR(__xludf.DUMMYFUNCTION("""COMPUTED_VALUE"""),44629.6458333333)</f>
        <v>44629.645833333299</v>
      </c>
      <c r="B546" s="14">
        <f ca="1">IFERROR(__xludf.DUMMYFUNCTION("""COMPUTED_VALUE"""),3632.6)</f>
        <v>3632.6</v>
      </c>
      <c r="C546" s="15">
        <f t="shared" ca="1" si="4"/>
        <v>9.0695704107002229E-3</v>
      </c>
      <c r="D546" s="14">
        <f t="shared" ca="1" si="3"/>
        <v>3749.7329999999997</v>
      </c>
      <c r="E546" s="17"/>
      <c r="F546" s="17"/>
    </row>
    <row r="547" spans="1:6" ht="12.75" x14ac:dyDescent="0.2">
      <c r="A547" s="13">
        <f ca="1">IFERROR(__xludf.DUMMYFUNCTION("""COMPUTED_VALUE"""),44630.6458333333)</f>
        <v>44630.645833333299</v>
      </c>
      <c r="B547" s="14">
        <f ca="1">IFERROR(__xludf.DUMMYFUNCTION("""COMPUTED_VALUE"""),3620.95)</f>
        <v>3620.95</v>
      </c>
      <c r="C547" s="15">
        <f t="shared" ca="1" si="4"/>
        <v>-3.207069316742861E-3</v>
      </c>
      <c r="D547" s="14">
        <f t="shared" ca="1" si="3"/>
        <v>3748.0210000000002</v>
      </c>
      <c r="E547" s="17"/>
      <c r="F547" s="17"/>
    </row>
    <row r="548" spans="1:6" ht="12.75" x14ac:dyDescent="0.2">
      <c r="A548" s="13">
        <f ca="1">IFERROR(__xludf.DUMMYFUNCTION("""COMPUTED_VALUE"""),44631.6458333333)</f>
        <v>44631.645833333299</v>
      </c>
      <c r="B548" s="14">
        <f ca="1">IFERROR(__xludf.DUMMYFUNCTION("""COMPUTED_VALUE"""),3599.15)</f>
        <v>3599.15</v>
      </c>
      <c r="C548" s="15">
        <f t="shared" ca="1" si="4"/>
        <v>-6.0205194769328285E-3</v>
      </c>
      <c r="D548" s="14">
        <f t="shared" ca="1" si="3"/>
        <v>3746.11</v>
      </c>
      <c r="E548" s="17"/>
      <c r="F548" s="17"/>
    </row>
    <row r="549" spans="1:6" ht="12.75" x14ac:dyDescent="0.2">
      <c r="A549" s="13">
        <f ca="1">IFERROR(__xludf.DUMMYFUNCTION("""COMPUTED_VALUE"""),44634.6458333333)</f>
        <v>44634.645833333299</v>
      </c>
      <c r="B549" s="14">
        <f ca="1">IFERROR(__xludf.DUMMYFUNCTION("""COMPUTED_VALUE"""),3643)</f>
        <v>3643</v>
      </c>
      <c r="C549" s="15">
        <f t="shared" ca="1" si="4"/>
        <v>1.2183432199269317E-2</v>
      </c>
      <c r="D549" s="14">
        <f t="shared" ca="1" si="3"/>
        <v>3744.2950000000001</v>
      </c>
      <c r="E549" s="17"/>
      <c r="F549" s="17"/>
    </row>
    <row r="550" spans="1:6" ht="12.75" x14ac:dyDescent="0.2">
      <c r="A550" s="13">
        <f ca="1">IFERROR(__xludf.DUMMYFUNCTION("""COMPUTED_VALUE"""),44635.6458333333)</f>
        <v>44635.645833333299</v>
      </c>
      <c r="B550" s="14">
        <f ca="1">IFERROR(__xludf.DUMMYFUNCTION("""COMPUTED_VALUE"""),3593.9)</f>
        <v>3593.9</v>
      </c>
      <c r="C550" s="15">
        <f t="shared" ca="1" si="4"/>
        <v>-1.3477902827340071E-2</v>
      </c>
      <c r="D550" s="14">
        <f t="shared" ca="1" si="3"/>
        <v>3741.4059999999999</v>
      </c>
      <c r="E550" s="17"/>
      <c r="F550" s="17"/>
    </row>
    <row r="551" spans="1:6" ht="12.75" x14ac:dyDescent="0.2">
      <c r="A551" s="13">
        <f ca="1">IFERROR(__xludf.DUMMYFUNCTION("""COMPUTED_VALUE"""),44636.6458333333)</f>
        <v>44636.645833333299</v>
      </c>
      <c r="B551" s="14">
        <f ca="1">IFERROR(__xludf.DUMMYFUNCTION("""COMPUTED_VALUE"""),3655.9)</f>
        <v>3655.9</v>
      </c>
      <c r="C551" s="15">
        <f t="shared" ca="1" si="4"/>
        <v>1.7251453852360932E-2</v>
      </c>
      <c r="D551" s="14">
        <f t="shared" ca="1" si="3"/>
        <v>3738.1690000000003</v>
      </c>
      <c r="E551" s="17"/>
      <c r="F551" s="17"/>
    </row>
    <row r="552" spans="1:6" ht="12.75" x14ac:dyDescent="0.2">
      <c r="A552" s="13">
        <f ca="1">IFERROR(__xludf.DUMMYFUNCTION("""COMPUTED_VALUE"""),44637.6458333333)</f>
        <v>44637.645833333299</v>
      </c>
      <c r="B552" s="14">
        <f ca="1">IFERROR(__xludf.DUMMYFUNCTION("""COMPUTED_VALUE"""),3672.75)</f>
        <v>3672.75</v>
      </c>
      <c r="C552" s="15">
        <f t="shared" ca="1" si="4"/>
        <v>4.6089882108373281E-3</v>
      </c>
      <c r="D552" s="14">
        <f t="shared" ca="1" si="3"/>
        <v>3733.9289999999996</v>
      </c>
      <c r="E552" s="17"/>
      <c r="F552" s="17"/>
    </row>
    <row r="553" spans="1:6" ht="12.75" x14ac:dyDescent="0.2">
      <c r="A553" s="13">
        <f ca="1">IFERROR(__xludf.DUMMYFUNCTION("""COMPUTED_VALUE"""),44641.6458333333)</f>
        <v>44641.645833333299</v>
      </c>
      <c r="B553" s="14">
        <f ca="1">IFERROR(__xludf.DUMMYFUNCTION("""COMPUTED_VALUE"""),3626.7)</f>
        <v>3626.7</v>
      </c>
      <c r="C553" s="15">
        <f t="shared" ca="1" si="4"/>
        <v>-1.2538288748213278E-2</v>
      </c>
      <c r="D553" s="14">
        <f t="shared" ca="1" si="3"/>
        <v>3729.2440000000001</v>
      </c>
      <c r="E553" s="17"/>
      <c r="F553" s="17"/>
    </row>
    <row r="554" spans="1:6" ht="12.75" x14ac:dyDescent="0.2">
      <c r="A554" s="13">
        <f ca="1">IFERROR(__xludf.DUMMYFUNCTION("""COMPUTED_VALUE"""),44642.6458333333)</f>
        <v>44642.645833333299</v>
      </c>
      <c r="B554" s="14">
        <f ca="1">IFERROR(__xludf.DUMMYFUNCTION("""COMPUTED_VALUE"""),3700.95)</f>
        <v>3700.95</v>
      </c>
      <c r="C554" s="15">
        <f t="shared" ca="1" si="4"/>
        <v>2.0473157415832555E-2</v>
      </c>
      <c r="D554" s="14">
        <f t="shared" ca="1" si="3"/>
        <v>3727.114</v>
      </c>
      <c r="E554" s="17"/>
      <c r="F554" s="17"/>
    </row>
    <row r="555" spans="1:6" ht="12.75" x14ac:dyDescent="0.2">
      <c r="A555" s="13">
        <f ca="1">IFERROR(__xludf.DUMMYFUNCTION("""COMPUTED_VALUE"""),44643.6458333333)</f>
        <v>44643.645833333299</v>
      </c>
      <c r="B555" s="14">
        <f ca="1">IFERROR(__xludf.DUMMYFUNCTION("""COMPUTED_VALUE"""),3712.4)</f>
        <v>3712.4</v>
      </c>
      <c r="C555" s="15">
        <f t="shared" ca="1" si="4"/>
        <v>3.0938002404787834E-3</v>
      </c>
      <c r="D555" s="14">
        <f t="shared" ca="1" si="3"/>
        <v>3724.2919999999999</v>
      </c>
      <c r="E555" s="17"/>
      <c r="F555" s="17"/>
    </row>
    <row r="556" spans="1:6" ht="12.75" x14ac:dyDescent="0.2">
      <c r="A556" s="13">
        <f ca="1">IFERROR(__xludf.DUMMYFUNCTION("""COMPUTED_VALUE"""),44644.6458333333)</f>
        <v>44644.645833333299</v>
      </c>
      <c r="B556" s="14">
        <f ca="1">IFERROR(__xludf.DUMMYFUNCTION("""COMPUTED_VALUE"""),3749.85)</f>
        <v>3749.85</v>
      </c>
      <c r="C556" s="15">
        <f t="shared" ca="1" si="4"/>
        <v>1.0087813813166591E-2</v>
      </c>
      <c r="D556" s="14">
        <f t="shared" ca="1" si="3"/>
        <v>3721.692</v>
      </c>
      <c r="E556" s="17"/>
      <c r="F556" s="17"/>
    </row>
    <row r="557" spans="1:6" ht="12.75" x14ac:dyDescent="0.2">
      <c r="A557" s="13">
        <f ca="1">IFERROR(__xludf.DUMMYFUNCTION("""COMPUTED_VALUE"""),44645.6458333333)</f>
        <v>44645.645833333299</v>
      </c>
      <c r="B557" s="14">
        <f ca="1">IFERROR(__xludf.DUMMYFUNCTION("""COMPUTED_VALUE"""),3707.45)</f>
        <v>3707.45</v>
      </c>
      <c r="C557" s="15">
        <f t="shared" ca="1" si="4"/>
        <v>-1.1307118951424777E-2</v>
      </c>
      <c r="D557" s="14">
        <f t="shared" ca="1" si="3"/>
        <v>3717.5230000000006</v>
      </c>
      <c r="E557" s="17"/>
      <c r="F557" s="17"/>
    </row>
    <row r="558" spans="1:6" ht="12.75" x14ac:dyDescent="0.2">
      <c r="A558" s="13">
        <f ca="1">IFERROR(__xludf.DUMMYFUNCTION("""COMPUTED_VALUE"""),44648.6458333333)</f>
        <v>44648.645833333299</v>
      </c>
      <c r="B558" s="14">
        <f ca="1">IFERROR(__xludf.DUMMYFUNCTION("""COMPUTED_VALUE"""),3707.7)</f>
        <v>3707.7</v>
      </c>
      <c r="C558" s="15">
        <f t="shared" ca="1" si="4"/>
        <v>6.7431792741601271E-5</v>
      </c>
      <c r="D558" s="14">
        <f t="shared" ca="1" si="3"/>
        <v>3714.4790000000007</v>
      </c>
      <c r="E558" s="17"/>
      <c r="F558" s="17"/>
    </row>
    <row r="559" spans="1:6" ht="12.75" x14ac:dyDescent="0.2">
      <c r="A559" s="13">
        <f ca="1">IFERROR(__xludf.DUMMYFUNCTION("""COMPUTED_VALUE"""),44649.6458333333)</f>
        <v>44649.645833333299</v>
      </c>
      <c r="B559" s="14">
        <f ca="1">IFERROR(__xludf.DUMMYFUNCTION("""COMPUTED_VALUE"""),3705.35)</f>
        <v>3705.35</v>
      </c>
      <c r="C559" s="15">
        <f t="shared" ca="1" si="4"/>
        <v>-6.3381611241464242E-4</v>
      </c>
      <c r="D559" s="14">
        <f t="shared" ca="1" si="3"/>
        <v>3710.6280000000006</v>
      </c>
      <c r="E559" s="17"/>
      <c r="F559" s="17"/>
    </row>
    <row r="560" spans="1:6" ht="12.75" x14ac:dyDescent="0.2">
      <c r="A560" s="13">
        <f ca="1">IFERROR(__xludf.DUMMYFUNCTION("""COMPUTED_VALUE"""),44650.6458333333)</f>
        <v>44650.645833333299</v>
      </c>
      <c r="B560" s="14">
        <f ca="1">IFERROR(__xludf.DUMMYFUNCTION("""COMPUTED_VALUE"""),3731.55)</f>
        <v>3731.55</v>
      </c>
      <c r="C560" s="15">
        <f t="shared" ca="1" si="4"/>
        <v>7.0708570040618479E-3</v>
      </c>
      <c r="D560" s="14">
        <f t="shared" ca="1" si="3"/>
        <v>3705.8959999999997</v>
      </c>
      <c r="E560" s="17"/>
      <c r="F560" s="17"/>
    </row>
    <row r="561" spans="1:6" ht="12.75" x14ac:dyDescent="0.2">
      <c r="A561" s="13">
        <f ca="1">IFERROR(__xludf.DUMMYFUNCTION("""COMPUTED_VALUE"""),44651.6458333333)</f>
        <v>44651.645833333299</v>
      </c>
      <c r="B561" s="14">
        <f ca="1">IFERROR(__xludf.DUMMYFUNCTION("""COMPUTED_VALUE"""),3739.95)</f>
        <v>3739.95</v>
      </c>
      <c r="C561" s="15">
        <f t="shared" ca="1" si="4"/>
        <v>2.2510752904287834E-3</v>
      </c>
      <c r="D561" s="14">
        <f t="shared" ref="D561:D815" ca="1" si="5">AVERAGE(B512:B561)</f>
        <v>3700.3119999999999</v>
      </c>
      <c r="E561" s="17"/>
      <c r="F561" s="17"/>
    </row>
    <row r="562" spans="1:6" ht="12.75" x14ac:dyDescent="0.2">
      <c r="A562" s="13">
        <f ca="1">IFERROR(__xludf.DUMMYFUNCTION("""COMPUTED_VALUE"""),44652.6458333333)</f>
        <v>44652.645833333299</v>
      </c>
      <c r="B562" s="14">
        <f ca="1">IFERROR(__xludf.DUMMYFUNCTION("""COMPUTED_VALUE"""),3758.75)</f>
        <v>3758.75</v>
      </c>
      <c r="C562" s="15">
        <f t="shared" ca="1" si="4"/>
        <v>5.0268051711921391E-3</v>
      </c>
      <c r="D562" s="14">
        <f t="shared" ca="1" si="5"/>
        <v>3695.6750000000002</v>
      </c>
      <c r="E562" s="17"/>
      <c r="F562" s="17"/>
    </row>
    <row r="563" spans="1:6" ht="12.75" x14ac:dyDescent="0.2">
      <c r="A563" s="13">
        <f ca="1">IFERROR(__xludf.DUMMYFUNCTION("""COMPUTED_VALUE"""),44655.6458333333)</f>
        <v>44655.645833333299</v>
      </c>
      <c r="B563" s="14">
        <f ca="1">IFERROR(__xludf.DUMMYFUNCTION("""COMPUTED_VALUE"""),3770.35)</f>
        <v>3770.35</v>
      </c>
      <c r="C563" s="15">
        <f t="shared" ca="1" si="4"/>
        <v>3.0861323578317279E-3</v>
      </c>
      <c r="D563" s="14">
        <f t="shared" ca="1" si="5"/>
        <v>3692.7890000000002</v>
      </c>
      <c r="E563" s="17"/>
      <c r="F563" s="17"/>
    </row>
    <row r="564" spans="1:6" ht="12.75" x14ac:dyDescent="0.2">
      <c r="A564" s="13">
        <f ca="1">IFERROR(__xludf.DUMMYFUNCTION("""COMPUTED_VALUE"""),44656.6458333333)</f>
        <v>44656.645833333299</v>
      </c>
      <c r="B564" s="14">
        <f ca="1">IFERROR(__xludf.DUMMYFUNCTION("""COMPUTED_VALUE"""),3814.8)</f>
        <v>3814.8</v>
      </c>
      <c r="C564" s="15">
        <f t="shared" ca="1" si="4"/>
        <v>1.1789356425796038E-2</v>
      </c>
      <c r="D564" s="14">
        <f t="shared" ca="1" si="5"/>
        <v>3692.5540000000001</v>
      </c>
      <c r="E564" s="17"/>
      <c r="F564" s="17"/>
    </row>
    <row r="565" spans="1:6" ht="12.75" x14ac:dyDescent="0.2">
      <c r="A565" s="13">
        <f ca="1">IFERROR(__xludf.DUMMYFUNCTION("""COMPUTED_VALUE"""),44657.6458333333)</f>
        <v>44657.645833333299</v>
      </c>
      <c r="B565" s="14">
        <f ca="1">IFERROR(__xludf.DUMMYFUNCTION("""COMPUTED_VALUE"""),3755.35)</f>
        <v>3755.35</v>
      </c>
      <c r="C565" s="15">
        <f t="shared" ca="1" si="4"/>
        <v>-1.5584041103072321E-2</v>
      </c>
      <c r="D565" s="14">
        <f t="shared" ca="1" si="5"/>
        <v>3690.9910000000004</v>
      </c>
      <c r="E565" s="17"/>
      <c r="F565" s="17"/>
    </row>
    <row r="566" spans="1:6" ht="12.75" x14ac:dyDescent="0.2">
      <c r="A566" s="13">
        <f ca="1">IFERROR(__xludf.DUMMYFUNCTION("""COMPUTED_VALUE"""),44658.6458333333)</f>
        <v>44658.645833333299</v>
      </c>
      <c r="B566" s="14">
        <f ca="1">IFERROR(__xludf.DUMMYFUNCTION("""COMPUTED_VALUE"""),3684.15)</f>
        <v>3684.15</v>
      </c>
      <c r="C566" s="15">
        <f t="shared" ca="1" si="4"/>
        <v>-1.8959617612206547E-2</v>
      </c>
      <c r="D566" s="14">
        <f t="shared" ca="1" si="5"/>
        <v>3689.2469999999994</v>
      </c>
      <c r="E566" s="17"/>
      <c r="F566" s="17"/>
    </row>
    <row r="567" spans="1:6" ht="12.75" x14ac:dyDescent="0.2">
      <c r="A567" s="13">
        <f ca="1">IFERROR(__xludf.DUMMYFUNCTION("""COMPUTED_VALUE"""),44659.6458333333)</f>
        <v>44659.645833333299</v>
      </c>
      <c r="B567" s="14">
        <f ca="1">IFERROR(__xludf.DUMMYFUNCTION("""COMPUTED_VALUE"""),3685.65)</f>
        <v>3685.65</v>
      </c>
      <c r="C567" s="15">
        <f t="shared" ca="1" si="4"/>
        <v>4.0714954602827369E-4</v>
      </c>
      <c r="D567" s="14">
        <f t="shared" ca="1" si="5"/>
        <v>3687.5619999999994</v>
      </c>
      <c r="E567" s="17"/>
      <c r="F567" s="17"/>
    </row>
    <row r="568" spans="1:6" ht="12.75" x14ac:dyDescent="0.2">
      <c r="A568" s="13">
        <f ca="1">IFERROR(__xludf.DUMMYFUNCTION("""COMPUTED_VALUE"""),44662.6458333333)</f>
        <v>44662.645833333299</v>
      </c>
      <c r="B568" s="14">
        <f ca="1">IFERROR(__xludf.DUMMYFUNCTION("""COMPUTED_VALUE"""),3696.4)</f>
        <v>3696.4</v>
      </c>
      <c r="C568" s="15">
        <f t="shared" ca="1" si="4"/>
        <v>2.9167175396469514E-3</v>
      </c>
      <c r="D568" s="14">
        <f t="shared" ca="1" si="5"/>
        <v>3688.5049999999992</v>
      </c>
      <c r="E568" s="17"/>
      <c r="F568" s="17"/>
    </row>
    <row r="569" spans="1:6" ht="12.75" x14ac:dyDescent="0.2">
      <c r="A569" s="13">
        <f ca="1">IFERROR(__xludf.DUMMYFUNCTION("""COMPUTED_VALUE"""),44663.6458333333)</f>
        <v>44663.645833333299</v>
      </c>
      <c r="B569" s="14">
        <f ca="1">IFERROR(__xludf.DUMMYFUNCTION("""COMPUTED_VALUE"""),3691.1)</f>
        <v>3691.1</v>
      </c>
      <c r="C569" s="15">
        <f t="shared" ca="1" si="4"/>
        <v>-1.4338275078454865E-3</v>
      </c>
      <c r="D569" s="14">
        <f t="shared" ca="1" si="5"/>
        <v>3688.5259999999998</v>
      </c>
      <c r="E569" s="17"/>
      <c r="F569" s="17"/>
    </row>
    <row r="570" spans="1:6" ht="12.75" x14ac:dyDescent="0.2">
      <c r="A570" s="13">
        <f ca="1">IFERROR(__xludf.DUMMYFUNCTION("""COMPUTED_VALUE"""),44664.6458333333)</f>
        <v>44664.645833333299</v>
      </c>
      <c r="B570" s="14">
        <f ca="1">IFERROR(__xludf.DUMMYFUNCTION("""COMPUTED_VALUE"""),3661.95)</f>
        <v>3661.95</v>
      </c>
      <c r="C570" s="15">
        <f t="shared" ca="1" si="4"/>
        <v>-7.89737476632979E-3</v>
      </c>
      <c r="D570" s="14">
        <f t="shared" ca="1" si="5"/>
        <v>3687.0399999999995</v>
      </c>
      <c r="E570" s="17"/>
      <c r="F570" s="17"/>
    </row>
    <row r="571" spans="1:6" ht="12.75" x14ac:dyDescent="0.2">
      <c r="A571" s="13">
        <f ca="1">IFERROR(__xludf.DUMMYFUNCTION("""COMPUTED_VALUE"""),44669.6458333333)</f>
        <v>44669.645833333299</v>
      </c>
      <c r="B571" s="14">
        <f ca="1">IFERROR(__xludf.DUMMYFUNCTION("""COMPUTED_VALUE"""),3528.05)</f>
        <v>3528.05</v>
      </c>
      <c r="C571" s="15">
        <f t="shared" ca="1" si="4"/>
        <v>-3.6565217984953269E-2</v>
      </c>
      <c r="D571" s="14">
        <f t="shared" ca="1" si="5"/>
        <v>3681.5879999999993</v>
      </c>
      <c r="E571" s="17"/>
      <c r="F571" s="17"/>
    </row>
    <row r="572" spans="1:6" ht="12.75" x14ac:dyDescent="0.2">
      <c r="A572" s="13">
        <f ca="1">IFERROR(__xludf.DUMMYFUNCTION("""COMPUTED_VALUE"""),44670.6458333333)</f>
        <v>44670.645833333299</v>
      </c>
      <c r="B572" s="14">
        <f ca="1">IFERROR(__xludf.DUMMYFUNCTION("""COMPUTED_VALUE"""),3471.9)</f>
        <v>3471.9</v>
      </c>
      <c r="C572" s="15">
        <f t="shared" ca="1" si="4"/>
        <v>-1.5915307322742045E-2</v>
      </c>
      <c r="D572" s="14">
        <f t="shared" ca="1" si="5"/>
        <v>3673.9019999999991</v>
      </c>
      <c r="E572" s="17"/>
      <c r="F572" s="17"/>
    </row>
    <row r="573" spans="1:6" ht="12.75" x14ac:dyDescent="0.2">
      <c r="A573" s="13">
        <f ca="1">IFERROR(__xludf.DUMMYFUNCTION("""COMPUTED_VALUE"""),44671.6458333333)</f>
        <v>44671.645833333299</v>
      </c>
      <c r="B573" s="14">
        <f ca="1">IFERROR(__xludf.DUMMYFUNCTION("""COMPUTED_VALUE"""),3556.8)</f>
        <v>3556.8</v>
      </c>
      <c r="C573" s="15">
        <f t="shared" ca="1" si="4"/>
        <v>2.4453469281949358E-2</v>
      </c>
      <c r="D573" s="14">
        <f t="shared" ca="1" si="5"/>
        <v>3668.5459999999985</v>
      </c>
      <c r="E573" s="17"/>
      <c r="F573" s="17"/>
    </row>
    <row r="574" spans="1:6" ht="12.75" x14ac:dyDescent="0.2">
      <c r="A574" s="13">
        <f ca="1">IFERROR(__xludf.DUMMYFUNCTION("""COMPUTED_VALUE"""),44672.6458333333)</f>
        <v>44672.645833333299</v>
      </c>
      <c r="B574" s="14">
        <f ca="1">IFERROR(__xludf.DUMMYFUNCTION("""COMPUTED_VALUE"""),3628.65)</f>
        <v>3628.65</v>
      </c>
      <c r="C574" s="15">
        <f t="shared" ca="1" si="4"/>
        <v>2.0200742240215952E-2</v>
      </c>
      <c r="D574" s="14">
        <f t="shared" ca="1" si="5"/>
        <v>3664.820999999999</v>
      </c>
      <c r="E574" s="17"/>
      <c r="F574" s="17"/>
    </row>
    <row r="575" spans="1:6" ht="12.75" x14ac:dyDescent="0.2">
      <c r="A575" s="13">
        <f ca="1">IFERROR(__xludf.DUMMYFUNCTION("""COMPUTED_VALUE"""),44673.6458333333)</f>
        <v>44673.645833333299</v>
      </c>
      <c r="B575" s="14">
        <f ca="1">IFERROR(__xludf.DUMMYFUNCTION("""COMPUTED_VALUE"""),3612.55)</f>
        <v>3612.55</v>
      </c>
      <c r="C575" s="15">
        <f t="shared" ca="1" si="4"/>
        <v>-4.4369117991539531E-3</v>
      </c>
      <c r="D575" s="14">
        <f t="shared" ca="1" si="5"/>
        <v>3661.4919999999988</v>
      </c>
      <c r="E575" s="17"/>
      <c r="F575" s="17"/>
    </row>
    <row r="576" spans="1:6" ht="12.75" x14ac:dyDescent="0.2">
      <c r="A576" s="13">
        <f ca="1">IFERROR(__xludf.DUMMYFUNCTION("""COMPUTED_VALUE"""),44676.6458333333)</f>
        <v>44676.645833333299</v>
      </c>
      <c r="B576" s="14">
        <f ca="1">IFERROR(__xludf.DUMMYFUNCTION("""COMPUTED_VALUE"""),3548.2)</f>
        <v>3548.2</v>
      </c>
      <c r="C576" s="15">
        <f t="shared" ca="1" si="4"/>
        <v>-1.7812902243567685E-2</v>
      </c>
      <c r="D576" s="14">
        <f t="shared" ca="1" si="5"/>
        <v>3657.5869999999991</v>
      </c>
      <c r="E576" s="17"/>
      <c r="F576" s="17"/>
    </row>
    <row r="577" spans="1:6" ht="12.75" x14ac:dyDescent="0.2">
      <c r="A577" s="13">
        <f ca="1">IFERROR(__xludf.DUMMYFUNCTION("""COMPUTED_VALUE"""),44677.6458333333)</f>
        <v>44677.645833333299</v>
      </c>
      <c r="B577" s="14">
        <f ca="1">IFERROR(__xludf.DUMMYFUNCTION("""COMPUTED_VALUE"""),3546.3)</f>
        <v>3546.3</v>
      </c>
      <c r="C577" s="15">
        <f t="shared" ca="1" si="4"/>
        <v>-5.3548278000103977E-4</v>
      </c>
      <c r="D577" s="14">
        <f t="shared" ca="1" si="5"/>
        <v>3653.3019999999983</v>
      </c>
      <c r="E577" s="17"/>
      <c r="F577" s="17"/>
    </row>
    <row r="578" spans="1:6" ht="12.75" x14ac:dyDescent="0.2">
      <c r="A578" s="13">
        <f ca="1">IFERROR(__xludf.DUMMYFUNCTION("""COMPUTED_VALUE"""),44678.6458333333)</f>
        <v>44678.645833333299</v>
      </c>
      <c r="B578" s="14">
        <f ca="1">IFERROR(__xludf.DUMMYFUNCTION("""COMPUTED_VALUE"""),3561.2)</f>
        <v>3561.2</v>
      </c>
      <c r="C578" s="15">
        <f t="shared" ca="1" si="4"/>
        <v>4.2015621915798551E-3</v>
      </c>
      <c r="D578" s="14">
        <f t="shared" ca="1" si="5"/>
        <v>3649.1189999999992</v>
      </c>
      <c r="E578" s="17"/>
      <c r="F578" s="17"/>
    </row>
    <row r="579" spans="1:6" ht="12.75" x14ac:dyDescent="0.2">
      <c r="A579" s="13">
        <f ca="1">IFERROR(__xludf.DUMMYFUNCTION("""COMPUTED_VALUE"""),44679.6458333333)</f>
        <v>44679.645833333299</v>
      </c>
      <c r="B579" s="14">
        <f ca="1">IFERROR(__xludf.DUMMYFUNCTION("""COMPUTED_VALUE"""),3584.3)</f>
        <v>3584.3</v>
      </c>
      <c r="C579" s="15">
        <f t="shared" ca="1" si="4"/>
        <v>6.4865775581266494E-3</v>
      </c>
      <c r="D579" s="14">
        <f t="shared" ca="1" si="5"/>
        <v>3646.9059999999986</v>
      </c>
      <c r="E579" s="17"/>
      <c r="F579" s="17"/>
    </row>
    <row r="580" spans="1:6" ht="12.75" x14ac:dyDescent="0.2">
      <c r="A580" s="13">
        <f ca="1">IFERROR(__xludf.DUMMYFUNCTION("""COMPUTED_VALUE"""),44680.6458333333)</f>
        <v>44680.645833333299</v>
      </c>
      <c r="B580" s="14">
        <f ca="1">IFERROR(__xludf.DUMMYFUNCTION("""COMPUTED_VALUE"""),3546.7)</f>
        <v>3546.7</v>
      </c>
      <c r="C580" s="15">
        <f t="shared" ca="1" si="4"/>
        <v>-1.0490193343191234E-2</v>
      </c>
      <c r="D580" s="14">
        <f t="shared" ca="1" si="5"/>
        <v>3643.1649999999995</v>
      </c>
      <c r="E580" s="17"/>
      <c r="F580" s="17"/>
    </row>
    <row r="581" spans="1:6" ht="12.75" x14ac:dyDescent="0.2">
      <c r="A581" s="13">
        <f ca="1">IFERROR(__xludf.DUMMYFUNCTION("""COMPUTED_VALUE"""),44683.6458333333)</f>
        <v>44683.645833333299</v>
      </c>
      <c r="B581" s="14">
        <f ca="1">IFERROR(__xludf.DUMMYFUNCTION("""COMPUTED_VALUE"""),3542.4)</f>
        <v>3542.4</v>
      </c>
      <c r="C581" s="15">
        <f t="shared" ca="1" si="4"/>
        <v>-1.2123946203512759E-3</v>
      </c>
      <c r="D581" s="14">
        <f t="shared" ca="1" si="5"/>
        <v>3637.6569999999997</v>
      </c>
      <c r="E581" s="17"/>
      <c r="F581" s="17"/>
    </row>
    <row r="582" spans="1:6" ht="12.75" x14ac:dyDescent="0.2">
      <c r="A582" s="13">
        <f ca="1">IFERROR(__xludf.DUMMYFUNCTION("""COMPUTED_VALUE"""),44685.6458333333)</f>
        <v>44685.645833333299</v>
      </c>
      <c r="B582" s="14">
        <f ca="1">IFERROR(__xludf.DUMMYFUNCTION("""COMPUTED_VALUE"""),3479.75)</f>
        <v>3479.75</v>
      </c>
      <c r="C582" s="15">
        <f t="shared" ca="1" si="4"/>
        <v>-1.7685749774164483E-2</v>
      </c>
      <c r="D582" s="14">
        <f t="shared" ca="1" si="5"/>
        <v>3630.9899999999993</v>
      </c>
      <c r="E582" s="17"/>
      <c r="F582" s="17"/>
    </row>
    <row r="583" spans="1:6" ht="12.75" x14ac:dyDescent="0.2">
      <c r="A583" s="13">
        <f ca="1">IFERROR(__xludf.DUMMYFUNCTION("""COMPUTED_VALUE"""),44686.6458333333)</f>
        <v>44686.645833333299</v>
      </c>
      <c r="B583" s="14">
        <f ca="1">IFERROR(__xludf.DUMMYFUNCTION("""COMPUTED_VALUE"""),3513.4)</f>
        <v>3513.4</v>
      </c>
      <c r="C583" s="15">
        <f t="shared" ca="1" si="4"/>
        <v>9.6702349306703184E-3</v>
      </c>
      <c r="D583" s="14">
        <f t="shared" ca="1" si="5"/>
        <v>3625.5739999999992</v>
      </c>
      <c r="E583" s="17"/>
      <c r="F583" s="17"/>
    </row>
    <row r="584" spans="1:6" ht="12.75" x14ac:dyDescent="0.2">
      <c r="A584" s="13">
        <f ca="1">IFERROR(__xludf.DUMMYFUNCTION("""COMPUTED_VALUE"""),44687.6458333333)</f>
        <v>44687.645833333299</v>
      </c>
      <c r="B584" s="14">
        <f ca="1">IFERROR(__xludf.DUMMYFUNCTION("""COMPUTED_VALUE"""),3432.6)</f>
        <v>3432.6</v>
      </c>
      <c r="C584" s="15">
        <f t="shared" ca="1" si="4"/>
        <v>-2.2997666078442558E-2</v>
      </c>
      <c r="D584" s="14">
        <f t="shared" ca="1" si="5"/>
        <v>3618.3479999999995</v>
      </c>
      <c r="E584" s="17"/>
      <c r="F584" s="17"/>
    </row>
    <row r="585" spans="1:6" ht="12.75" x14ac:dyDescent="0.2">
      <c r="A585" s="13">
        <f ca="1">IFERROR(__xludf.DUMMYFUNCTION("""COMPUTED_VALUE"""),44690.6458333333)</f>
        <v>44690.645833333299</v>
      </c>
      <c r="B585" s="14">
        <f ca="1">IFERROR(__xludf.DUMMYFUNCTION("""COMPUTED_VALUE"""),3445.1)</f>
        <v>3445.1</v>
      </c>
      <c r="C585" s="15">
        <f t="shared" ca="1" si="4"/>
        <v>3.6415545067878252E-3</v>
      </c>
      <c r="D585" s="14">
        <f t="shared" ca="1" si="5"/>
        <v>3612.8619999999996</v>
      </c>
      <c r="E585" s="17"/>
      <c r="F585" s="17"/>
    </row>
    <row r="586" spans="1:6" ht="12.75" x14ac:dyDescent="0.2">
      <c r="A586" s="13">
        <f ca="1">IFERROR(__xludf.DUMMYFUNCTION("""COMPUTED_VALUE"""),44691.6458333333)</f>
        <v>44691.645833333299</v>
      </c>
      <c r="B586" s="14">
        <f ca="1">IFERROR(__xludf.DUMMYFUNCTION("""COMPUTED_VALUE"""),3438.75)</f>
        <v>3438.75</v>
      </c>
      <c r="C586" s="15">
        <f t="shared" ca="1" si="4"/>
        <v>-1.8431975849757531E-3</v>
      </c>
      <c r="D586" s="14">
        <f t="shared" ca="1" si="5"/>
        <v>3609.9089999999997</v>
      </c>
      <c r="E586" s="17"/>
      <c r="F586" s="17"/>
    </row>
    <row r="587" spans="1:6" ht="12.75" x14ac:dyDescent="0.2">
      <c r="A587" s="13">
        <f ca="1">IFERROR(__xludf.DUMMYFUNCTION("""COMPUTED_VALUE"""),44692.6458333333)</f>
        <v>44692.645833333299</v>
      </c>
      <c r="B587" s="14">
        <f ca="1">IFERROR(__xludf.DUMMYFUNCTION("""COMPUTED_VALUE"""),3412)</f>
        <v>3412</v>
      </c>
      <c r="C587" s="15">
        <f t="shared" ca="1" si="4"/>
        <v>-7.7789894583787378E-3</v>
      </c>
      <c r="D587" s="14">
        <f t="shared" ca="1" si="5"/>
        <v>3606.873</v>
      </c>
      <c r="E587" s="17"/>
      <c r="F587" s="17"/>
    </row>
    <row r="588" spans="1:6" ht="12.75" x14ac:dyDescent="0.2">
      <c r="A588" s="13">
        <f ca="1">IFERROR(__xludf.DUMMYFUNCTION("""COMPUTED_VALUE"""),44693.6458333333)</f>
        <v>44693.645833333299</v>
      </c>
      <c r="B588" s="14">
        <f ca="1">IFERROR(__xludf.DUMMYFUNCTION("""COMPUTED_VALUE"""),3408.65)</f>
        <v>3408.65</v>
      </c>
      <c r="C588" s="15">
        <f t="shared" ca="1" si="4"/>
        <v>-9.8182883939035293E-4</v>
      </c>
      <c r="D588" s="14">
        <f t="shared" ca="1" si="5"/>
        <v>3607.0129999999999</v>
      </c>
      <c r="E588" s="17"/>
      <c r="F588" s="17"/>
    </row>
    <row r="589" spans="1:6" ht="12.75" x14ac:dyDescent="0.2">
      <c r="A589" s="13">
        <f ca="1">IFERROR(__xludf.DUMMYFUNCTION("""COMPUTED_VALUE"""),44694.6458333333)</f>
        <v>44694.645833333299</v>
      </c>
      <c r="B589" s="14">
        <f ca="1">IFERROR(__xludf.DUMMYFUNCTION("""COMPUTED_VALUE"""),3414.9)</f>
        <v>3414.9</v>
      </c>
      <c r="C589" s="15">
        <f t="shared" ca="1" si="4"/>
        <v>1.8335704751146764E-3</v>
      </c>
      <c r="D589" s="14">
        <f t="shared" ca="1" si="5"/>
        <v>3604.8959999999997</v>
      </c>
      <c r="E589" s="17"/>
      <c r="F589" s="17"/>
    </row>
    <row r="590" spans="1:6" ht="12.75" x14ac:dyDescent="0.2">
      <c r="A590" s="13">
        <f ca="1">IFERROR(__xludf.DUMMYFUNCTION("""COMPUTED_VALUE"""),44697.6458333333)</f>
        <v>44697.645833333299</v>
      </c>
      <c r="B590" s="14">
        <f ca="1">IFERROR(__xludf.DUMMYFUNCTION("""COMPUTED_VALUE"""),3376.8)</f>
        <v>3376.8</v>
      </c>
      <c r="C590" s="15">
        <f t="shared" ca="1" si="4"/>
        <v>-1.1156988491610287E-2</v>
      </c>
      <c r="D590" s="14">
        <f t="shared" ca="1" si="5"/>
        <v>3601.3479999999995</v>
      </c>
      <c r="E590" s="17"/>
      <c r="F590" s="17"/>
    </row>
    <row r="591" spans="1:6" ht="12.75" x14ac:dyDescent="0.2">
      <c r="A591" s="13">
        <f ca="1">IFERROR(__xludf.DUMMYFUNCTION("""COMPUTED_VALUE"""),44698.6458333333)</f>
        <v>44698.645833333299</v>
      </c>
      <c r="B591" s="14">
        <f ca="1">IFERROR(__xludf.DUMMYFUNCTION("""COMPUTED_VALUE"""),3451.6)</f>
        <v>3451.6</v>
      </c>
      <c r="C591" s="15">
        <f t="shared" ca="1" si="4"/>
        <v>2.2151149016820471E-2</v>
      </c>
      <c r="D591" s="14">
        <f t="shared" ca="1" si="5"/>
        <v>3599.4569999999994</v>
      </c>
      <c r="E591" s="17"/>
      <c r="F591" s="17"/>
    </row>
    <row r="592" spans="1:6" ht="12.75" x14ac:dyDescent="0.2">
      <c r="A592" s="13">
        <f ca="1">IFERROR(__xludf.DUMMYFUNCTION("""COMPUTED_VALUE"""),44699.6458333333)</f>
        <v>44699.645833333299</v>
      </c>
      <c r="B592" s="14">
        <f ca="1">IFERROR(__xludf.DUMMYFUNCTION("""COMPUTED_VALUE"""),3448.8)</f>
        <v>3448.8</v>
      </c>
      <c r="C592" s="15">
        <f t="shared" ca="1" si="4"/>
        <v>-8.1121798586158977E-4</v>
      </c>
      <c r="D592" s="14">
        <f t="shared" ca="1" si="5"/>
        <v>3597.5449999999996</v>
      </c>
      <c r="E592" s="17"/>
      <c r="F592" s="17"/>
    </row>
    <row r="593" spans="1:6" ht="12.75" x14ac:dyDescent="0.2">
      <c r="A593" s="13">
        <f ca="1">IFERROR(__xludf.DUMMYFUNCTION("""COMPUTED_VALUE"""),44700.6458333333)</f>
        <v>44700.645833333299</v>
      </c>
      <c r="B593" s="14">
        <f ca="1">IFERROR(__xludf.DUMMYFUNCTION("""COMPUTED_VALUE"""),3261.95)</f>
        <v>3261.95</v>
      </c>
      <c r="C593" s="15">
        <f t="shared" ca="1" si="4"/>
        <v>-5.4178264903734785E-2</v>
      </c>
      <c r="D593" s="14">
        <f t="shared" ca="1" si="5"/>
        <v>3592.2969999999996</v>
      </c>
      <c r="E593" s="17"/>
      <c r="F593" s="17"/>
    </row>
    <row r="594" spans="1:6" ht="12.75" x14ac:dyDescent="0.2">
      <c r="A594" s="13">
        <f ca="1">IFERROR(__xludf.DUMMYFUNCTION("""COMPUTED_VALUE"""),44701.6458333333)</f>
        <v>44701.645833333299</v>
      </c>
      <c r="B594" s="14">
        <f ca="1">IFERROR(__xludf.DUMMYFUNCTION("""COMPUTED_VALUE"""),3293)</f>
        <v>3293</v>
      </c>
      <c r="C594" s="15">
        <f t="shared" ca="1" si="4"/>
        <v>9.5188460889958915E-3</v>
      </c>
      <c r="D594" s="14">
        <f t="shared" ca="1" si="5"/>
        <v>3588.4589999999998</v>
      </c>
      <c r="E594" s="17"/>
      <c r="F594" s="17"/>
    </row>
    <row r="595" spans="1:6" ht="12.75" x14ac:dyDescent="0.2">
      <c r="A595" s="13">
        <f ca="1">IFERROR(__xludf.DUMMYFUNCTION("""COMPUTED_VALUE"""),44704.6458333333)</f>
        <v>44704.645833333299</v>
      </c>
      <c r="B595" s="14">
        <f ca="1">IFERROR(__xludf.DUMMYFUNCTION("""COMPUTED_VALUE"""),3321.75)</f>
        <v>3321.75</v>
      </c>
      <c r="C595" s="15">
        <f t="shared" ca="1" si="4"/>
        <v>8.7306407531126951E-3</v>
      </c>
      <c r="D595" s="14">
        <f t="shared" ca="1" si="5"/>
        <v>3582.8949999999995</v>
      </c>
      <c r="E595" s="17"/>
      <c r="F595" s="17"/>
    </row>
    <row r="596" spans="1:6" ht="12.75" x14ac:dyDescent="0.2">
      <c r="A596" s="13">
        <f ca="1">IFERROR(__xludf.DUMMYFUNCTION("""COMPUTED_VALUE"""),44705.6458333333)</f>
        <v>44705.645833333299</v>
      </c>
      <c r="B596" s="14">
        <f ca="1">IFERROR(__xludf.DUMMYFUNCTION("""COMPUTED_VALUE"""),3288)</f>
        <v>3288</v>
      </c>
      <c r="C596" s="15">
        <f t="shared" ca="1" si="4"/>
        <v>-1.0160307067058061E-2</v>
      </c>
      <c r="D596" s="14">
        <f t="shared" ca="1" si="5"/>
        <v>3576.0029999999992</v>
      </c>
      <c r="E596" s="17"/>
      <c r="F596" s="17"/>
    </row>
    <row r="597" spans="1:6" ht="12.75" x14ac:dyDescent="0.2">
      <c r="A597" s="13">
        <f ca="1">IFERROR(__xludf.DUMMYFUNCTION("""COMPUTED_VALUE"""),44706.6458333333)</f>
        <v>44706.645833333299</v>
      </c>
      <c r="B597" s="14">
        <f ca="1">IFERROR(__xludf.DUMMYFUNCTION("""COMPUTED_VALUE"""),3167.65)</f>
        <v>3167.65</v>
      </c>
      <c r="C597" s="15">
        <f t="shared" ca="1" si="4"/>
        <v>-3.6602798053527952E-2</v>
      </c>
      <c r="D597" s="14">
        <f t="shared" ca="1" si="5"/>
        <v>3566.936999999999</v>
      </c>
      <c r="E597" s="17"/>
      <c r="F597" s="17"/>
    </row>
    <row r="598" spans="1:6" ht="12.75" x14ac:dyDescent="0.2">
      <c r="A598" s="13">
        <f ca="1">IFERROR(__xludf.DUMMYFUNCTION("""COMPUTED_VALUE"""),44707.6458333333)</f>
        <v>44707.645833333299</v>
      </c>
      <c r="B598" s="14">
        <f ca="1">IFERROR(__xludf.DUMMYFUNCTION("""COMPUTED_VALUE"""),3226.95)</f>
        <v>3226.95</v>
      </c>
      <c r="C598" s="15">
        <f t="shared" ca="1" si="4"/>
        <v>1.8720502580777509E-2</v>
      </c>
      <c r="D598" s="14">
        <f t="shared" ca="1" si="5"/>
        <v>3559.4929999999995</v>
      </c>
      <c r="E598" s="17"/>
      <c r="F598" s="17"/>
    </row>
    <row r="599" spans="1:6" ht="12.75" x14ac:dyDescent="0.2">
      <c r="A599" s="13">
        <f ca="1">IFERROR(__xludf.DUMMYFUNCTION("""COMPUTED_VALUE"""),44708.6458333333)</f>
        <v>44708.645833333299</v>
      </c>
      <c r="B599" s="14">
        <f ca="1">IFERROR(__xludf.DUMMYFUNCTION("""COMPUTED_VALUE"""),3261.3)</f>
        <v>3261.3</v>
      </c>
      <c r="C599" s="15">
        <f t="shared" ca="1" si="4"/>
        <v>1.0644726444475561E-2</v>
      </c>
      <c r="D599" s="14">
        <f t="shared" ca="1" si="5"/>
        <v>3551.858999999999</v>
      </c>
      <c r="E599" s="17"/>
      <c r="F599" s="17"/>
    </row>
    <row r="600" spans="1:6" ht="12.75" x14ac:dyDescent="0.2">
      <c r="A600" s="13">
        <f ca="1">IFERROR(__xludf.DUMMYFUNCTION("""COMPUTED_VALUE"""),44711.6458333333)</f>
        <v>44711.645833333299</v>
      </c>
      <c r="B600" s="14">
        <f ca="1">IFERROR(__xludf.DUMMYFUNCTION("""COMPUTED_VALUE"""),3375.25)</f>
        <v>3375.25</v>
      </c>
      <c r="C600" s="15">
        <f t="shared" ca="1" si="4"/>
        <v>3.4940054579462032E-2</v>
      </c>
      <c r="D600" s="14">
        <f t="shared" ca="1" si="5"/>
        <v>3547.4859999999999</v>
      </c>
      <c r="E600" s="17"/>
      <c r="F600" s="17"/>
    </row>
    <row r="601" spans="1:6" ht="12.75" x14ac:dyDescent="0.2">
      <c r="A601" s="13">
        <f ca="1">IFERROR(__xludf.DUMMYFUNCTION("""COMPUTED_VALUE"""),44712.6458333333)</f>
        <v>44712.645833333299</v>
      </c>
      <c r="B601" s="14">
        <f ca="1">IFERROR(__xludf.DUMMYFUNCTION("""COMPUTED_VALUE"""),3364.35)</f>
        <v>3364.35</v>
      </c>
      <c r="C601" s="15">
        <f t="shared" ca="1" si="4"/>
        <v>-3.2293904155248354E-3</v>
      </c>
      <c r="D601" s="14">
        <f t="shared" ca="1" si="5"/>
        <v>3541.6549999999993</v>
      </c>
      <c r="E601" s="17"/>
      <c r="F601" s="17"/>
    </row>
    <row r="602" spans="1:6" ht="12.75" x14ac:dyDescent="0.2">
      <c r="A602" s="13">
        <f ca="1">IFERROR(__xludf.DUMMYFUNCTION("""COMPUTED_VALUE"""),44713.6458333333)</f>
        <v>44713.645833333299</v>
      </c>
      <c r="B602" s="14">
        <f ca="1">IFERROR(__xludf.DUMMYFUNCTION("""COMPUTED_VALUE"""),3355.2)</f>
        <v>3355.2</v>
      </c>
      <c r="C602" s="15">
        <f t="shared" ca="1" si="4"/>
        <v>-2.7196932542690178E-3</v>
      </c>
      <c r="D602" s="14">
        <f t="shared" ca="1" si="5"/>
        <v>3535.3039999999996</v>
      </c>
      <c r="E602" s="17"/>
      <c r="F602" s="17"/>
    </row>
    <row r="603" spans="1:6" ht="12.75" x14ac:dyDescent="0.2">
      <c r="A603" s="13">
        <f ca="1">IFERROR(__xludf.DUMMYFUNCTION("""COMPUTED_VALUE"""),44714.6458333333)</f>
        <v>44714.645833333299</v>
      </c>
      <c r="B603" s="14">
        <f ca="1">IFERROR(__xludf.DUMMYFUNCTION("""COMPUTED_VALUE"""),3423)</f>
        <v>3423</v>
      </c>
      <c r="C603" s="15">
        <f t="shared" ca="1" si="4"/>
        <v>2.0207439198855592E-2</v>
      </c>
      <c r="D603" s="14">
        <f t="shared" ca="1" si="5"/>
        <v>3531.23</v>
      </c>
      <c r="E603" s="17"/>
      <c r="F603" s="17"/>
    </row>
    <row r="604" spans="1:6" ht="12.75" x14ac:dyDescent="0.2">
      <c r="A604" s="13">
        <f ca="1">IFERROR(__xludf.DUMMYFUNCTION("""COMPUTED_VALUE"""),44715.6458333333)</f>
        <v>44715.645833333299</v>
      </c>
      <c r="B604" s="14">
        <f ca="1">IFERROR(__xludf.DUMMYFUNCTION("""COMPUTED_VALUE"""),3440.15)</f>
        <v>3440.15</v>
      </c>
      <c r="C604" s="15">
        <f t="shared" ca="1" si="4"/>
        <v>5.0102249488752637E-3</v>
      </c>
      <c r="D604" s="14">
        <f t="shared" ca="1" si="5"/>
        <v>3526.0139999999997</v>
      </c>
      <c r="E604" s="17"/>
      <c r="F604" s="17"/>
    </row>
    <row r="605" spans="1:6" ht="12.75" x14ac:dyDescent="0.2">
      <c r="A605" s="13">
        <f ca="1">IFERROR(__xludf.DUMMYFUNCTION("""COMPUTED_VALUE"""),44718.6458333333)</f>
        <v>44718.645833333299</v>
      </c>
      <c r="B605" s="14">
        <f ca="1">IFERROR(__xludf.DUMMYFUNCTION("""COMPUTED_VALUE"""),3430.95)</f>
        <v>3430.95</v>
      </c>
      <c r="C605" s="15">
        <f t="shared" ca="1" si="4"/>
        <v>-2.6743019926457334E-3</v>
      </c>
      <c r="D605" s="14">
        <f t="shared" ca="1" si="5"/>
        <v>3520.3850000000007</v>
      </c>
      <c r="E605" s="17"/>
      <c r="F605" s="17"/>
    </row>
    <row r="606" spans="1:6" ht="12.75" x14ac:dyDescent="0.2">
      <c r="A606" s="13">
        <f ca="1">IFERROR(__xludf.DUMMYFUNCTION("""COMPUTED_VALUE"""),44719.6458333333)</f>
        <v>44719.645833333299</v>
      </c>
      <c r="B606" s="14">
        <f ca="1">IFERROR(__xludf.DUMMYFUNCTION("""COMPUTED_VALUE"""),3362.7)</f>
        <v>3362.7</v>
      </c>
      <c r="C606" s="15">
        <f t="shared" ca="1" si="4"/>
        <v>-1.9892449613080898E-2</v>
      </c>
      <c r="D606" s="14">
        <f t="shared" ca="1" si="5"/>
        <v>3512.6420000000007</v>
      </c>
      <c r="E606" s="17"/>
      <c r="F606" s="17"/>
    </row>
    <row r="607" spans="1:6" ht="12.75" x14ac:dyDescent="0.2">
      <c r="A607" s="13">
        <f ca="1">IFERROR(__xludf.DUMMYFUNCTION("""COMPUTED_VALUE"""),44720.6458333333)</f>
        <v>44720.645833333299</v>
      </c>
      <c r="B607" s="14">
        <f ca="1">IFERROR(__xludf.DUMMYFUNCTION("""COMPUTED_VALUE"""),3404.15)</f>
        <v>3404.15</v>
      </c>
      <c r="C607" s="15">
        <f t="shared" ca="1" si="4"/>
        <v>1.232640437743493E-2</v>
      </c>
      <c r="D607" s="14">
        <f t="shared" ca="1" si="5"/>
        <v>3506.5760000000005</v>
      </c>
      <c r="E607" s="17"/>
      <c r="F607" s="17"/>
    </row>
    <row r="608" spans="1:6" ht="12.75" x14ac:dyDescent="0.2">
      <c r="A608" s="13">
        <f ca="1">IFERROR(__xludf.DUMMYFUNCTION("""COMPUTED_VALUE"""),44721.6458333333)</f>
        <v>44721.645833333299</v>
      </c>
      <c r="B608" s="14">
        <f ca="1">IFERROR(__xludf.DUMMYFUNCTION("""COMPUTED_VALUE"""),3427.1)</f>
        <v>3427.1</v>
      </c>
      <c r="C608" s="15">
        <f t="shared" ca="1" si="4"/>
        <v>6.7417710735424574E-3</v>
      </c>
      <c r="D608" s="14">
        <f t="shared" ca="1" si="5"/>
        <v>3500.9640000000009</v>
      </c>
      <c r="E608" s="17"/>
      <c r="F608" s="17"/>
    </row>
    <row r="609" spans="1:6" ht="12.75" x14ac:dyDescent="0.2">
      <c r="A609" s="13">
        <f ca="1">IFERROR(__xludf.DUMMYFUNCTION("""COMPUTED_VALUE"""),44722.6458333333)</f>
        <v>44722.645833333299</v>
      </c>
      <c r="B609" s="14">
        <f ca="1">IFERROR(__xludf.DUMMYFUNCTION("""COMPUTED_VALUE"""),3359.9)</f>
        <v>3359.9</v>
      </c>
      <c r="C609" s="15">
        <f t="shared" ca="1" si="4"/>
        <v>-1.9608415278223545E-2</v>
      </c>
      <c r="D609" s="14">
        <f t="shared" ca="1" si="5"/>
        <v>3494.0550000000007</v>
      </c>
      <c r="E609" s="17"/>
      <c r="F609" s="17"/>
    </row>
    <row r="610" spans="1:6" ht="12.75" x14ac:dyDescent="0.2">
      <c r="A610" s="13">
        <f ca="1">IFERROR(__xludf.DUMMYFUNCTION("""COMPUTED_VALUE"""),44725.6458333333)</f>
        <v>44725.645833333299</v>
      </c>
      <c r="B610" s="14">
        <f ca="1">IFERROR(__xludf.DUMMYFUNCTION("""COMPUTED_VALUE"""),3219.6)</f>
        <v>3219.6</v>
      </c>
      <c r="C610" s="15">
        <f t="shared" ca="1" si="4"/>
        <v>-4.1757195154617732E-2</v>
      </c>
      <c r="D610" s="14">
        <f t="shared" ca="1" si="5"/>
        <v>3483.8160000000003</v>
      </c>
      <c r="E610" s="17"/>
      <c r="F610" s="17"/>
    </row>
    <row r="611" spans="1:6" ht="12.75" x14ac:dyDescent="0.2">
      <c r="A611" s="13">
        <f ca="1">IFERROR(__xludf.DUMMYFUNCTION("""COMPUTED_VALUE"""),44726.6458333333)</f>
        <v>44726.645833333299</v>
      </c>
      <c r="B611" s="14">
        <f ca="1">IFERROR(__xludf.DUMMYFUNCTION("""COMPUTED_VALUE"""),3210.55)</f>
        <v>3210.55</v>
      </c>
      <c r="C611" s="15">
        <f t="shared" ca="1" si="4"/>
        <v>-2.8109081873524122E-3</v>
      </c>
      <c r="D611" s="14">
        <f t="shared" ca="1" si="5"/>
        <v>3473.2280000000005</v>
      </c>
      <c r="E611" s="17"/>
      <c r="F611" s="17"/>
    </row>
    <row r="612" spans="1:6" ht="12.75" x14ac:dyDescent="0.2">
      <c r="A612" s="13">
        <f ca="1">IFERROR(__xludf.DUMMYFUNCTION("""COMPUTED_VALUE"""),44727.6458333333)</f>
        <v>44727.645833333299</v>
      </c>
      <c r="B612" s="14">
        <f ca="1">IFERROR(__xludf.DUMMYFUNCTION("""COMPUTED_VALUE"""),3206.3)</f>
        <v>3206.3</v>
      </c>
      <c r="C612" s="15">
        <f t="shared" ca="1" si="4"/>
        <v>-1.3237607263553164E-3</v>
      </c>
      <c r="D612" s="14">
        <f t="shared" ca="1" si="5"/>
        <v>3462.1790000000001</v>
      </c>
      <c r="E612" s="17"/>
      <c r="F612" s="17"/>
    </row>
    <row r="613" spans="1:6" ht="12.75" x14ac:dyDescent="0.2">
      <c r="A613" s="13">
        <f ca="1">IFERROR(__xludf.DUMMYFUNCTION("""COMPUTED_VALUE"""),44728.6458333333)</f>
        <v>44728.645833333299</v>
      </c>
      <c r="B613" s="14">
        <f ca="1">IFERROR(__xludf.DUMMYFUNCTION("""COMPUTED_VALUE"""),3142)</f>
        <v>3142</v>
      </c>
      <c r="C613" s="15">
        <f t="shared" ca="1" si="4"/>
        <v>-2.0054268159560906E-2</v>
      </c>
      <c r="D613" s="14">
        <f t="shared" ca="1" si="5"/>
        <v>3449.6120000000001</v>
      </c>
      <c r="E613" s="17"/>
      <c r="F613" s="17"/>
    </row>
    <row r="614" spans="1:6" ht="12.75" x14ac:dyDescent="0.2">
      <c r="A614" s="13">
        <f ca="1">IFERROR(__xludf.DUMMYFUNCTION("""COMPUTED_VALUE"""),44729.6458333333)</f>
        <v>44729.645833333299</v>
      </c>
      <c r="B614" s="14">
        <f ca="1">IFERROR(__xludf.DUMMYFUNCTION("""COMPUTED_VALUE"""),3088.9)</f>
        <v>3088.9</v>
      </c>
      <c r="C614" s="15">
        <f t="shared" ca="1" si="4"/>
        <v>-1.6900063653723763E-2</v>
      </c>
      <c r="D614" s="14">
        <f t="shared" ca="1" si="5"/>
        <v>3435.0940000000001</v>
      </c>
      <c r="E614" s="17"/>
      <c r="F614" s="17"/>
    </row>
    <row r="615" spans="1:6" ht="12.75" x14ac:dyDescent="0.2">
      <c r="A615" s="13">
        <f ca="1">IFERROR(__xludf.DUMMYFUNCTION("""COMPUTED_VALUE"""),44732.6458333333)</f>
        <v>44732.645833333299</v>
      </c>
      <c r="B615" s="14">
        <f ca="1">IFERROR(__xludf.DUMMYFUNCTION("""COMPUTED_VALUE"""),3112.4)</f>
        <v>3112.4</v>
      </c>
      <c r="C615" s="15">
        <f t="shared" ca="1" si="4"/>
        <v>7.6078863025672572E-3</v>
      </c>
      <c r="D615" s="14">
        <f t="shared" ca="1" si="5"/>
        <v>3422.2349999999992</v>
      </c>
      <c r="E615" s="17"/>
      <c r="F615" s="17"/>
    </row>
    <row r="616" spans="1:6" ht="12.75" x14ac:dyDescent="0.2">
      <c r="A616" s="13">
        <f ca="1">IFERROR(__xludf.DUMMYFUNCTION("""COMPUTED_VALUE"""),44733.6458333333)</f>
        <v>44733.645833333299</v>
      </c>
      <c r="B616" s="14">
        <f ca="1">IFERROR(__xludf.DUMMYFUNCTION("""COMPUTED_VALUE"""),3211.95)</f>
        <v>3211.95</v>
      </c>
      <c r="C616" s="15">
        <f t="shared" ca="1" si="4"/>
        <v>3.1984963372317043E-2</v>
      </c>
      <c r="D616" s="14">
        <f t="shared" ca="1" si="5"/>
        <v>3412.7909999999997</v>
      </c>
      <c r="E616" s="17"/>
      <c r="F616" s="17"/>
    </row>
    <row r="617" spans="1:6" ht="12.75" x14ac:dyDescent="0.2">
      <c r="A617" s="13">
        <f ca="1">IFERROR(__xludf.DUMMYFUNCTION("""COMPUTED_VALUE"""),44734.6458333333)</f>
        <v>44734.645833333299</v>
      </c>
      <c r="B617" s="14">
        <f ca="1">IFERROR(__xludf.DUMMYFUNCTION("""COMPUTED_VALUE"""),3222.95)</f>
        <v>3222.95</v>
      </c>
      <c r="C617" s="15">
        <f t="shared" ca="1" si="4"/>
        <v>3.4247108454366071E-3</v>
      </c>
      <c r="D617" s="14">
        <f t="shared" ca="1" si="5"/>
        <v>3403.5370000000003</v>
      </c>
      <c r="E617" s="17"/>
      <c r="F617" s="17"/>
    </row>
    <row r="618" spans="1:6" ht="12.75" x14ac:dyDescent="0.2">
      <c r="A618" s="13">
        <f ca="1">IFERROR(__xludf.DUMMYFUNCTION("""COMPUTED_VALUE"""),44735.6458333333)</f>
        <v>44735.645833333299</v>
      </c>
      <c r="B618" s="14">
        <f ca="1">IFERROR(__xludf.DUMMYFUNCTION("""COMPUTED_VALUE"""),3308.8)</f>
        <v>3308.8</v>
      </c>
      <c r="C618" s="15">
        <f t="shared" ca="1" si="4"/>
        <v>2.6637087140663152E-2</v>
      </c>
      <c r="D618" s="14">
        <f t="shared" ca="1" si="5"/>
        <v>3395.7849999999994</v>
      </c>
      <c r="E618" s="17"/>
      <c r="F618" s="17"/>
    </row>
    <row r="619" spans="1:6" ht="12.75" x14ac:dyDescent="0.2">
      <c r="A619" s="13">
        <f ca="1">IFERROR(__xludf.DUMMYFUNCTION("""COMPUTED_VALUE"""),44736.6458333333)</f>
        <v>44736.645833333299</v>
      </c>
      <c r="B619" s="14">
        <f ca="1">IFERROR(__xludf.DUMMYFUNCTION("""COMPUTED_VALUE"""),3293.1)</f>
        <v>3293.1</v>
      </c>
      <c r="C619" s="15">
        <f t="shared" ca="1" si="4"/>
        <v>-4.7449226305610326E-3</v>
      </c>
      <c r="D619" s="14">
        <f t="shared" ca="1" si="5"/>
        <v>3387.8249999999994</v>
      </c>
      <c r="E619" s="17"/>
      <c r="F619" s="17"/>
    </row>
    <row r="620" spans="1:6" ht="12.75" x14ac:dyDescent="0.2">
      <c r="A620" s="13">
        <f ca="1">IFERROR(__xludf.DUMMYFUNCTION("""COMPUTED_VALUE"""),44739.6458333333)</f>
        <v>44739.645833333299</v>
      </c>
      <c r="B620" s="14">
        <f ca="1">IFERROR(__xludf.DUMMYFUNCTION("""COMPUTED_VALUE"""),3314.7)</f>
        <v>3314.7</v>
      </c>
      <c r="C620" s="15">
        <f t="shared" ca="1" si="4"/>
        <v>6.5591691719049106E-3</v>
      </c>
      <c r="D620" s="14">
        <f t="shared" ca="1" si="5"/>
        <v>3380.88</v>
      </c>
      <c r="E620" s="17"/>
      <c r="F620" s="17"/>
    </row>
    <row r="621" spans="1:6" ht="12.75" x14ac:dyDescent="0.2">
      <c r="A621" s="13">
        <f ca="1">IFERROR(__xludf.DUMMYFUNCTION("""COMPUTED_VALUE"""),44740.6458333333)</f>
        <v>44740.645833333299</v>
      </c>
      <c r="B621" s="14">
        <f ca="1">IFERROR(__xludf.DUMMYFUNCTION("""COMPUTED_VALUE"""),3318.15)</f>
        <v>3318.15</v>
      </c>
      <c r="C621" s="15">
        <f t="shared" ca="1" si="4"/>
        <v>1.0408181735903632E-3</v>
      </c>
      <c r="D621" s="14">
        <f t="shared" ca="1" si="5"/>
        <v>3376.6819999999993</v>
      </c>
      <c r="E621" s="17"/>
      <c r="F621" s="17"/>
    </row>
    <row r="622" spans="1:6" ht="12.75" x14ac:dyDescent="0.2">
      <c r="A622" s="13">
        <f ca="1">IFERROR(__xludf.DUMMYFUNCTION("""COMPUTED_VALUE"""),44741.6458333333)</f>
        <v>44741.645833333299</v>
      </c>
      <c r="B622" s="14">
        <f ca="1">IFERROR(__xludf.DUMMYFUNCTION("""COMPUTED_VALUE"""),3290.5)</f>
        <v>3290.5</v>
      </c>
      <c r="C622" s="15">
        <f t="shared" ca="1" si="4"/>
        <v>-8.3329566173921954E-3</v>
      </c>
      <c r="D622" s="14">
        <f t="shared" ca="1" si="5"/>
        <v>3373.0539999999996</v>
      </c>
      <c r="E622" s="17"/>
      <c r="F622" s="17"/>
    </row>
    <row r="623" spans="1:6" ht="12.75" x14ac:dyDescent="0.2">
      <c r="A623" s="13">
        <f ca="1">IFERROR(__xludf.DUMMYFUNCTION("""COMPUTED_VALUE"""),44742.6458333333)</f>
        <v>44742.645833333299</v>
      </c>
      <c r="B623" s="14">
        <f ca="1">IFERROR(__xludf.DUMMYFUNCTION("""COMPUTED_VALUE"""),3267.1)</f>
        <v>3267.1</v>
      </c>
      <c r="C623" s="15">
        <f t="shared" ca="1" si="4"/>
        <v>-7.1113812490503081E-3</v>
      </c>
      <c r="D623" s="14">
        <f t="shared" ca="1" si="5"/>
        <v>3367.26</v>
      </c>
      <c r="E623" s="17"/>
      <c r="F623" s="17"/>
    </row>
    <row r="624" spans="1:6" ht="12.75" x14ac:dyDescent="0.2">
      <c r="A624" s="13">
        <f ca="1">IFERROR(__xludf.DUMMYFUNCTION("""COMPUTED_VALUE"""),44743.6458333333)</f>
        <v>44743.645833333299</v>
      </c>
      <c r="B624" s="14">
        <f ca="1">IFERROR(__xludf.DUMMYFUNCTION("""COMPUTED_VALUE"""),3315.1)</f>
        <v>3315.1</v>
      </c>
      <c r="C624" s="15">
        <f t="shared" ca="1" si="4"/>
        <v>1.4691928621713535E-2</v>
      </c>
      <c r="D624" s="14">
        <f t="shared" ca="1" si="5"/>
        <v>3360.989</v>
      </c>
      <c r="E624" s="17"/>
      <c r="F624" s="17"/>
    </row>
    <row r="625" spans="1:6" ht="12.75" x14ac:dyDescent="0.2">
      <c r="A625" s="13">
        <f ca="1">IFERROR(__xludf.DUMMYFUNCTION("""COMPUTED_VALUE"""),44746.6458333333)</f>
        <v>44746.645833333299</v>
      </c>
      <c r="B625" s="14">
        <f ca="1">IFERROR(__xludf.DUMMYFUNCTION("""COMPUTED_VALUE"""),3235.05)</f>
        <v>3235.05</v>
      </c>
      <c r="C625" s="15">
        <f t="shared" ca="1" si="4"/>
        <v>-2.414708455250214E-2</v>
      </c>
      <c r="D625" s="14">
        <f t="shared" ca="1" si="5"/>
        <v>3353.4390000000003</v>
      </c>
      <c r="E625" s="17"/>
      <c r="F625" s="17"/>
    </row>
    <row r="626" spans="1:6" ht="12.75" x14ac:dyDescent="0.2">
      <c r="A626" s="13">
        <f ca="1">IFERROR(__xludf.DUMMYFUNCTION("""COMPUTED_VALUE"""),44747.6458333333)</f>
        <v>44747.645833333299</v>
      </c>
      <c r="B626" s="14">
        <f ca="1">IFERROR(__xludf.DUMMYFUNCTION("""COMPUTED_VALUE"""),3216.3)</f>
        <v>3216.3</v>
      </c>
      <c r="C626" s="15">
        <f t="shared" ca="1" si="4"/>
        <v>-5.7958918718412633E-3</v>
      </c>
      <c r="D626" s="14">
        <f t="shared" ca="1" si="5"/>
        <v>3346.8010000000004</v>
      </c>
      <c r="E626" s="17"/>
      <c r="F626" s="17"/>
    </row>
    <row r="627" spans="1:6" ht="12.75" x14ac:dyDescent="0.2">
      <c r="A627" s="13">
        <f ca="1">IFERROR(__xludf.DUMMYFUNCTION("""COMPUTED_VALUE"""),44748.6458333333)</f>
        <v>44748.645833333299</v>
      </c>
      <c r="B627" s="14">
        <f ca="1">IFERROR(__xludf.DUMMYFUNCTION("""COMPUTED_VALUE"""),3260.75)</f>
        <v>3260.75</v>
      </c>
      <c r="C627" s="15">
        <f t="shared" ca="1" si="4"/>
        <v>1.3820228212542363E-2</v>
      </c>
      <c r="D627" s="14">
        <f t="shared" ca="1" si="5"/>
        <v>3341.0899999999992</v>
      </c>
      <c r="E627" s="17"/>
      <c r="F627" s="17"/>
    </row>
    <row r="628" spans="1:6" ht="12.75" x14ac:dyDescent="0.2">
      <c r="A628" s="13">
        <f ca="1">IFERROR(__xludf.DUMMYFUNCTION("""COMPUTED_VALUE"""),44749.6458333333)</f>
        <v>44749.645833333299</v>
      </c>
      <c r="B628" s="14">
        <f ca="1">IFERROR(__xludf.DUMMYFUNCTION("""COMPUTED_VALUE"""),3287.85)</f>
        <v>3287.85</v>
      </c>
      <c r="C628" s="15">
        <f t="shared" ca="1" si="4"/>
        <v>8.3109714022846504E-3</v>
      </c>
      <c r="D628" s="14">
        <f t="shared" ca="1" si="5"/>
        <v>3335.623</v>
      </c>
      <c r="E628" s="17"/>
      <c r="F628" s="17"/>
    </row>
    <row r="629" spans="1:6" ht="12.75" x14ac:dyDescent="0.2">
      <c r="A629" s="13">
        <f ca="1">IFERROR(__xludf.DUMMYFUNCTION("""COMPUTED_VALUE"""),44750.6458333333)</f>
        <v>44750.645833333299</v>
      </c>
      <c r="B629" s="14">
        <f ca="1">IFERROR(__xludf.DUMMYFUNCTION("""COMPUTED_VALUE"""),3265.45)</f>
        <v>3265.45</v>
      </c>
      <c r="C629" s="15">
        <f t="shared" ca="1" si="4"/>
        <v>-6.8129628784768803E-3</v>
      </c>
      <c r="D629" s="14">
        <f t="shared" ca="1" si="5"/>
        <v>3329.2459999999996</v>
      </c>
      <c r="E629" s="17"/>
      <c r="F629" s="17"/>
    </row>
    <row r="630" spans="1:6" ht="12.75" x14ac:dyDescent="0.2">
      <c r="A630" s="13">
        <f ca="1">IFERROR(__xludf.DUMMYFUNCTION("""COMPUTED_VALUE"""),44753.6458333333)</f>
        <v>44753.645833333299</v>
      </c>
      <c r="B630" s="14">
        <f ca="1">IFERROR(__xludf.DUMMYFUNCTION("""COMPUTED_VALUE"""),3113.8)</f>
        <v>3113.8</v>
      </c>
      <c r="C630" s="15">
        <f t="shared" ca="1" si="4"/>
        <v>-4.6440766203739048E-2</v>
      </c>
      <c r="D630" s="14">
        <f t="shared" ca="1" si="5"/>
        <v>3320.5879999999997</v>
      </c>
      <c r="E630" s="17"/>
      <c r="F630" s="17"/>
    </row>
    <row r="631" spans="1:6" ht="12.75" x14ac:dyDescent="0.2">
      <c r="A631" s="13">
        <f ca="1">IFERROR(__xludf.DUMMYFUNCTION("""COMPUTED_VALUE"""),44754.6458333333)</f>
        <v>44754.645833333299</v>
      </c>
      <c r="B631" s="14">
        <f ca="1">IFERROR(__xludf.DUMMYFUNCTION("""COMPUTED_VALUE"""),3084.7)</f>
        <v>3084.7</v>
      </c>
      <c r="C631" s="15">
        <f t="shared" ca="1" si="4"/>
        <v>-9.3454942513970796E-3</v>
      </c>
      <c r="D631" s="14">
        <f t="shared" ca="1" si="5"/>
        <v>3311.4339999999997</v>
      </c>
      <c r="E631" s="17"/>
      <c r="F631" s="17"/>
    </row>
    <row r="632" spans="1:6" ht="12.75" x14ac:dyDescent="0.2">
      <c r="A632" s="13">
        <f ca="1">IFERROR(__xludf.DUMMYFUNCTION("""COMPUTED_VALUE"""),44755.6458333333)</f>
        <v>44755.645833333299</v>
      </c>
      <c r="B632" s="14">
        <f ca="1">IFERROR(__xludf.DUMMYFUNCTION("""COMPUTED_VALUE"""),3038.75)</f>
        <v>3038.75</v>
      </c>
      <c r="C632" s="15">
        <f t="shared" ca="1" si="4"/>
        <v>-1.4896100106979504E-2</v>
      </c>
      <c r="D632" s="14">
        <f t="shared" ca="1" si="5"/>
        <v>3302.6139999999996</v>
      </c>
      <c r="E632" s="17"/>
      <c r="F632" s="17"/>
    </row>
    <row r="633" spans="1:6" ht="12.75" x14ac:dyDescent="0.2">
      <c r="A633" s="13">
        <f ca="1">IFERROR(__xludf.DUMMYFUNCTION("""COMPUTED_VALUE"""),44756.6458333333)</f>
        <v>44756.645833333299</v>
      </c>
      <c r="B633" s="14">
        <f ca="1">IFERROR(__xludf.DUMMYFUNCTION("""COMPUTED_VALUE"""),2998.75)</f>
        <v>2998.75</v>
      </c>
      <c r="C633" s="15">
        <f t="shared" ca="1" si="4"/>
        <v>-1.3163307280954384E-2</v>
      </c>
      <c r="D633" s="14">
        <f t="shared" ca="1" si="5"/>
        <v>3292.3209999999999</v>
      </c>
      <c r="E633" s="17"/>
      <c r="F633" s="17"/>
    </row>
    <row r="634" spans="1:6" ht="12.75" x14ac:dyDescent="0.2">
      <c r="A634" s="13">
        <f ca="1">IFERROR(__xludf.DUMMYFUNCTION("""COMPUTED_VALUE"""),44757.6458333333)</f>
        <v>44757.645833333299</v>
      </c>
      <c r="B634" s="14">
        <f ca="1">IFERROR(__xludf.DUMMYFUNCTION("""COMPUTED_VALUE"""),2994.6)</f>
        <v>2994.6</v>
      </c>
      <c r="C634" s="15">
        <f t="shared" ca="1" si="4"/>
        <v>-1.3839099624843865E-3</v>
      </c>
      <c r="D634" s="14">
        <f t="shared" ca="1" si="5"/>
        <v>3283.5609999999997</v>
      </c>
      <c r="E634" s="17"/>
      <c r="F634" s="17"/>
    </row>
    <row r="635" spans="1:6" ht="12.75" x14ac:dyDescent="0.2">
      <c r="A635" s="13">
        <f ca="1">IFERROR(__xludf.DUMMYFUNCTION("""COMPUTED_VALUE"""),44760.6458333333)</f>
        <v>44760.645833333299</v>
      </c>
      <c r="B635" s="14">
        <f ca="1">IFERROR(__xludf.DUMMYFUNCTION("""COMPUTED_VALUE"""),3063.5)</f>
        <v>3063.5</v>
      </c>
      <c r="C635" s="15">
        <f t="shared" ca="1" si="4"/>
        <v>2.3008081212849918E-2</v>
      </c>
      <c r="D635" s="14">
        <f t="shared" ca="1" si="5"/>
        <v>3275.9290000000001</v>
      </c>
      <c r="E635" s="17"/>
      <c r="F635" s="17"/>
    </row>
    <row r="636" spans="1:6" ht="12.75" x14ac:dyDescent="0.2">
      <c r="A636" s="13">
        <f ca="1">IFERROR(__xludf.DUMMYFUNCTION("""COMPUTED_VALUE"""),44761.6458333333)</f>
        <v>44761.645833333299</v>
      </c>
      <c r="B636" s="14">
        <f ca="1">IFERROR(__xludf.DUMMYFUNCTION("""COMPUTED_VALUE"""),3074.25)</f>
        <v>3074.25</v>
      </c>
      <c r="C636" s="15">
        <f t="shared" ca="1" si="4"/>
        <v>3.5090582666883474E-3</v>
      </c>
      <c r="D636" s="14">
        <f t="shared" ca="1" si="5"/>
        <v>3268.6390000000001</v>
      </c>
      <c r="E636" s="17"/>
      <c r="F636" s="17"/>
    </row>
    <row r="637" spans="1:6" ht="12.75" x14ac:dyDescent="0.2">
      <c r="A637" s="13">
        <f ca="1">IFERROR(__xludf.DUMMYFUNCTION("""COMPUTED_VALUE"""),44762.6458333333)</f>
        <v>44762.645833333299</v>
      </c>
      <c r="B637" s="14">
        <f ca="1">IFERROR(__xludf.DUMMYFUNCTION("""COMPUTED_VALUE"""),3164.8)</f>
        <v>3164.8</v>
      </c>
      <c r="C637" s="15">
        <f t="shared" ca="1" si="4"/>
        <v>2.9454338456534224E-2</v>
      </c>
      <c r="D637" s="14">
        <f t="shared" ca="1" si="5"/>
        <v>3263.6950000000002</v>
      </c>
      <c r="E637" s="17"/>
      <c r="F637" s="17"/>
    </row>
    <row r="638" spans="1:6" ht="12.75" x14ac:dyDescent="0.2">
      <c r="A638" s="13">
        <f ca="1">IFERROR(__xludf.DUMMYFUNCTION("""COMPUTED_VALUE"""),44763.6458333333)</f>
        <v>44763.645833333299</v>
      </c>
      <c r="B638" s="14">
        <f ca="1">IFERROR(__xludf.DUMMYFUNCTION("""COMPUTED_VALUE"""),3177.3)</f>
        <v>3177.3</v>
      </c>
      <c r="C638" s="15">
        <f t="shared" ca="1" si="4"/>
        <v>3.9496966632963648E-3</v>
      </c>
      <c r="D638" s="14">
        <f t="shared" ca="1" si="5"/>
        <v>3259.0679999999998</v>
      </c>
      <c r="E638" s="17"/>
      <c r="F638" s="17"/>
    </row>
    <row r="639" spans="1:6" ht="12.75" x14ac:dyDescent="0.2">
      <c r="A639" s="13">
        <f ca="1">IFERROR(__xludf.DUMMYFUNCTION("""COMPUTED_VALUE"""),44764.6458333333)</f>
        <v>44764.645833333299</v>
      </c>
      <c r="B639" s="14">
        <f ca="1">IFERROR(__xludf.DUMMYFUNCTION("""COMPUTED_VALUE"""),3171)</f>
        <v>3171</v>
      </c>
      <c r="C639" s="15">
        <f t="shared" ca="1" si="4"/>
        <v>-1.98281559814939E-3</v>
      </c>
      <c r="D639" s="14">
        <f t="shared" ca="1" si="5"/>
        <v>3254.19</v>
      </c>
      <c r="E639" s="17"/>
      <c r="F639" s="17"/>
    </row>
    <row r="640" spans="1:6" ht="12.75" x14ac:dyDescent="0.2">
      <c r="A640" s="13">
        <f ca="1">IFERROR(__xludf.DUMMYFUNCTION("""COMPUTED_VALUE"""),44767.6458333333)</f>
        <v>44767.645833333299</v>
      </c>
      <c r="B640" s="14">
        <f ca="1">IFERROR(__xludf.DUMMYFUNCTION("""COMPUTED_VALUE"""),3166.75)</f>
        <v>3166.75</v>
      </c>
      <c r="C640" s="15">
        <f t="shared" ca="1" si="4"/>
        <v>-1.3402712078208756E-3</v>
      </c>
      <c r="D640" s="14">
        <f t="shared" ca="1" si="5"/>
        <v>3249.9889999999996</v>
      </c>
      <c r="E640" s="17"/>
      <c r="F640" s="17"/>
    </row>
    <row r="641" spans="1:6" ht="12.75" x14ac:dyDescent="0.2">
      <c r="A641" s="13">
        <f ca="1">IFERROR(__xludf.DUMMYFUNCTION("""COMPUTED_VALUE"""),44768.6458333333)</f>
        <v>44768.645833333299</v>
      </c>
      <c r="B641" s="14">
        <f ca="1">IFERROR(__xludf.DUMMYFUNCTION("""COMPUTED_VALUE"""),3115.9)</f>
        <v>3115.9</v>
      </c>
      <c r="C641" s="15">
        <f t="shared" ca="1" si="4"/>
        <v>-1.6057472171784881E-2</v>
      </c>
      <c r="D641" s="14">
        <f t="shared" ca="1" si="5"/>
        <v>3243.2749999999996</v>
      </c>
      <c r="E641" s="17"/>
      <c r="F641" s="17"/>
    </row>
    <row r="642" spans="1:6" ht="12.75" x14ac:dyDescent="0.2">
      <c r="A642" s="13">
        <f ca="1">IFERROR(__xludf.DUMMYFUNCTION("""COMPUTED_VALUE"""),44769.6458333333)</f>
        <v>44769.645833333299</v>
      </c>
      <c r="B642" s="14">
        <f ca="1">IFERROR(__xludf.DUMMYFUNCTION("""COMPUTED_VALUE"""),3188.85)</f>
        <v>3188.85</v>
      </c>
      <c r="C642" s="15">
        <f t="shared" ca="1" si="4"/>
        <v>2.3412176257260997E-2</v>
      </c>
      <c r="D642" s="14">
        <f t="shared" ca="1" si="5"/>
        <v>3238.0759999999991</v>
      </c>
      <c r="E642" s="17"/>
      <c r="F642" s="17"/>
    </row>
    <row r="643" spans="1:6" ht="12.75" x14ac:dyDescent="0.2">
      <c r="A643" s="13">
        <f ca="1">IFERROR(__xludf.DUMMYFUNCTION("""COMPUTED_VALUE"""),44770.6458333333)</f>
        <v>44770.645833333299</v>
      </c>
      <c r="B643" s="14">
        <f ca="1">IFERROR(__xludf.DUMMYFUNCTION("""COMPUTED_VALUE"""),3260.5)</f>
        <v>3260.5</v>
      </c>
      <c r="C643" s="15">
        <f t="shared" ca="1" si="4"/>
        <v>2.2468915126142575E-2</v>
      </c>
      <c r="D643" s="14">
        <f t="shared" ca="1" si="5"/>
        <v>3238.0469999999996</v>
      </c>
      <c r="E643" s="17"/>
      <c r="F643" s="17"/>
    </row>
    <row r="644" spans="1:6" ht="12.75" x14ac:dyDescent="0.2">
      <c r="A644" s="13">
        <f ca="1">IFERROR(__xludf.DUMMYFUNCTION("""COMPUTED_VALUE"""),44771.6458333333)</f>
        <v>44771.645833333299</v>
      </c>
      <c r="B644" s="14">
        <f ca="1">IFERROR(__xludf.DUMMYFUNCTION("""COMPUTED_VALUE"""),3301.9)</f>
        <v>3301.9</v>
      </c>
      <c r="C644" s="15">
        <f t="shared" ca="1" si="4"/>
        <v>1.2697439043091618E-2</v>
      </c>
      <c r="D644" s="14">
        <f t="shared" ca="1" si="5"/>
        <v>3238.2249999999995</v>
      </c>
      <c r="E644" s="17"/>
      <c r="F644" s="17"/>
    </row>
    <row r="645" spans="1:6" ht="12.75" x14ac:dyDescent="0.2">
      <c r="A645" s="13">
        <f ca="1">IFERROR(__xludf.DUMMYFUNCTION("""COMPUTED_VALUE"""),44774.6458333333)</f>
        <v>44774.645833333299</v>
      </c>
      <c r="B645" s="14">
        <f ca="1">IFERROR(__xludf.DUMMYFUNCTION("""COMPUTED_VALUE"""),3298.8)</f>
        <v>3298.8</v>
      </c>
      <c r="C645" s="15">
        <f t="shared" ca="1" si="4"/>
        <v>-9.3885338744359448E-4</v>
      </c>
      <c r="D645" s="14">
        <f t="shared" ca="1" si="5"/>
        <v>3237.7659999999992</v>
      </c>
      <c r="E645" s="17"/>
      <c r="F645" s="17"/>
    </row>
    <row r="646" spans="1:6" ht="12.75" x14ac:dyDescent="0.2">
      <c r="A646" s="13">
        <f ca="1">IFERROR(__xludf.DUMMYFUNCTION("""COMPUTED_VALUE"""),44775.6458333333)</f>
        <v>44775.645833333299</v>
      </c>
      <c r="B646" s="14">
        <f ca="1">IFERROR(__xludf.DUMMYFUNCTION("""COMPUTED_VALUE"""),3291.8)</f>
        <v>3291.8</v>
      </c>
      <c r="C646" s="15">
        <f t="shared" ca="1" si="4"/>
        <v>-2.1219837516672779E-3</v>
      </c>
      <c r="D646" s="14">
        <f t="shared" ca="1" si="5"/>
        <v>3237.8419999999996</v>
      </c>
      <c r="E646" s="17"/>
      <c r="F646" s="17"/>
    </row>
    <row r="647" spans="1:6" ht="12.75" x14ac:dyDescent="0.2">
      <c r="A647" s="13">
        <f ca="1">IFERROR(__xludf.DUMMYFUNCTION("""COMPUTED_VALUE"""),44776.6458333333)</f>
        <v>44776.645833333299</v>
      </c>
      <c r="B647" s="14">
        <f ca="1">IFERROR(__xludf.DUMMYFUNCTION("""COMPUTED_VALUE"""),3339.5)</f>
        <v>3339.5</v>
      </c>
      <c r="C647" s="15">
        <f t="shared" ca="1" si="4"/>
        <v>1.4490552281426483E-2</v>
      </c>
      <c r="D647" s="14">
        <f t="shared" ca="1" si="5"/>
        <v>3241.2790000000005</v>
      </c>
      <c r="E647" s="17"/>
      <c r="F647" s="17"/>
    </row>
    <row r="648" spans="1:6" ht="12.75" x14ac:dyDescent="0.2">
      <c r="A648" s="13">
        <f ca="1">IFERROR(__xludf.DUMMYFUNCTION("""COMPUTED_VALUE"""),44777.6458333333)</f>
        <v>44777.645833333299</v>
      </c>
      <c r="B648" s="14">
        <f ca="1">IFERROR(__xludf.DUMMYFUNCTION("""COMPUTED_VALUE"""),3354.95)</f>
        <v>3354.95</v>
      </c>
      <c r="C648" s="15">
        <f t="shared" ca="1" si="4"/>
        <v>4.6264410839944592E-3</v>
      </c>
      <c r="D648" s="14">
        <f t="shared" ca="1" si="5"/>
        <v>3243.8390000000004</v>
      </c>
      <c r="E648" s="17"/>
      <c r="F648" s="17"/>
    </row>
    <row r="649" spans="1:6" ht="12.75" x14ac:dyDescent="0.2">
      <c r="A649" s="13">
        <f ca="1">IFERROR(__xludf.DUMMYFUNCTION("""COMPUTED_VALUE"""),44778.6458333333)</f>
        <v>44778.645833333299</v>
      </c>
      <c r="B649" s="14">
        <f ca="1">IFERROR(__xludf.DUMMYFUNCTION("""COMPUTED_VALUE"""),3365.05)</f>
        <v>3365.05</v>
      </c>
      <c r="C649" s="15">
        <f t="shared" ca="1" si="4"/>
        <v>3.0104770562899841E-3</v>
      </c>
      <c r="D649" s="14">
        <f t="shared" ca="1" si="5"/>
        <v>3245.9139999999998</v>
      </c>
      <c r="E649" s="17"/>
      <c r="F649" s="17"/>
    </row>
    <row r="650" spans="1:6" ht="12.75" x14ac:dyDescent="0.2">
      <c r="A650" s="13">
        <f ca="1">IFERROR(__xludf.DUMMYFUNCTION("""COMPUTED_VALUE"""),44781.6458333333)</f>
        <v>44781.645833333299</v>
      </c>
      <c r="B650" s="14">
        <f ca="1">IFERROR(__xludf.DUMMYFUNCTION("""COMPUTED_VALUE"""),3374.45)</f>
        <v>3374.45</v>
      </c>
      <c r="C650" s="15">
        <f t="shared" ca="1" si="4"/>
        <v>2.7934206029627262E-3</v>
      </c>
      <c r="D650" s="14">
        <f t="shared" ca="1" si="5"/>
        <v>3245.8980000000006</v>
      </c>
      <c r="E650" s="17"/>
      <c r="F650" s="17"/>
    </row>
    <row r="651" spans="1:6" ht="12.75" x14ac:dyDescent="0.2">
      <c r="A651" s="13">
        <f ca="1">IFERROR(__xludf.DUMMYFUNCTION("""COMPUTED_VALUE"""),44783.6458333333)</f>
        <v>44783.645833333299</v>
      </c>
      <c r="B651" s="14">
        <f ca="1">IFERROR(__xludf.DUMMYFUNCTION("""COMPUTED_VALUE"""),3354.25)</f>
        <v>3354.25</v>
      </c>
      <c r="C651" s="15">
        <f t="shared" ca="1" si="4"/>
        <v>-5.9861607076707735E-3</v>
      </c>
      <c r="D651" s="14">
        <f t="shared" ca="1" si="5"/>
        <v>3245.6960000000004</v>
      </c>
      <c r="E651" s="17"/>
      <c r="F651" s="17"/>
    </row>
    <row r="652" spans="1:6" ht="12.75" x14ac:dyDescent="0.2">
      <c r="A652" s="13">
        <f ca="1">IFERROR(__xludf.DUMMYFUNCTION("""COMPUTED_VALUE"""),44784.6458333333)</f>
        <v>44784.645833333299</v>
      </c>
      <c r="B652" s="14">
        <f ca="1">IFERROR(__xludf.DUMMYFUNCTION("""COMPUTED_VALUE"""),3422.5)</f>
        <v>3422.5</v>
      </c>
      <c r="C652" s="15">
        <f t="shared" ca="1" si="4"/>
        <v>2.0347320563464333E-2</v>
      </c>
      <c r="D652" s="14">
        <f t="shared" ca="1" si="5"/>
        <v>3247.0419999999999</v>
      </c>
      <c r="E652" s="17"/>
      <c r="F652" s="17"/>
    </row>
    <row r="653" spans="1:6" ht="12.75" x14ac:dyDescent="0.2">
      <c r="A653" s="13">
        <f ca="1">IFERROR(__xludf.DUMMYFUNCTION("""COMPUTED_VALUE"""),44785.6458333333)</f>
        <v>44785.645833333299</v>
      </c>
      <c r="B653" s="14">
        <f ca="1">IFERROR(__xludf.DUMMYFUNCTION("""COMPUTED_VALUE"""),3401.55)</f>
        <v>3401.55</v>
      </c>
      <c r="C653" s="15">
        <f t="shared" ca="1" si="4"/>
        <v>-6.1212563915266083E-3</v>
      </c>
      <c r="D653" s="14">
        <f t="shared" ca="1" si="5"/>
        <v>3246.6129999999998</v>
      </c>
      <c r="E653" s="17"/>
      <c r="F653" s="17"/>
    </row>
    <row r="654" spans="1:6" ht="12.75" x14ac:dyDescent="0.2">
      <c r="A654" s="13">
        <f ca="1">IFERROR(__xludf.DUMMYFUNCTION("""COMPUTED_VALUE"""),44789.6458333333)</f>
        <v>44789.645833333299</v>
      </c>
      <c r="B654" s="14">
        <f ca="1">IFERROR(__xludf.DUMMYFUNCTION("""COMPUTED_VALUE"""),3392.7)</f>
        <v>3392.7</v>
      </c>
      <c r="C654" s="15">
        <f t="shared" ca="1" si="4"/>
        <v>-2.6017550822420299E-3</v>
      </c>
      <c r="D654" s="14">
        <f t="shared" ca="1" si="5"/>
        <v>3245.6639999999998</v>
      </c>
      <c r="E654" s="17"/>
      <c r="F654" s="17"/>
    </row>
    <row r="655" spans="1:6" ht="12.75" x14ac:dyDescent="0.2">
      <c r="A655" s="13">
        <f ca="1">IFERROR(__xludf.DUMMYFUNCTION("""COMPUTED_VALUE"""),44790.6458333333)</f>
        <v>44790.645833333299</v>
      </c>
      <c r="B655" s="14">
        <f ca="1">IFERROR(__xludf.DUMMYFUNCTION("""COMPUTED_VALUE"""),3401.1)</f>
        <v>3401.1</v>
      </c>
      <c r="C655" s="15">
        <f t="shared" ca="1" si="4"/>
        <v>2.475904147139385E-3</v>
      </c>
      <c r="D655" s="14">
        <f t="shared" ca="1" si="5"/>
        <v>3245.0670000000009</v>
      </c>
      <c r="E655" s="17"/>
      <c r="F655" s="17"/>
    </row>
    <row r="656" spans="1:6" ht="12.75" x14ac:dyDescent="0.2">
      <c r="A656" s="13">
        <f ca="1">IFERROR(__xludf.DUMMYFUNCTION("""COMPUTED_VALUE"""),44791.6458333333)</f>
        <v>44791.645833333299</v>
      </c>
      <c r="B656" s="14">
        <f ca="1">IFERROR(__xludf.DUMMYFUNCTION("""COMPUTED_VALUE"""),3381.25)</f>
        <v>3381.25</v>
      </c>
      <c r="C656" s="15">
        <f t="shared" ca="1" si="4"/>
        <v>-5.8363470641851212E-3</v>
      </c>
      <c r="D656" s="14">
        <f t="shared" ca="1" si="5"/>
        <v>3245.438000000001</v>
      </c>
      <c r="E656" s="17"/>
      <c r="F656" s="17"/>
    </row>
    <row r="657" spans="1:6" ht="12.75" x14ac:dyDescent="0.2">
      <c r="A657" s="13">
        <f ca="1">IFERROR(__xludf.DUMMYFUNCTION("""COMPUTED_VALUE"""),44792.6458333333)</f>
        <v>44792.645833333299</v>
      </c>
      <c r="B657" s="14">
        <f ca="1">IFERROR(__xludf.DUMMYFUNCTION("""COMPUTED_VALUE"""),3385.75)</f>
        <v>3385.75</v>
      </c>
      <c r="C657" s="15">
        <f t="shared" ca="1" si="4"/>
        <v>1.3308687615527504E-3</v>
      </c>
      <c r="D657" s="14">
        <f t="shared" ca="1" si="5"/>
        <v>3245.0700000000006</v>
      </c>
      <c r="E657" s="17"/>
      <c r="F657" s="17"/>
    </row>
    <row r="658" spans="1:6" ht="12.75" x14ac:dyDescent="0.2">
      <c r="A658" s="13">
        <f ca="1">IFERROR(__xludf.DUMMYFUNCTION("""COMPUTED_VALUE"""),44795.6458333333)</f>
        <v>44795.645833333299</v>
      </c>
      <c r="B658" s="14">
        <f ca="1">IFERROR(__xludf.DUMMYFUNCTION("""COMPUTED_VALUE"""),3354.55)</f>
        <v>3354.55</v>
      </c>
      <c r="C658" s="15">
        <f t="shared" ca="1" si="4"/>
        <v>-9.2150926677988521E-3</v>
      </c>
      <c r="D658" s="14">
        <f t="shared" ca="1" si="5"/>
        <v>3243.6190000000001</v>
      </c>
      <c r="E658" s="17"/>
      <c r="F658" s="17"/>
    </row>
    <row r="659" spans="1:6" ht="12.75" x14ac:dyDescent="0.2">
      <c r="A659" s="13">
        <f ca="1">IFERROR(__xludf.DUMMYFUNCTION("""COMPUTED_VALUE"""),44796.6458333333)</f>
        <v>44796.645833333299</v>
      </c>
      <c r="B659" s="14">
        <f ca="1">IFERROR(__xludf.DUMMYFUNCTION("""COMPUTED_VALUE"""),3284.6)</f>
        <v>3284.6</v>
      </c>
      <c r="C659" s="15">
        <f t="shared" ca="1" si="4"/>
        <v>-2.0852275267919773E-2</v>
      </c>
      <c r="D659" s="14">
        <f t="shared" ca="1" si="5"/>
        <v>3242.1130000000003</v>
      </c>
      <c r="E659" s="17"/>
      <c r="F659" s="17"/>
    </row>
    <row r="660" spans="1:6" ht="12.75" x14ac:dyDescent="0.2">
      <c r="A660" s="13">
        <f ca="1">IFERROR(__xludf.DUMMYFUNCTION("""COMPUTED_VALUE"""),44797.6458333333)</f>
        <v>44797.645833333299</v>
      </c>
      <c r="B660" s="14">
        <f ca="1">IFERROR(__xludf.DUMMYFUNCTION("""COMPUTED_VALUE"""),3255.35)</f>
        <v>3255.35</v>
      </c>
      <c r="C660" s="15">
        <f t="shared" ca="1" si="4"/>
        <v>-8.905193935334621E-3</v>
      </c>
      <c r="D660" s="14">
        <f t="shared" ca="1" si="5"/>
        <v>3242.828</v>
      </c>
      <c r="E660" s="17"/>
      <c r="F660" s="17"/>
    </row>
    <row r="661" spans="1:6" ht="12.75" x14ac:dyDescent="0.2">
      <c r="A661" s="13">
        <f ca="1">IFERROR(__xludf.DUMMYFUNCTION("""COMPUTED_VALUE"""),44798.6458333333)</f>
        <v>44798.645833333299</v>
      </c>
      <c r="B661" s="14">
        <f ca="1">IFERROR(__xludf.DUMMYFUNCTION("""COMPUTED_VALUE"""),3218.2)</f>
        <v>3218.2</v>
      </c>
      <c r="C661" s="15">
        <f t="shared" ca="1" si="4"/>
        <v>-1.1411983350484656E-2</v>
      </c>
      <c r="D661" s="14">
        <f t="shared" ca="1" si="5"/>
        <v>3242.9810000000002</v>
      </c>
      <c r="E661" s="17"/>
      <c r="F661" s="17"/>
    </row>
    <row r="662" spans="1:6" ht="12.75" x14ac:dyDescent="0.2">
      <c r="A662" s="13">
        <f ca="1">IFERROR(__xludf.DUMMYFUNCTION("""COMPUTED_VALUE"""),44799.6458333333)</f>
        <v>44799.645833333299</v>
      </c>
      <c r="B662" s="14">
        <f ca="1">IFERROR(__xludf.DUMMYFUNCTION("""COMPUTED_VALUE"""),3222.2)</f>
        <v>3222.2</v>
      </c>
      <c r="C662" s="15">
        <f t="shared" ca="1" si="4"/>
        <v>1.2429308308992137E-3</v>
      </c>
      <c r="D662" s="14">
        <f t="shared" ca="1" si="5"/>
        <v>3243.2990000000009</v>
      </c>
      <c r="E662" s="17"/>
      <c r="F662" s="17"/>
    </row>
    <row r="663" spans="1:6" ht="12.75" x14ac:dyDescent="0.2">
      <c r="A663" s="13">
        <f ca="1">IFERROR(__xludf.DUMMYFUNCTION("""COMPUTED_VALUE"""),44802.6458333333)</f>
        <v>44802.645833333299</v>
      </c>
      <c r="B663" s="14">
        <f ca="1">IFERROR(__xludf.DUMMYFUNCTION("""COMPUTED_VALUE"""),3132.55)</f>
        <v>3132.55</v>
      </c>
      <c r="C663" s="15">
        <f t="shared" ca="1" si="4"/>
        <v>-2.7822605673142431E-2</v>
      </c>
      <c r="D663" s="14">
        <f t="shared" ca="1" si="5"/>
        <v>3243.1100000000006</v>
      </c>
      <c r="E663" s="17"/>
      <c r="F663" s="17"/>
    </row>
    <row r="664" spans="1:6" ht="12.75" x14ac:dyDescent="0.2">
      <c r="A664" s="13">
        <f ca="1">IFERROR(__xludf.DUMMYFUNCTION("""COMPUTED_VALUE"""),44803.6458333333)</f>
        <v>44803.645833333299</v>
      </c>
      <c r="B664" s="14">
        <f ca="1">IFERROR(__xludf.DUMMYFUNCTION("""COMPUTED_VALUE"""),3211.15)</f>
        <v>3211.15</v>
      </c>
      <c r="C664" s="15">
        <f t="shared" ca="1" si="4"/>
        <v>2.5091379227785593E-2</v>
      </c>
      <c r="D664" s="14">
        <f t="shared" ca="1" si="5"/>
        <v>3245.5549999999998</v>
      </c>
      <c r="E664" s="17"/>
      <c r="F664" s="17"/>
    </row>
    <row r="665" spans="1:6" ht="12.75" x14ac:dyDescent="0.2">
      <c r="A665" s="13">
        <f ca="1">IFERROR(__xludf.DUMMYFUNCTION("""COMPUTED_VALUE"""),44805.6458333333)</f>
        <v>44805.645833333299</v>
      </c>
      <c r="B665" s="14">
        <f ca="1">IFERROR(__xludf.DUMMYFUNCTION("""COMPUTED_VALUE"""),3131.7)</f>
        <v>3131.7</v>
      </c>
      <c r="C665" s="15">
        <f t="shared" ca="1" si="4"/>
        <v>-2.4741914890304195E-2</v>
      </c>
      <c r="D665" s="14">
        <f t="shared" ca="1" si="5"/>
        <v>3245.9410000000003</v>
      </c>
      <c r="E665" s="17"/>
      <c r="F665" s="17"/>
    </row>
    <row r="666" spans="1:6" ht="12.75" x14ac:dyDescent="0.2">
      <c r="A666" s="13">
        <f ca="1">IFERROR(__xludf.DUMMYFUNCTION("""COMPUTED_VALUE"""),44806.6458333333)</f>
        <v>44806.645833333299</v>
      </c>
      <c r="B666" s="14">
        <f ca="1">IFERROR(__xludf.DUMMYFUNCTION("""COMPUTED_VALUE"""),3130.4)</f>
        <v>3130.4</v>
      </c>
      <c r="C666" s="15">
        <f t="shared" ca="1" si="4"/>
        <v>-4.1511000415106469E-4</v>
      </c>
      <c r="D666" s="14">
        <f t="shared" ca="1" si="5"/>
        <v>3244.31</v>
      </c>
      <c r="E666" s="17"/>
      <c r="F666" s="17"/>
    </row>
    <row r="667" spans="1:6" ht="12.75" x14ac:dyDescent="0.2">
      <c r="A667" s="13">
        <f ca="1">IFERROR(__xludf.DUMMYFUNCTION("""COMPUTED_VALUE"""),44809.6458333333)</f>
        <v>44809.645833333299</v>
      </c>
      <c r="B667" s="14">
        <f ca="1">IFERROR(__xludf.DUMMYFUNCTION("""COMPUTED_VALUE"""),3133.4)</f>
        <v>3133.4</v>
      </c>
      <c r="C667" s="15">
        <f t="shared" ca="1" si="4"/>
        <v>9.583439815998851E-4</v>
      </c>
      <c r="D667" s="14">
        <f t="shared" ca="1" si="5"/>
        <v>3242.5190000000002</v>
      </c>
      <c r="E667" s="17"/>
      <c r="F667" s="17"/>
    </row>
    <row r="668" spans="1:6" ht="12.75" x14ac:dyDescent="0.2">
      <c r="A668" s="13">
        <f ca="1">IFERROR(__xludf.DUMMYFUNCTION("""COMPUTED_VALUE"""),44810.6458333333)</f>
        <v>44810.645833333299</v>
      </c>
      <c r="B668" s="14">
        <f ca="1">IFERROR(__xludf.DUMMYFUNCTION("""COMPUTED_VALUE"""),3127.05)</f>
        <v>3127.05</v>
      </c>
      <c r="C668" s="15">
        <f t="shared" ca="1" si="4"/>
        <v>-2.0265526265398348E-3</v>
      </c>
      <c r="D668" s="14">
        <f t="shared" ca="1" si="5"/>
        <v>3238.884</v>
      </c>
      <c r="E668" s="17"/>
      <c r="F668" s="17"/>
    </row>
    <row r="669" spans="1:6" ht="12.75" x14ac:dyDescent="0.2">
      <c r="A669" s="13">
        <f ca="1">IFERROR(__xludf.DUMMYFUNCTION("""COMPUTED_VALUE"""),44811.6458333333)</f>
        <v>44811.645833333299</v>
      </c>
      <c r="B669" s="14">
        <f ca="1">IFERROR(__xludf.DUMMYFUNCTION("""COMPUTED_VALUE"""),3149.6)</f>
        <v>3149.6</v>
      </c>
      <c r="C669" s="15">
        <f t="shared" ca="1" si="4"/>
        <v>7.2112694072687944E-3</v>
      </c>
      <c r="D669" s="14">
        <f t="shared" ca="1" si="5"/>
        <v>3236.0140000000001</v>
      </c>
      <c r="E669" s="17"/>
      <c r="F669" s="17"/>
    </row>
    <row r="670" spans="1:6" ht="12.75" x14ac:dyDescent="0.2">
      <c r="A670" s="13">
        <f ca="1">IFERROR(__xludf.DUMMYFUNCTION("""COMPUTED_VALUE"""),44812.6458333333)</f>
        <v>44812.645833333299</v>
      </c>
      <c r="B670" s="14">
        <f ca="1">IFERROR(__xludf.DUMMYFUNCTION("""COMPUTED_VALUE"""),3169.65)</f>
        <v>3169.65</v>
      </c>
      <c r="C670" s="15">
        <f t="shared" ca="1" si="4"/>
        <v>6.3658877317755991E-3</v>
      </c>
      <c r="D670" s="14">
        <f t="shared" ca="1" si="5"/>
        <v>3233.1130000000003</v>
      </c>
      <c r="E670" s="17"/>
      <c r="F670" s="17"/>
    </row>
    <row r="671" spans="1:6" ht="12.75" x14ac:dyDescent="0.2">
      <c r="A671" s="13">
        <f ca="1">IFERROR(__xludf.DUMMYFUNCTION("""COMPUTED_VALUE"""),44813.6458333333)</f>
        <v>44813.645833333299</v>
      </c>
      <c r="B671" s="14">
        <f ca="1">IFERROR(__xludf.DUMMYFUNCTION("""COMPUTED_VALUE"""),3217.65)</f>
        <v>3217.65</v>
      </c>
      <c r="C671" s="15">
        <f t="shared" ca="1" si="4"/>
        <v>1.514362784534562E-2</v>
      </c>
      <c r="D671" s="14">
        <f t="shared" ca="1" si="5"/>
        <v>3231.1030000000001</v>
      </c>
      <c r="E671" s="17"/>
      <c r="F671" s="17"/>
    </row>
    <row r="672" spans="1:6" ht="12.75" x14ac:dyDescent="0.2">
      <c r="A672" s="13">
        <f ca="1">IFERROR(__xludf.DUMMYFUNCTION("""COMPUTED_VALUE"""),44817.6458333333)</f>
        <v>44817.645833333299</v>
      </c>
      <c r="B672" s="14">
        <f ca="1">IFERROR(__xludf.DUMMYFUNCTION("""COMPUTED_VALUE"""),3229.35)</f>
        <v>3229.35</v>
      </c>
      <c r="C672" s="15">
        <f t="shared" ca="1" si="4"/>
        <v>3.636194116824365E-3</v>
      </c>
      <c r="D672" s="14">
        <f t="shared" ca="1" si="5"/>
        <v>3229.88</v>
      </c>
      <c r="E672" s="17"/>
      <c r="F672" s="17"/>
    </row>
    <row r="673" spans="1:6" ht="12.75" x14ac:dyDescent="0.2">
      <c r="A673" s="13">
        <f ca="1">IFERROR(__xludf.DUMMYFUNCTION("""COMPUTED_VALUE"""),44818.6458333333)</f>
        <v>44818.645833333299</v>
      </c>
      <c r="B673" s="14">
        <f ca="1">IFERROR(__xludf.DUMMYFUNCTION("""COMPUTED_VALUE"""),3120.4)</f>
        <v>3120.4</v>
      </c>
      <c r="C673" s="15">
        <f t="shared" ca="1" si="4"/>
        <v>-3.3737439422794058E-2</v>
      </c>
      <c r="D673" s="14">
        <f t="shared" ca="1" si="5"/>
        <v>3226.9460000000004</v>
      </c>
      <c r="E673" s="17"/>
      <c r="F673" s="17"/>
    </row>
    <row r="674" spans="1:6" ht="12.75" x14ac:dyDescent="0.2">
      <c r="A674" s="13">
        <f ca="1">IFERROR(__xludf.DUMMYFUNCTION("""COMPUTED_VALUE"""),44819.6458333333)</f>
        <v>44819.645833333299</v>
      </c>
      <c r="B674" s="14">
        <f ca="1">IFERROR(__xludf.DUMMYFUNCTION("""COMPUTED_VALUE"""),3104.35)</f>
        <v>3104.35</v>
      </c>
      <c r="C674" s="15">
        <f t="shared" ca="1" si="4"/>
        <v>-5.1435713370081571E-3</v>
      </c>
      <c r="D674" s="14">
        <f t="shared" ca="1" si="5"/>
        <v>3222.7309999999998</v>
      </c>
      <c r="E674" s="17"/>
      <c r="F674" s="17"/>
    </row>
    <row r="675" spans="1:6" ht="12.75" x14ac:dyDescent="0.2">
      <c r="A675" s="13">
        <f ca="1">IFERROR(__xludf.DUMMYFUNCTION("""COMPUTED_VALUE"""),44820.6458333333)</f>
        <v>44820.645833333299</v>
      </c>
      <c r="B675" s="14">
        <f ca="1">IFERROR(__xludf.DUMMYFUNCTION("""COMPUTED_VALUE"""),3008.7)</f>
        <v>3008.7</v>
      </c>
      <c r="C675" s="15">
        <f t="shared" ca="1" si="4"/>
        <v>-3.0811603073107152E-2</v>
      </c>
      <c r="D675" s="14">
        <f t="shared" ca="1" si="5"/>
        <v>3218.2040000000002</v>
      </c>
      <c r="E675" s="17"/>
      <c r="F675" s="17"/>
    </row>
    <row r="676" spans="1:6" ht="12.75" x14ac:dyDescent="0.2">
      <c r="A676" s="13">
        <f ca="1">IFERROR(__xludf.DUMMYFUNCTION("""COMPUTED_VALUE"""),44823.6458333333)</f>
        <v>44823.645833333299</v>
      </c>
      <c r="B676" s="14">
        <f ca="1">IFERROR(__xludf.DUMMYFUNCTION("""COMPUTED_VALUE"""),3028.8)</f>
        <v>3028.8</v>
      </c>
      <c r="C676" s="15">
        <f t="shared" ca="1" si="4"/>
        <v>6.6806261840663961E-3</v>
      </c>
      <c r="D676" s="14">
        <f t="shared" ca="1" si="5"/>
        <v>3214.4539999999997</v>
      </c>
      <c r="E676" s="17"/>
      <c r="F676" s="17"/>
    </row>
    <row r="677" spans="1:6" ht="12.75" x14ac:dyDescent="0.2">
      <c r="A677" s="13">
        <f ca="1">IFERROR(__xludf.DUMMYFUNCTION("""COMPUTED_VALUE"""),44824.6458333333)</f>
        <v>44824.645833333299</v>
      </c>
      <c r="B677" s="14">
        <f ca="1">IFERROR(__xludf.DUMMYFUNCTION("""COMPUTED_VALUE"""),3040.3)</f>
        <v>3040.3</v>
      </c>
      <c r="C677" s="15">
        <f t="shared" ca="1" si="4"/>
        <v>3.7968832540939967E-3</v>
      </c>
      <c r="D677" s="14">
        <f t="shared" ca="1" si="5"/>
        <v>3210.0450000000001</v>
      </c>
      <c r="E677" s="17"/>
      <c r="F677" s="17"/>
    </row>
    <row r="678" spans="1:6" ht="12.75" x14ac:dyDescent="0.2">
      <c r="A678" s="13">
        <f ca="1">IFERROR(__xludf.DUMMYFUNCTION("""COMPUTED_VALUE"""),44825.6458333333)</f>
        <v>44825.645833333299</v>
      </c>
      <c r="B678" s="14">
        <f ca="1">IFERROR(__xludf.DUMMYFUNCTION("""COMPUTED_VALUE"""),3001.2)</f>
        <v>3001.2</v>
      </c>
      <c r="C678" s="15">
        <f t="shared" ca="1" si="4"/>
        <v>-1.2860572969772832E-2</v>
      </c>
      <c r="D678" s="14">
        <f t="shared" ca="1" si="5"/>
        <v>3204.3119999999994</v>
      </c>
      <c r="E678" s="17"/>
      <c r="F678" s="17"/>
    </row>
    <row r="679" spans="1:6" ht="12.75" x14ac:dyDescent="0.2">
      <c r="A679" s="13">
        <f ca="1">IFERROR(__xludf.DUMMYFUNCTION("""COMPUTED_VALUE"""),44826.6458333333)</f>
        <v>44826.645833333299</v>
      </c>
      <c r="B679" s="14">
        <f ca="1">IFERROR(__xludf.DUMMYFUNCTION("""COMPUTED_VALUE"""),3007.4)</f>
        <v>3007.4</v>
      </c>
      <c r="C679" s="15">
        <f t="shared" ca="1" si="4"/>
        <v>2.0658403305344741E-3</v>
      </c>
      <c r="D679" s="14">
        <f t="shared" ca="1" si="5"/>
        <v>3199.1510000000003</v>
      </c>
      <c r="E679" s="17"/>
      <c r="F679" s="17"/>
    </row>
    <row r="680" spans="1:6" ht="12.75" x14ac:dyDescent="0.2">
      <c r="A680" s="13">
        <f ca="1">IFERROR(__xludf.DUMMYFUNCTION("""COMPUTED_VALUE"""),44827.6458333333)</f>
        <v>44827.645833333299</v>
      </c>
      <c r="B680" s="14">
        <f ca="1">IFERROR(__xludf.DUMMYFUNCTION("""COMPUTED_VALUE"""),2982.05)</f>
        <v>2982.05</v>
      </c>
      <c r="C680" s="15">
        <f t="shared" ca="1" si="4"/>
        <v>-8.4292079537141573E-3</v>
      </c>
      <c r="D680" s="14">
        <f t="shared" ca="1" si="5"/>
        <v>3196.5159999999996</v>
      </c>
      <c r="E680" s="17"/>
      <c r="F680" s="17"/>
    </row>
    <row r="681" spans="1:6" ht="12.75" x14ac:dyDescent="0.2">
      <c r="A681" s="13">
        <f ca="1">IFERROR(__xludf.DUMMYFUNCTION("""COMPUTED_VALUE"""),44830.6458333333)</f>
        <v>44830.645833333299</v>
      </c>
      <c r="B681" s="14">
        <f ca="1">IFERROR(__xludf.DUMMYFUNCTION("""COMPUTED_VALUE"""),2994.4)</f>
        <v>2994.4</v>
      </c>
      <c r="C681" s="15">
        <f t="shared" ca="1" si="4"/>
        <v>4.1414463204842988E-3</v>
      </c>
      <c r="D681" s="14">
        <f t="shared" ca="1" si="5"/>
        <v>3194.7099999999996</v>
      </c>
      <c r="E681" s="17"/>
      <c r="F681" s="17"/>
    </row>
    <row r="682" spans="1:6" ht="12.75" x14ac:dyDescent="0.2">
      <c r="A682" s="13">
        <f ca="1">IFERROR(__xludf.DUMMYFUNCTION("""COMPUTED_VALUE"""),44831.6458333333)</f>
        <v>44831.645833333299</v>
      </c>
      <c r="B682" s="14">
        <f ca="1">IFERROR(__xludf.DUMMYFUNCTION("""COMPUTED_VALUE"""),3017.45)</f>
        <v>3017.45</v>
      </c>
      <c r="C682" s="15">
        <f t="shared" ca="1" si="4"/>
        <v>7.6977023777717868E-3</v>
      </c>
      <c r="D682" s="14">
        <f t="shared" ca="1" si="5"/>
        <v>3194.2839999999997</v>
      </c>
      <c r="E682" s="17"/>
      <c r="F682" s="17"/>
    </row>
    <row r="683" spans="1:6" ht="12.75" x14ac:dyDescent="0.2">
      <c r="A683" s="13">
        <f ca="1">IFERROR(__xludf.DUMMYFUNCTION("""COMPUTED_VALUE"""),44832.6458333333)</f>
        <v>44832.645833333299</v>
      </c>
      <c r="B683" s="14">
        <f ca="1">IFERROR(__xludf.DUMMYFUNCTION("""COMPUTED_VALUE"""),3035.65)</f>
        <v>3035.65</v>
      </c>
      <c r="C683" s="15">
        <f t="shared" ca="1" si="4"/>
        <v>6.0315829591210957E-3</v>
      </c>
      <c r="D683" s="14">
        <f t="shared" ca="1" si="5"/>
        <v>3195.0219999999995</v>
      </c>
      <c r="E683" s="17"/>
      <c r="F683" s="17"/>
    </row>
    <row r="684" spans="1:6" ht="12.75" x14ac:dyDescent="0.2">
      <c r="A684" s="13">
        <f ca="1">IFERROR(__xludf.DUMMYFUNCTION("""COMPUTED_VALUE"""),44833.6458333333)</f>
        <v>44833.645833333299</v>
      </c>
      <c r="B684" s="14">
        <f ca="1">IFERROR(__xludf.DUMMYFUNCTION("""COMPUTED_VALUE"""),2997.3)</f>
        <v>2997.3</v>
      </c>
      <c r="C684" s="15">
        <f t="shared" ca="1" si="4"/>
        <v>-1.2633208703243137E-2</v>
      </c>
      <c r="D684" s="14">
        <f t="shared" ca="1" si="5"/>
        <v>3195.0759999999991</v>
      </c>
      <c r="E684" s="17"/>
      <c r="F684" s="17"/>
    </row>
    <row r="685" spans="1:6" ht="12.75" x14ac:dyDescent="0.2">
      <c r="A685" s="13">
        <f ca="1">IFERROR(__xludf.DUMMYFUNCTION("""COMPUTED_VALUE"""),44834.6458333333)</f>
        <v>44834.645833333299</v>
      </c>
      <c r="B685" s="14">
        <f ca="1">IFERROR(__xludf.DUMMYFUNCTION("""COMPUTED_VALUE"""),3004.55)</f>
        <v>3004.55</v>
      </c>
      <c r="C685" s="15">
        <f t="shared" ca="1" si="4"/>
        <v>2.4188436259300339E-3</v>
      </c>
      <c r="D685" s="14">
        <f t="shared" ca="1" si="5"/>
        <v>3193.896999999999</v>
      </c>
      <c r="E685" s="17"/>
      <c r="F685" s="17"/>
    </row>
    <row r="686" spans="1:6" ht="12.75" x14ac:dyDescent="0.2">
      <c r="A686" s="13">
        <f ca="1">IFERROR(__xludf.DUMMYFUNCTION("""COMPUTED_VALUE"""),44837.6458333333)</f>
        <v>44837.645833333299</v>
      </c>
      <c r="B686" s="14">
        <f ca="1">IFERROR(__xludf.DUMMYFUNCTION("""COMPUTED_VALUE"""),2984.95)</f>
        <v>2984.95</v>
      </c>
      <c r="C686" s="15">
        <f t="shared" ca="1" si="4"/>
        <v>-6.5234394501673121E-3</v>
      </c>
      <c r="D686" s="14">
        <f t="shared" ca="1" si="5"/>
        <v>3192.110999999999</v>
      </c>
      <c r="E686" s="17"/>
      <c r="F686" s="17"/>
    </row>
    <row r="687" spans="1:6" ht="12.75" x14ac:dyDescent="0.2">
      <c r="A687" s="13">
        <f ca="1">IFERROR(__xludf.DUMMYFUNCTION("""COMPUTED_VALUE"""),44838.6458333333)</f>
        <v>44838.645833333299</v>
      </c>
      <c r="B687" s="14">
        <f ca="1">IFERROR(__xludf.DUMMYFUNCTION("""COMPUTED_VALUE"""),3091.15)</f>
        <v>3091.15</v>
      </c>
      <c r="C687" s="15">
        <f t="shared" ca="1" si="4"/>
        <v>3.5578485401765558E-2</v>
      </c>
      <c r="D687" s="14">
        <f t="shared" ca="1" si="5"/>
        <v>3190.6379999999995</v>
      </c>
      <c r="E687" s="17"/>
      <c r="F687" s="17"/>
    </row>
    <row r="688" spans="1:6" ht="12.75" x14ac:dyDescent="0.2">
      <c r="A688" s="13">
        <f ca="1">IFERROR(__xludf.DUMMYFUNCTION("""COMPUTED_VALUE"""),44840.6458333333)</f>
        <v>44840.645833333299</v>
      </c>
      <c r="B688" s="14">
        <f ca="1">IFERROR(__xludf.DUMMYFUNCTION("""COMPUTED_VALUE"""),3101.95)</f>
        <v>3101.95</v>
      </c>
      <c r="C688" s="15">
        <f t="shared" ca="1" si="4"/>
        <v>3.4938453326431862E-3</v>
      </c>
      <c r="D688" s="14">
        <f t="shared" ca="1" si="5"/>
        <v>3189.1309999999994</v>
      </c>
      <c r="E688" s="17"/>
      <c r="F688" s="17"/>
    </row>
    <row r="689" spans="1:6" ht="12.75" x14ac:dyDescent="0.2">
      <c r="A689" s="13">
        <f ca="1">IFERROR(__xludf.DUMMYFUNCTION("""COMPUTED_VALUE"""),44841.6458333333)</f>
        <v>44841.645833333299</v>
      </c>
      <c r="B689" s="14">
        <f ca="1">IFERROR(__xludf.DUMMYFUNCTION("""COMPUTED_VALUE"""),3064.9)</f>
        <v>3064.9</v>
      </c>
      <c r="C689" s="15">
        <f t="shared" ca="1" si="4"/>
        <v>-1.1944099679233933E-2</v>
      </c>
      <c r="D689" s="14">
        <f t="shared" ca="1" si="5"/>
        <v>3187.0089999999991</v>
      </c>
      <c r="E689" s="17"/>
      <c r="F689" s="17"/>
    </row>
    <row r="690" spans="1:6" ht="12.75" x14ac:dyDescent="0.2">
      <c r="A690" s="13">
        <f ca="1">IFERROR(__xludf.DUMMYFUNCTION("""COMPUTED_VALUE"""),44844.6458333333)</f>
        <v>44844.645833333299</v>
      </c>
      <c r="B690" s="14">
        <f ca="1">IFERROR(__xludf.DUMMYFUNCTION("""COMPUTED_VALUE"""),3118.55)</f>
        <v>3118.55</v>
      </c>
      <c r="C690" s="15">
        <f t="shared" ca="1" si="4"/>
        <v>1.7504649417599216E-2</v>
      </c>
      <c r="D690" s="14">
        <f t="shared" ca="1" si="5"/>
        <v>3186.0449999999996</v>
      </c>
      <c r="E690" s="17"/>
      <c r="F690" s="17"/>
    </row>
    <row r="691" spans="1:6" ht="12.75" x14ac:dyDescent="0.2">
      <c r="A691" s="13">
        <f ca="1">IFERROR(__xludf.DUMMYFUNCTION("""COMPUTED_VALUE"""),44845.6458333333)</f>
        <v>44845.645833333299</v>
      </c>
      <c r="B691" s="14">
        <f ca="1">IFERROR(__xludf.DUMMYFUNCTION("""COMPUTED_VALUE"""),3069.55)</f>
        <v>3069.55</v>
      </c>
      <c r="C691" s="15">
        <f t="shared" ca="1" si="4"/>
        <v>-1.571243045646209E-2</v>
      </c>
      <c r="D691" s="14">
        <f t="shared" ca="1" si="5"/>
        <v>3185.1179999999986</v>
      </c>
      <c r="E691" s="17"/>
      <c r="F691" s="17"/>
    </row>
    <row r="692" spans="1:6" ht="12.75" x14ac:dyDescent="0.2">
      <c r="A692" s="13">
        <f ca="1">IFERROR(__xludf.DUMMYFUNCTION("""COMPUTED_VALUE"""),44846.6458333333)</f>
        <v>44846.645833333299</v>
      </c>
      <c r="B692" s="14">
        <f ca="1">IFERROR(__xludf.DUMMYFUNCTION("""COMPUTED_VALUE"""),3100.75)</f>
        <v>3100.75</v>
      </c>
      <c r="C692" s="15">
        <f t="shared" ca="1" si="4"/>
        <v>1.0164356338876912E-2</v>
      </c>
      <c r="D692" s="14">
        <f t="shared" ca="1" si="5"/>
        <v>3183.3559999999984</v>
      </c>
      <c r="E692" s="17"/>
      <c r="F692" s="17"/>
    </row>
    <row r="693" spans="1:6" ht="12.75" x14ac:dyDescent="0.2">
      <c r="A693" s="13">
        <f ca="1">IFERROR(__xludf.DUMMYFUNCTION("""COMPUTED_VALUE"""),44847.6458333333)</f>
        <v>44847.645833333299</v>
      </c>
      <c r="B693" s="14">
        <f ca="1">IFERROR(__xludf.DUMMYFUNCTION("""COMPUTED_VALUE"""),3103.3)</f>
        <v>3103.3</v>
      </c>
      <c r="C693" s="15">
        <f t="shared" ca="1" si="4"/>
        <v>8.2238168185111427E-4</v>
      </c>
      <c r="D693" s="14">
        <f t="shared" ca="1" si="5"/>
        <v>3180.2119999999982</v>
      </c>
      <c r="E693" s="17"/>
      <c r="F693" s="17"/>
    </row>
    <row r="694" spans="1:6" ht="12.75" x14ac:dyDescent="0.2">
      <c r="A694" s="13">
        <f ca="1">IFERROR(__xludf.DUMMYFUNCTION("""COMPUTED_VALUE"""),44848.6458333333)</f>
        <v>44848.645833333299</v>
      </c>
      <c r="B694" s="14">
        <f ca="1">IFERROR(__xludf.DUMMYFUNCTION("""COMPUTED_VALUE"""),3099.15)</f>
        <v>3099.15</v>
      </c>
      <c r="C694" s="15">
        <f t="shared" ca="1" si="4"/>
        <v>-1.3372861147811221E-3</v>
      </c>
      <c r="D694" s="14">
        <f t="shared" ca="1" si="5"/>
        <v>3176.1569999999983</v>
      </c>
      <c r="E694" s="17"/>
      <c r="F694" s="17"/>
    </row>
    <row r="695" spans="1:6" ht="12.75" x14ac:dyDescent="0.2">
      <c r="A695" s="13">
        <f ca="1">IFERROR(__xludf.DUMMYFUNCTION("""COMPUTED_VALUE"""),44851.6458333333)</f>
        <v>44851.645833333299</v>
      </c>
      <c r="B695" s="14">
        <f ca="1">IFERROR(__xludf.DUMMYFUNCTION("""COMPUTED_VALUE"""),3111.75)</f>
        <v>3111.75</v>
      </c>
      <c r="C695" s="15">
        <f t="shared" ca="1" si="4"/>
        <v>4.0656308987947476E-3</v>
      </c>
      <c r="D695" s="14">
        <f t="shared" ca="1" si="5"/>
        <v>3172.4159999999988</v>
      </c>
      <c r="E695" s="17"/>
      <c r="F695" s="17"/>
    </row>
    <row r="696" spans="1:6" ht="12.75" x14ac:dyDescent="0.2">
      <c r="A696" s="13">
        <f ca="1">IFERROR(__xludf.DUMMYFUNCTION("""COMPUTED_VALUE"""),44852.6458333333)</f>
        <v>44852.645833333299</v>
      </c>
      <c r="B696" s="14">
        <f ca="1">IFERROR(__xludf.DUMMYFUNCTION("""COMPUTED_VALUE"""),3144.7)</f>
        <v>3144.7</v>
      </c>
      <c r="C696" s="15">
        <f t="shared" ca="1" si="4"/>
        <v>1.0588896922953284E-2</v>
      </c>
      <c r="D696" s="14">
        <f t="shared" ca="1" si="5"/>
        <v>3169.4739999999993</v>
      </c>
      <c r="E696" s="17"/>
      <c r="F696" s="17"/>
    </row>
    <row r="697" spans="1:6" ht="12.75" x14ac:dyDescent="0.2">
      <c r="A697" s="13">
        <f ca="1">IFERROR(__xludf.DUMMYFUNCTION("""COMPUTED_VALUE"""),44853.6458333333)</f>
        <v>44853.645833333299</v>
      </c>
      <c r="B697" s="14">
        <f ca="1">IFERROR(__xludf.DUMMYFUNCTION("""COMPUTED_VALUE"""),3121.85)</f>
        <v>3121.85</v>
      </c>
      <c r="C697" s="15">
        <f t="shared" ca="1" si="4"/>
        <v>-7.2661939135688636E-3</v>
      </c>
      <c r="D697" s="14">
        <f t="shared" ca="1" si="5"/>
        <v>3165.1209999999992</v>
      </c>
      <c r="E697" s="17"/>
      <c r="F697" s="17"/>
    </row>
    <row r="698" spans="1:6" ht="12.75" x14ac:dyDescent="0.2">
      <c r="A698" s="13">
        <f ca="1">IFERROR(__xludf.DUMMYFUNCTION("""COMPUTED_VALUE"""),44854.6458333333)</f>
        <v>44854.645833333299</v>
      </c>
      <c r="B698" s="14">
        <f ca="1">IFERROR(__xludf.DUMMYFUNCTION("""COMPUTED_VALUE"""),3157.3)</f>
        <v>3157.3</v>
      </c>
      <c r="C698" s="15">
        <f t="shared" ca="1" si="4"/>
        <v>1.1355446289860183E-2</v>
      </c>
      <c r="D698" s="14">
        <f t="shared" ca="1" si="5"/>
        <v>3161.1679999999988</v>
      </c>
      <c r="E698" s="17"/>
      <c r="F698" s="17"/>
    </row>
    <row r="699" spans="1:6" ht="12.75" x14ac:dyDescent="0.2">
      <c r="A699" s="13">
        <f ca="1">IFERROR(__xludf.DUMMYFUNCTION("""COMPUTED_VALUE"""),44855.6458333333)</f>
        <v>44855.645833333299</v>
      </c>
      <c r="B699" s="14">
        <f ca="1">IFERROR(__xludf.DUMMYFUNCTION("""COMPUTED_VALUE"""),3137.4)</f>
        <v>3137.4</v>
      </c>
      <c r="C699" s="15">
        <f t="shared" ca="1" si="4"/>
        <v>-6.3028537041143196E-3</v>
      </c>
      <c r="D699" s="14">
        <f t="shared" ca="1" si="5"/>
        <v>3156.6149999999989</v>
      </c>
      <c r="E699" s="17"/>
      <c r="F699" s="17"/>
    </row>
    <row r="700" spans="1:6" ht="12.75" x14ac:dyDescent="0.2">
      <c r="A700" s="13">
        <f ca="1">IFERROR(__xludf.DUMMYFUNCTION("""COMPUTED_VALUE"""),44859.6458333333)</f>
        <v>44859.645833333299</v>
      </c>
      <c r="B700" s="14">
        <f ca="1">IFERROR(__xludf.DUMMYFUNCTION("""COMPUTED_VALUE"""),3162.1)</f>
        <v>3162.1</v>
      </c>
      <c r="C700" s="15">
        <f t="shared" ca="1" si="4"/>
        <v>7.872760884809038E-3</v>
      </c>
      <c r="D700" s="14">
        <f t="shared" ca="1" si="5"/>
        <v>3152.3679999999995</v>
      </c>
      <c r="E700" s="17"/>
      <c r="F700" s="17"/>
    </row>
    <row r="701" spans="1:6" ht="12.75" x14ac:dyDescent="0.2">
      <c r="A701" s="13">
        <f ca="1">IFERROR(__xludf.DUMMYFUNCTION("""COMPUTED_VALUE"""),44861.6458333333)</f>
        <v>44861.645833333299</v>
      </c>
      <c r="B701" s="14">
        <f ca="1">IFERROR(__xludf.DUMMYFUNCTION("""COMPUTED_VALUE"""),3157.4)</f>
        <v>3157.4</v>
      </c>
      <c r="C701" s="15">
        <f t="shared" ca="1" si="4"/>
        <v>-1.4863540052496571E-3</v>
      </c>
      <c r="D701" s="14">
        <f t="shared" ca="1" si="5"/>
        <v>3148.4309999999991</v>
      </c>
      <c r="E701" s="17"/>
      <c r="F701" s="17"/>
    </row>
    <row r="702" spans="1:6" ht="12.75" x14ac:dyDescent="0.2">
      <c r="A702" s="13">
        <f ca="1">IFERROR(__xludf.DUMMYFUNCTION("""COMPUTED_VALUE"""),44862.6458333333)</f>
        <v>44862.645833333299</v>
      </c>
      <c r="B702" s="14">
        <f ca="1">IFERROR(__xludf.DUMMYFUNCTION("""COMPUTED_VALUE"""),3163.25)</f>
        <v>3163.25</v>
      </c>
      <c r="C702" s="15">
        <f t="shared" ca="1" si="4"/>
        <v>1.8527902704756904E-3</v>
      </c>
      <c r="D702" s="14">
        <f t="shared" ca="1" si="5"/>
        <v>3143.2459999999996</v>
      </c>
      <c r="E702" s="17"/>
      <c r="F702" s="17"/>
    </row>
    <row r="703" spans="1:6" ht="12.75" x14ac:dyDescent="0.2">
      <c r="A703" s="13">
        <f ca="1">IFERROR(__xludf.DUMMYFUNCTION("""COMPUTED_VALUE"""),44865.6458333333)</f>
        <v>44865.645833333299</v>
      </c>
      <c r="B703" s="14">
        <f ca="1">IFERROR(__xludf.DUMMYFUNCTION("""COMPUTED_VALUE"""),3193.15)</f>
        <v>3193.15</v>
      </c>
      <c r="C703" s="15">
        <f t="shared" ca="1" si="4"/>
        <v>9.4523038014699967E-3</v>
      </c>
      <c r="D703" s="14">
        <f t="shared" ca="1" si="5"/>
        <v>3139.078</v>
      </c>
      <c r="E703" s="17"/>
      <c r="F703" s="17"/>
    </row>
    <row r="704" spans="1:6" ht="12.75" x14ac:dyDescent="0.2">
      <c r="A704" s="13">
        <f ca="1">IFERROR(__xludf.DUMMYFUNCTION("""COMPUTED_VALUE"""),44866.6458333333)</f>
        <v>44866.645833333299</v>
      </c>
      <c r="B704" s="14">
        <f ca="1">IFERROR(__xludf.DUMMYFUNCTION("""COMPUTED_VALUE"""),3259.7)</f>
        <v>3259.7</v>
      </c>
      <c r="C704" s="15">
        <f t="shared" ca="1" si="4"/>
        <v>2.0841488811988107E-2</v>
      </c>
      <c r="D704" s="14">
        <f t="shared" ca="1" si="5"/>
        <v>3136.4179999999992</v>
      </c>
      <c r="E704" s="17"/>
      <c r="F704" s="17"/>
    </row>
    <row r="705" spans="1:6" ht="12.75" x14ac:dyDescent="0.2">
      <c r="A705" s="13">
        <f ca="1">IFERROR(__xludf.DUMMYFUNCTION("""COMPUTED_VALUE"""),44867.6458333333)</f>
        <v>44867.645833333299</v>
      </c>
      <c r="B705" s="14">
        <f ca="1">IFERROR(__xludf.DUMMYFUNCTION("""COMPUTED_VALUE"""),3241.7)</f>
        <v>3241.7</v>
      </c>
      <c r="C705" s="15">
        <f t="shared" ca="1" si="4"/>
        <v>-5.5219805503573527E-3</v>
      </c>
      <c r="D705" s="14">
        <f t="shared" ca="1" si="5"/>
        <v>3133.2299999999996</v>
      </c>
      <c r="E705" s="17"/>
      <c r="F705" s="17"/>
    </row>
    <row r="706" spans="1:6" ht="12.75" x14ac:dyDescent="0.2">
      <c r="A706" s="13">
        <f ca="1">IFERROR(__xludf.DUMMYFUNCTION("""COMPUTED_VALUE"""),44868.6458333333)</f>
        <v>44868.645833333299</v>
      </c>
      <c r="B706" s="14">
        <f ca="1">IFERROR(__xludf.DUMMYFUNCTION("""COMPUTED_VALUE"""),3206.75)</f>
        <v>3206.75</v>
      </c>
      <c r="C706" s="15">
        <f t="shared" ca="1" si="4"/>
        <v>-1.0781380140049923E-2</v>
      </c>
      <c r="D706" s="14">
        <f t="shared" ca="1" si="5"/>
        <v>3129.74</v>
      </c>
      <c r="E706" s="17"/>
      <c r="F706" s="17"/>
    </row>
    <row r="707" spans="1:6" ht="12.75" x14ac:dyDescent="0.2">
      <c r="A707" s="13">
        <f ca="1">IFERROR(__xludf.DUMMYFUNCTION("""COMPUTED_VALUE"""),44869.6458333333)</f>
        <v>44869.645833333299</v>
      </c>
      <c r="B707" s="14">
        <f ca="1">IFERROR(__xludf.DUMMYFUNCTION("""COMPUTED_VALUE"""),3217.4)</f>
        <v>3217.4</v>
      </c>
      <c r="C707" s="15">
        <f t="shared" ca="1" si="4"/>
        <v>3.321119513526094E-3</v>
      </c>
      <c r="D707" s="14">
        <f t="shared" ca="1" si="5"/>
        <v>3126.373</v>
      </c>
      <c r="E707" s="17"/>
      <c r="F707" s="17"/>
    </row>
    <row r="708" spans="1:6" ht="12.75" x14ac:dyDescent="0.2">
      <c r="A708" s="13">
        <f ca="1">IFERROR(__xludf.DUMMYFUNCTION("""COMPUTED_VALUE"""),44872.6458333333)</f>
        <v>44872.645833333299</v>
      </c>
      <c r="B708" s="14">
        <f ca="1">IFERROR(__xludf.DUMMYFUNCTION("""COMPUTED_VALUE"""),3233.7)</f>
        <v>3233.7</v>
      </c>
      <c r="C708" s="15">
        <f t="shared" ca="1" si="4"/>
        <v>5.0662025237768749E-3</v>
      </c>
      <c r="D708" s="14">
        <f t="shared" ca="1" si="5"/>
        <v>3123.9560000000001</v>
      </c>
      <c r="E708" s="17"/>
      <c r="F708" s="17"/>
    </row>
    <row r="709" spans="1:6" ht="12.75" x14ac:dyDescent="0.2">
      <c r="A709" s="13">
        <f ca="1">IFERROR(__xludf.DUMMYFUNCTION("""COMPUTED_VALUE"""),44874.6458333333)</f>
        <v>44874.645833333299</v>
      </c>
      <c r="B709" s="14">
        <f ca="1">IFERROR(__xludf.DUMMYFUNCTION("""COMPUTED_VALUE"""),3216.05)</f>
        <v>3216.05</v>
      </c>
      <c r="C709" s="15">
        <f t="shared" ca="1" si="4"/>
        <v>-5.4581439218231997E-3</v>
      </c>
      <c r="D709" s="14">
        <f t="shared" ca="1" si="5"/>
        <v>3122.585</v>
      </c>
      <c r="E709" s="17"/>
      <c r="F709" s="17"/>
    </row>
    <row r="710" spans="1:6" ht="12.75" x14ac:dyDescent="0.2">
      <c r="A710" s="13">
        <f ca="1">IFERROR(__xludf.DUMMYFUNCTION("""COMPUTED_VALUE"""),44875.6458333333)</f>
        <v>44875.645833333299</v>
      </c>
      <c r="B710" s="14">
        <f ca="1">IFERROR(__xludf.DUMMYFUNCTION("""COMPUTED_VALUE"""),3205.65)</f>
        <v>3205.65</v>
      </c>
      <c r="C710" s="15">
        <f t="shared" ca="1" si="4"/>
        <v>-3.2337805693319899E-3</v>
      </c>
      <c r="D710" s="14">
        <f t="shared" ca="1" si="5"/>
        <v>3121.5910000000003</v>
      </c>
      <c r="E710" s="17"/>
      <c r="F710" s="17"/>
    </row>
    <row r="711" spans="1:6" ht="12.75" x14ac:dyDescent="0.2">
      <c r="A711" s="13">
        <f ca="1">IFERROR(__xludf.DUMMYFUNCTION("""COMPUTED_VALUE"""),44876.6458333333)</f>
        <v>44876.645833333299</v>
      </c>
      <c r="B711" s="14">
        <f ca="1">IFERROR(__xludf.DUMMYFUNCTION("""COMPUTED_VALUE"""),3315.95)</f>
        <v>3315.95</v>
      </c>
      <c r="C711" s="15">
        <f t="shared" ca="1" si="4"/>
        <v>3.4407998377864013E-2</v>
      </c>
      <c r="D711" s="14">
        <f t="shared" ca="1" si="5"/>
        <v>3123.5459999999998</v>
      </c>
      <c r="E711" s="17"/>
      <c r="F711" s="17"/>
    </row>
    <row r="712" spans="1:6" ht="12.75" x14ac:dyDescent="0.2">
      <c r="A712" s="13">
        <f ca="1">IFERROR(__xludf.DUMMYFUNCTION("""COMPUTED_VALUE"""),44879.6458333333)</f>
        <v>44879.645833333299</v>
      </c>
      <c r="B712" s="14">
        <f ca="1">IFERROR(__xludf.DUMMYFUNCTION("""COMPUTED_VALUE"""),3335.5)</f>
        <v>3335.5</v>
      </c>
      <c r="C712" s="15">
        <f t="shared" ca="1" si="4"/>
        <v>5.8957463170434821E-3</v>
      </c>
      <c r="D712" s="14">
        <f t="shared" ca="1" si="5"/>
        <v>3125.8119999999994</v>
      </c>
      <c r="E712" s="17"/>
      <c r="F712" s="17"/>
    </row>
    <row r="713" spans="1:6" ht="12.75" x14ac:dyDescent="0.2">
      <c r="A713" s="13">
        <f ca="1">IFERROR(__xludf.DUMMYFUNCTION("""COMPUTED_VALUE"""),44880.6458333333)</f>
        <v>44880.645833333299</v>
      </c>
      <c r="B713" s="14">
        <f ca="1">IFERROR(__xludf.DUMMYFUNCTION("""COMPUTED_VALUE"""),3332.6)</f>
        <v>3332.6</v>
      </c>
      <c r="C713" s="15">
        <f t="shared" ca="1" si="4"/>
        <v>-8.6943486733626063E-4</v>
      </c>
      <c r="D713" s="14">
        <f t="shared" ca="1" si="5"/>
        <v>3129.8130000000001</v>
      </c>
      <c r="E713" s="17"/>
      <c r="F713" s="17"/>
    </row>
    <row r="714" spans="1:6" ht="12.75" x14ac:dyDescent="0.2">
      <c r="A714" s="13">
        <f ca="1">IFERROR(__xludf.DUMMYFUNCTION("""COMPUTED_VALUE"""),44881.6458333333)</f>
        <v>44881.645833333299</v>
      </c>
      <c r="B714" s="14">
        <f ca="1">IFERROR(__xludf.DUMMYFUNCTION("""COMPUTED_VALUE"""),3355.35)</f>
        <v>3355.35</v>
      </c>
      <c r="C714" s="15">
        <f t="shared" ca="1" si="4"/>
        <v>6.8265018304027869E-3</v>
      </c>
      <c r="D714" s="14">
        <f t="shared" ca="1" si="5"/>
        <v>3132.6970000000001</v>
      </c>
      <c r="E714" s="17"/>
      <c r="F714" s="17"/>
    </row>
    <row r="715" spans="1:6" ht="12.75" x14ac:dyDescent="0.2">
      <c r="A715" s="13">
        <f ca="1">IFERROR(__xludf.DUMMYFUNCTION("""COMPUTED_VALUE"""),44882.6458333333)</f>
        <v>44882.645833333299</v>
      </c>
      <c r="B715" s="14">
        <f ca="1">IFERROR(__xludf.DUMMYFUNCTION("""COMPUTED_VALUE"""),3349)</f>
        <v>3349</v>
      </c>
      <c r="C715" s="15">
        <f t="shared" ca="1" si="4"/>
        <v>-1.8925000372539413E-3</v>
      </c>
      <c r="D715" s="14">
        <f t="shared" ca="1" si="5"/>
        <v>3137.0429999999997</v>
      </c>
      <c r="E715" s="17"/>
      <c r="F715" s="17"/>
    </row>
    <row r="716" spans="1:6" ht="12.75" x14ac:dyDescent="0.2">
      <c r="A716" s="13">
        <f ca="1">IFERROR(__xludf.DUMMYFUNCTION("""COMPUTED_VALUE"""),44883.6458333333)</f>
        <v>44883.645833333299</v>
      </c>
      <c r="B716" s="14">
        <f ca="1">IFERROR(__xludf.DUMMYFUNCTION("""COMPUTED_VALUE"""),3343.45)</f>
        <v>3343.45</v>
      </c>
      <c r="C716" s="15">
        <f t="shared" ca="1" si="4"/>
        <v>-1.6572111077933771E-3</v>
      </c>
      <c r="D716" s="14">
        <f t="shared" ca="1" si="5"/>
        <v>3141.3040000000001</v>
      </c>
      <c r="E716" s="17"/>
      <c r="F716" s="17"/>
    </row>
    <row r="717" spans="1:6" ht="12.75" x14ac:dyDescent="0.2">
      <c r="A717" s="13">
        <f ca="1">IFERROR(__xludf.DUMMYFUNCTION("""COMPUTED_VALUE"""),44886.6458333333)</f>
        <v>44886.645833333299</v>
      </c>
      <c r="B717" s="14">
        <f ca="1">IFERROR(__xludf.DUMMYFUNCTION("""COMPUTED_VALUE"""),3283.5)</f>
        <v>3283.5</v>
      </c>
      <c r="C717" s="15">
        <f t="shared" ca="1" si="4"/>
        <v>-1.7930580687612996E-2</v>
      </c>
      <c r="D717" s="14">
        <f t="shared" ca="1" si="5"/>
        <v>3144.3060000000005</v>
      </c>
      <c r="E717" s="17"/>
      <c r="F717" s="17"/>
    </row>
    <row r="718" spans="1:6" ht="12.75" x14ac:dyDescent="0.2">
      <c r="A718" s="13">
        <f ca="1">IFERROR(__xludf.DUMMYFUNCTION("""COMPUTED_VALUE"""),44887.6458333333)</f>
        <v>44887.645833333299</v>
      </c>
      <c r="B718" s="14">
        <f ca="1">IFERROR(__xludf.DUMMYFUNCTION("""COMPUTED_VALUE"""),3314.95)</f>
        <v>3314.95</v>
      </c>
      <c r="C718" s="15">
        <f t="shared" ca="1" si="4"/>
        <v>9.578194000304574E-3</v>
      </c>
      <c r="D718" s="14">
        <f t="shared" ca="1" si="5"/>
        <v>3148.0640000000003</v>
      </c>
      <c r="E718" s="17"/>
      <c r="F718" s="17"/>
    </row>
    <row r="719" spans="1:6" ht="12.75" x14ac:dyDescent="0.2">
      <c r="A719" s="13">
        <f ca="1">IFERROR(__xludf.DUMMYFUNCTION("""COMPUTED_VALUE"""),44888.6458333333)</f>
        <v>44888.645833333299</v>
      </c>
      <c r="B719" s="14">
        <f ca="1">IFERROR(__xludf.DUMMYFUNCTION("""COMPUTED_VALUE"""),3308.3)</f>
        <v>3308.3</v>
      </c>
      <c r="C719" s="15">
        <f t="shared" ca="1" si="4"/>
        <v>-2.0060634398707533E-3</v>
      </c>
      <c r="D719" s="14">
        <f t="shared" ca="1" si="5"/>
        <v>3151.2379999999998</v>
      </c>
      <c r="E719" s="17"/>
      <c r="F719" s="17"/>
    </row>
    <row r="720" spans="1:6" ht="12.75" x14ac:dyDescent="0.2">
      <c r="A720" s="13">
        <f ca="1">IFERROR(__xludf.DUMMYFUNCTION("""COMPUTED_VALUE"""),44889.6458333333)</f>
        <v>44889.645833333299</v>
      </c>
      <c r="B720" s="14">
        <f ca="1">IFERROR(__xludf.DUMMYFUNCTION("""COMPUTED_VALUE"""),3380.15)</f>
        <v>3380.15</v>
      </c>
      <c r="C720" s="15">
        <f t="shared" ca="1" si="4"/>
        <v>2.1718102953178331E-2</v>
      </c>
      <c r="D720" s="14">
        <f t="shared" ca="1" si="5"/>
        <v>3155.4479999999999</v>
      </c>
      <c r="E720" s="17"/>
      <c r="F720" s="17"/>
    </row>
    <row r="721" spans="1:6" ht="12.75" x14ac:dyDescent="0.2">
      <c r="A721" s="13">
        <f ca="1">IFERROR(__xludf.DUMMYFUNCTION("""COMPUTED_VALUE"""),44890.6458333333)</f>
        <v>44890.645833333299</v>
      </c>
      <c r="B721" s="14">
        <f ca="1">IFERROR(__xludf.DUMMYFUNCTION("""COMPUTED_VALUE"""),3389.65)</f>
        <v>3389.65</v>
      </c>
      <c r="C721" s="15">
        <f t="shared" ca="1" si="4"/>
        <v>2.8105261600817055E-3</v>
      </c>
      <c r="D721" s="14">
        <f t="shared" ca="1" si="5"/>
        <v>3158.8879999999999</v>
      </c>
      <c r="E721" s="17"/>
      <c r="F721" s="17"/>
    </row>
    <row r="722" spans="1:6" ht="12.75" x14ac:dyDescent="0.2">
      <c r="A722" s="13">
        <f ca="1">IFERROR(__xludf.DUMMYFUNCTION("""COMPUTED_VALUE"""),44893.6458333333)</f>
        <v>44893.645833333299</v>
      </c>
      <c r="B722" s="14">
        <f ca="1">IFERROR(__xludf.DUMMYFUNCTION("""COMPUTED_VALUE"""),3395.25)</f>
        <v>3395.25</v>
      </c>
      <c r="C722" s="15">
        <f t="shared" ca="1" si="4"/>
        <v>1.6520879736845462E-3</v>
      </c>
      <c r="D722" s="14">
        <f t="shared" ca="1" si="5"/>
        <v>3162.2059999999997</v>
      </c>
      <c r="E722" s="17"/>
      <c r="F722" s="17"/>
    </row>
    <row r="723" spans="1:6" ht="12.75" x14ac:dyDescent="0.2">
      <c r="A723" s="13">
        <f ca="1">IFERROR(__xludf.DUMMYFUNCTION("""COMPUTED_VALUE"""),44894.6458333333)</f>
        <v>44894.645833333299</v>
      </c>
      <c r="B723" s="14">
        <f ca="1">IFERROR(__xludf.DUMMYFUNCTION("""COMPUTED_VALUE"""),3397.35)</f>
        <v>3397.35</v>
      </c>
      <c r="C723" s="15">
        <f t="shared" ca="1" si="4"/>
        <v>6.1851115529054645E-4</v>
      </c>
      <c r="D723" s="14">
        <f t="shared" ca="1" si="5"/>
        <v>3167.7450000000008</v>
      </c>
      <c r="E723" s="17"/>
      <c r="F723" s="17"/>
    </row>
    <row r="724" spans="1:6" ht="12.75" x14ac:dyDescent="0.2">
      <c r="A724" s="13">
        <f ca="1">IFERROR(__xludf.DUMMYFUNCTION("""COMPUTED_VALUE"""),44895.6458333333)</f>
        <v>44895.645833333299</v>
      </c>
      <c r="B724" s="14">
        <f ca="1">IFERROR(__xludf.DUMMYFUNCTION("""COMPUTED_VALUE"""),3390.8)</f>
        <v>3390.8</v>
      </c>
      <c r="C724" s="15">
        <f t="shared" ca="1" si="4"/>
        <v>-1.9279732732864208E-3</v>
      </c>
      <c r="D724" s="14">
        <f t="shared" ca="1" si="5"/>
        <v>3173.4739999999997</v>
      </c>
      <c r="E724" s="17"/>
      <c r="F724" s="17"/>
    </row>
    <row r="725" spans="1:6" ht="12.75" x14ac:dyDescent="0.2">
      <c r="A725" s="13">
        <f ca="1">IFERROR(__xludf.DUMMYFUNCTION("""COMPUTED_VALUE"""),44896.6458333333)</f>
        <v>44896.645833333299</v>
      </c>
      <c r="B725" s="14">
        <f ca="1">IFERROR(__xludf.DUMMYFUNCTION("""COMPUTED_VALUE"""),3475.65)</f>
        <v>3475.65</v>
      </c>
      <c r="C725" s="15">
        <f t="shared" ca="1" si="4"/>
        <v>2.5023593252329723E-2</v>
      </c>
      <c r="D725" s="14">
        <f t="shared" ca="1" si="5"/>
        <v>3182.8129999999992</v>
      </c>
      <c r="E725" s="17"/>
      <c r="F725" s="17"/>
    </row>
    <row r="726" spans="1:6" ht="12.75" x14ac:dyDescent="0.2">
      <c r="A726" s="13">
        <f ca="1">IFERROR(__xludf.DUMMYFUNCTION("""COMPUTED_VALUE"""),44897.6458333333)</f>
        <v>44897.645833333299</v>
      </c>
      <c r="B726" s="14">
        <f ca="1">IFERROR(__xludf.DUMMYFUNCTION("""COMPUTED_VALUE"""),3439.15)</f>
        <v>3439.15</v>
      </c>
      <c r="C726" s="15">
        <f t="shared" ca="1" si="4"/>
        <v>-1.0501632788111559E-2</v>
      </c>
      <c r="D726" s="14">
        <f t="shared" ca="1" si="5"/>
        <v>3191.0199999999986</v>
      </c>
      <c r="E726" s="17"/>
      <c r="F726" s="17"/>
    </row>
    <row r="727" spans="1:6" ht="12.75" x14ac:dyDescent="0.2">
      <c r="A727" s="13">
        <f ca="1">IFERROR(__xludf.DUMMYFUNCTION("""COMPUTED_VALUE"""),44900.6458333333)</f>
        <v>44900.645833333299</v>
      </c>
      <c r="B727" s="14">
        <f ca="1">IFERROR(__xludf.DUMMYFUNCTION("""COMPUTED_VALUE"""),3425.9)</f>
        <v>3425.9</v>
      </c>
      <c r="C727" s="15">
        <f t="shared" ca="1" si="4"/>
        <v>-3.8526961603884136E-3</v>
      </c>
      <c r="D727" s="14">
        <f t="shared" ca="1" si="5"/>
        <v>3198.7319999999991</v>
      </c>
      <c r="E727" s="17"/>
      <c r="F727" s="17"/>
    </row>
    <row r="728" spans="1:6" ht="12.75" x14ac:dyDescent="0.2">
      <c r="A728" s="13">
        <f ca="1">IFERROR(__xludf.DUMMYFUNCTION("""COMPUTED_VALUE"""),44901.6458333333)</f>
        <v>44901.645833333299</v>
      </c>
      <c r="B728" s="14">
        <f ca="1">IFERROR(__xludf.DUMMYFUNCTION("""COMPUTED_VALUE"""),3385.35)</f>
        <v>3385.35</v>
      </c>
      <c r="C728" s="15">
        <f t="shared" ca="1" si="4"/>
        <v>-1.1836305788260115E-2</v>
      </c>
      <c r="D728" s="14">
        <f t="shared" ca="1" si="5"/>
        <v>3206.4149999999995</v>
      </c>
      <c r="E728" s="17"/>
      <c r="F728" s="17"/>
    </row>
    <row r="729" spans="1:6" ht="12.75" x14ac:dyDescent="0.2">
      <c r="A729" s="13">
        <f ca="1">IFERROR(__xludf.DUMMYFUNCTION("""COMPUTED_VALUE"""),44902.6458333333)</f>
        <v>44902.645833333299</v>
      </c>
      <c r="B729" s="14">
        <f ca="1">IFERROR(__xludf.DUMMYFUNCTION("""COMPUTED_VALUE"""),3380.6)</f>
        <v>3380.6</v>
      </c>
      <c r="C729" s="15">
        <f t="shared" ca="1" si="4"/>
        <v>-1.4031045534435016E-3</v>
      </c>
      <c r="D729" s="14">
        <f t="shared" ca="1" si="5"/>
        <v>3213.8789999999995</v>
      </c>
      <c r="E729" s="17"/>
      <c r="F729" s="17"/>
    </row>
    <row r="730" spans="1:6" ht="12.75" x14ac:dyDescent="0.2">
      <c r="A730" s="13">
        <f ca="1">IFERROR(__xludf.DUMMYFUNCTION("""COMPUTED_VALUE"""),44903.6458333333)</f>
        <v>44903.645833333299</v>
      </c>
      <c r="B730" s="14">
        <f ca="1">IFERROR(__xludf.DUMMYFUNCTION("""COMPUTED_VALUE"""),3350.55)</f>
        <v>3350.55</v>
      </c>
      <c r="C730" s="15">
        <f t="shared" ca="1" si="4"/>
        <v>-8.8889546234395267E-3</v>
      </c>
      <c r="D730" s="14">
        <f t="shared" ca="1" si="5"/>
        <v>3221.2489999999989</v>
      </c>
      <c r="E730" s="17"/>
      <c r="F730" s="17"/>
    </row>
    <row r="731" spans="1:6" ht="12.75" x14ac:dyDescent="0.2">
      <c r="A731" s="13">
        <f ca="1">IFERROR(__xludf.DUMMYFUNCTION("""COMPUTED_VALUE"""),44904.6458333333)</f>
        <v>44904.645833333299</v>
      </c>
      <c r="B731" s="14">
        <f ca="1">IFERROR(__xludf.DUMMYFUNCTION("""COMPUTED_VALUE"""),3292.75)</f>
        <v>3292.75</v>
      </c>
      <c r="C731" s="15">
        <f t="shared" ca="1" si="4"/>
        <v>-1.725089910611699E-2</v>
      </c>
      <c r="D731" s="14">
        <f t="shared" ca="1" si="5"/>
        <v>3227.215999999999</v>
      </c>
      <c r="E731" s="17"/>
      <c r="F731" s="17"/>
    </row>
    <row r="732" spans="1:6" ht="12.75" x14ac:dyDescent="0.2">
      <c r="A732" s="13">
        <f ca="1">IFERROR(__xludf.DUMMYFUNCTION("""COMPUTED_VALUE"""),44907.6458333333)</f>
        <v>44907.645833333299</v>
      </c>
      <c r="B732" s="14">
        <f ca="1">IFERROR(__xludf.DUMMYFUNCTION("""COMPUTED_VALUE"""),3286.45)</f>
        <v>3286.45</v>
      </c>
      <c r="C732" s="15">
        <f t="shared" ca="1" si="4"/>
        <v>-1.9132943588187068E-3</v>
      </c>
      <c r="D732" s="14">
        <f t="shared" ca="1" si="5"/>
        <v>3232.5959999999991</v>
      </c>
      <c r="E732" s="17"/>
      <c r="F732" s="17"/>
    </row>
    <row r="733" spans="1:6" ht="12.75" x14ac:dyDescent="0.2">
      <c r="A733" s="13">
        <f ca="1">IFERROR(__xludf.DUMMYFUNCTION("""COMPUTED_VALUE"""),44908.6458333333)</f>
        <v>44908.645833333299</v>
      </c>
      <c r="B733" s="14">
        <f ca="1">IFERROR(__xludf.DUMMYFUNCTION("""COMPUTED_VALUE"""),3332.1)</f>
        <v>3332.1</v>
      </c>
      <c r="C733" s="15">
        <f t="shared" ca="1" si="4"/>
        <v>1.3890368026289845E-2</v>
      </c>
      <c r="D733" s="14">
        <f t="shared" ca="1" si="5"/>
        <v>3238.5249999999996</v>
      </c>
      <c r="E733" s="17"/>
      <c r="F733" s="17"/>
    </row>
    <row r="734" spans="1:6" ht="12.75" x14ac:dyDescent="0.2">
      <c r="A734" s="13">
        <f ca="1">IFERROR(__xludf.DUMMYFUNCTION("""COMPUTED_VALUE"""),44909.6458333333)</f>
        <v>44909.645833333299</v>
      </c>
      <c r="B734" s="14">
        <f ca="1">IFERROR(__xludf.DUMMYFUNCTION("""COMPUTED_VALUE"""),3365.35)</f>
        <v>3365.35</v>
      </c>
      <c r="C734" s="15">
        <f t="shared" ca="1" si="4"/>
        <v>9.9786921160829323E-3</v>
      </c>
      <c r="D734" s="14">
        <f t="shared" ca="1" si="5"/>
        <v>3245.8860000000004</v>
      </c>
      <c r="E734" s="17"/>
      <c r="F734" s="17"/>
    </row>
    <row r="735" spans="1:6" ht="12.75" x14ac:dyDescent="0.2">
      <c r="A735" s="13">
        <f ca="1">IFERROR(__xludf.DUMMYFUNCTION("""COMPUTED_VALUE"""),44910.6458333333)</f>
        <v>44910.645833333299</v>
      </c>
      <c r="B735" s="14">
        <f ca="1">IFERROR(__xludf.DUMMYFUNCTION("""COMPUTED_VALUE"""),3305.1)</f>
        <v>3305.1</v>
      </c>
      <c r="C735" s="15">
        <f t="shared" ca="1" si="4"/>
        <v>-1.7903041288424681E-2</v>
      </c>
      <c r="D735" s="14">
        <f t="shared" ca="1" si="5"/>
        <v>3251.8969999999999</v>
      </c>
      <c r="E735" s="17"/>
      <c r="F735" s="17"/>
    </row>
    <row r="736" spans="1:6" ht="12.75" x14ac:dyDescent="0.2">
      <c r="A736" s="13">
        <f ca="1">IFERROR(__xludf.DUMMYFUNCTION("""COMPUTED_VALUE"""),44911.6458333333)</f>
        <v>44911.645833333299</v>
      </c>
      <c r="B736" s="14">
        <f ca="1">IFERROR(__xludf.DUMMYFUNCTION("""COMPUTED_VALUE"""),3240.25)</f>
        <v>3240.25</v>
      </c>
      <c r="C736" s="15">
        <f t="shared" ca="1" si="4"/>
        <v>-1.962119149193664E-2</v>
      </c>
      <c r="D736" s="14">
        <f t="shared" ca="1" si="5"/>
        <v>3257.0030000000006</v>
      </c>
      <c r="E736" s="17"/>
      <c r="F736" s="17"/>
    </row>
    <row r="737" spans="1:6" ht="12.75" x14ac:dyDescent="0.2">
      <c r="A737" s="13">
        <f ca="1">IFERROR(__xludf.DUMMYFUNCTION("""COMPUTED_VALUE"""),44914.6458333333)</f>
        <v>44914.645833333299</v>
      </c>
      <c r="B737" s="14">
        <f ca="1">IFERROR(__xludf.DUMMYFUNCTION("""COMPUTED_VALUE"""),3202.05)</f>
        <v>3202.05</v>
      </c>
      <c r="C737" s="15">
        <f t="shared" ca="1" si="4"/>
        <v>-1.178921379523179E-2</v>
      </c>
      <c r="D737" s="14">
        <f t="shared" ca="1" si="5"/>
        <v>3259.2209999999995</v>
      </c>
      <c r="E737" s="17"/>
      <c r="F737" s="17"/>
    </row>
    <row r="738" spans="1:6" ht="12.75" x14ac:dyDescent="0.2">
      <c r="A738" s="13">
        <f ca="1">IFERROR(__xludf.DUMMYFUNCTION("""COMPUTED_VALUE"""),44915.6458333333)</f>
        <v>44915.645833333299</v>
      </c>
      <c r="B738" s="14">
        <f ca="1">IFERROR(__xludf.DUMMYFUNCTION("""COMPUTED_VALUE"""),3243.95)</f>
        <v>3243.95</v>
      </c>
      <c r="C738" s="15">
        <f t="shared" ca="1" si="4"/>
        <v>1.3085367186645991E-2</v>
      </c>
      <c r="D738" s="14">
        <f t="shared" ca="1" si="5"/>
        <v>3262.0609999999997</v>
      </c>
      <c r="E738" s="17"/>
      <c r="F738" s="17"/>
    </row>
    <row r="739" spans="1:6" ht="12.75" x14ac:dyDescent="0.2">
      <c r="A739" s="13">
        <f ca="1">IFERROR(__xludf.DUMMYFUNCTION("""COMPUTED_VALUE"""),44916.6458333333)</f>
        <v>44916.645833333299</v>
      </c>
      <c r="B739" s="14">
        <f ca="1">IFERROR(__xludf.DUMMYFUNCTION("""COMPUTED_VALUE"""),3268.55)</f>
        <v>3268.55</v>
      </c>
      <c r="C739" s="15">
        <f t="shared" ca="1" si="4"/>
        <v>7.5833474621989083E-3</v>
      </c>
      <c r="D739" s="14">
        <f t="shared" ca="1" si="5"/>
        <v>3266.134</v>
      </c>
      <c r="E739" s="17"/>
      <c r="F739" s="17"/>
    </row>
    <row r="740" spans="1:6" ht="12.75" x14ac:dyDescent="0.2">
      <c r="A740" s="13">
        <f ca="1">IFERROR(__xludf.DUMMYFUNCTION("""COMPUTED_VALUE"""),44917.6458333333)</f>
        <v>44917.645833333299</v>
      </c>
      <c r="B740" s="14">
        <f ca="1">IFERROR(__xludf.DUMMYFUNCTION("""COMPUTED_VALUE"""),3259.7)</f>
        <v>3259.7</v>
      </c>
      <c r="C740" s="15">
        <f t="shared" ca="1" si="4"/>
        <v>-2.707622646127561E-3</v>
      </c>
      <c r="D740" s="14">
        <f t="shared" ca="1" si="5"/>
        <v>3268.9570000000008</v>
      </c>
      <c r="E740" s="17"/>
      <c r="F740" s="17"/>
    </row>
    <row r="741" spans="1:6" ht="12.75" x14ac:dyDescent="0.2">
      <c r="A741" s="13">
        <f ca="1">IFERROR(__xludf.DUMMYFUNCTION("""COMPUTED_VALUE"""),44918.6458333333)</f>
        <v>44918.645833333299</v>
      </c>
      <c r="B741" s="14">
        <f ca="1">IFERROR(__xludf.DUMMYFUNCTION("""COMPUTED_VALUE"""),3228.35)</f>
        <v>3228.35</v>
      </c>
      <c r="C741" s="15">
        <f t="shared" ca="1" si="4"/>
        <v>-9.6174494585391512E-3</v>
      </c>
      <c r="D741" s="14">
        <f t="shared" ca="1" si="5"/>
        <v>3272.1330000000003</v>
      </c>
      <c r="E741" s="17"/>
      <c r="F741" s="17"/>
    </row>
    <row r="742" spans="1:6" ht="12.75" x14ac:dyDescent="0.2">
      <c r="A742" s="13">
        <f ca="1">IFERROR(__xludf.DUMMYFUNCTION("""COMPUTED_VALUE"""),44921.6458333333)</f>
        <v>44921.645833333299</v>
      </c>
      <c r="B742" s="14">
        <f ca="1">IFERROR(__xludf.DUMMYFUNCTION("""COMPUTED_VALUE"""),3252.9)</f>
        <v>3252.9</v>
      </c>
      <c r="C742" s="15">
        <f t="shared" ca="1" si="4"/>
        <v>7.6045038487153604E-3</v>
      </c>
      <c r="D742" s="14">
        <f t="shared" ca="1" si="5"/>
        <v>3275.1760000000004</v>
      </c>
      <c r="E742" s="17"/>
      <c r="F742" s="17"/>
    </row>
    <row r="743" spans="1:6" ht="12.75" x14ac:dyDescent="0.2">
      <c r="A743" s="13">
        <f ca="1">IFERROR(__xludf.DUMMYFUNCTION("""COMPUTED_VALUE"""),44922.6458333333)</f>
        <v>44922.645833333299</v>
      </c>
      <c r="B743" s="14">
        <f ca="1">IFERROR(__xludf.DUMMYFUNCTION("""COMPUTED_VALUE"""),3259.5)</f>
        <v>3259.5</v>
      </c>
      <c r="C743" s="15">
        <f t="shared" ca="1" si="4"/>
        <v>2.0289587752466698E-3</v>
      </c>
      <c r="D743" s="14">
        <f t="shared" ca="1" si="5"/>
        <v>3278.3</v>
      </c>
      <c r="E743" s="17"/>
      <c r="F743" s="17"/>
    </row>
    <row r="744" spans="1:6" ht="12.75" x14ac:dyDescent="0.2">
      <c r="A744" s="13">
        <f ca="1">IFERROR(__xludf.DUMMYFUNCTION("""COMPUTED_VALUE"""),44923.6458333333)</f>
        <v>44923.645833333299</v>
      </c>
      <c r="B744" s="14">
        <f ca="1">IFERROR(__xludf.DUMMYFUNCTION("""COMPUTED_VALUE"""),3257.1)</f>
        <v>3257.1</v>
      </c>
      <c r="C744" s="15">
        <f t="shared" ca="1" si="4"/>
        <v>-7.3630924988499213E-4</v>
      </c>
      <c r="D744" s="14">
        <f t="shared" ca="1" si="5"/>
        <v>3281.4590000000003</v>
      </c>
      <c r="E744" s="17"/>
      <c r="F744" s="17"/>
    </row>
    <row r="745" spans="1:6" ht="12.75" x14ac:dyDescent="0.2">
      <c r="A745" s="13">
        <f ca="1">IFERROR(__xludf.DUMMYFUNCTION("""COMPUTED_VALUE"""),44924.6458333333)</f>
        <v>44924.645833333299</v>
      </c>
      <c r="B745" s="14">
        <f ca="1">IFERROR(__xludf.DUMMYFUNCTION("""COMPUTED_VALUE"""),3268.75)</f>
        <v>3268.75</v>
      </c>
      <c r="C745" s="15">
        <f t="shared" ca="1" si="4"/>
        <v>3.5768014491419642E-3</v>
      </c>
      <c r="D745" s="14">
        <f t="shared" ca="1" si="5"/>
        <v>3284.5990000000002</v>
      </c>
      <c r="E745" s="17"/>
      <c r="F745" s="17"/>
    </row>
    <row r="746" spans="1:6" ht="12.75" x14ac:dyDescent="0.2">
      <c r="A746" s="13">
        <f ca="1">IFERROR(__xludf.DUMMYFUNCTION("""COMPUTED_VALUE"""),44925.6458333333)</f>
        <v>44925.645833333299</v>
      </c>
      <c r="B746" s="14">
        <f ca="1">IFERROR(__xludf.DUMMYFUNCTION("""COMPUTED_VALUE"""),3256.7)</f>
        <v>3256.7</v>
      </c>
      <c r="C746" s="15">
        <f t="shared" ca="1" si="4"/>
        <v>-3.686424474187433E-3</v>
      </c>
      <c r="D746" s="14">
        <f t="shared" ca="1" si="5"/>
        <v>3286.8390000000009</v>
      </c>
      <c r="E746" s="17"/>
      <c r="F746" s="17"/>
    </row>
    <row r="747" spans="1:6" ht="12.75" x14ac:dyDescent="0.2">
      <c r="A747" s="13">
        <f ca="1">IFERROR(__xludf.DUMMYFUNCTION("""COMPUTED_VALUE"""),44928.6458333333)</f>
        <v>44928.645833333299</v>
      </c>
      <c r="B747" s="14">
        <f ca="1">IFERROR(__xludf.DUMMYFUNCTION("""COMPUTED_VALUE"""),3261.45)</f>
        <v>3261.45</v>
      </c>
      <c r="C747" s="15">
        <f t="shared" ca="1" si="4"/>
        <v>1.4585316424602368E-3</v>
      </c>
      <c r="D747" s="14">
        <f t="shared" ca="1" si="5"/>
        <v>3289.6310000000008</v>
      </c>
      <c r="E747" s="17"/>
      <c r="F747" s="17"/>
    </row>
    <row r="748" spans="1:6" ht="12.75" x14ac:dyDescent="0.2">
      <c r="A748" s="13">
        <f ca="1">IFERROR(__xludf.DUMMYFUNCTION("""COMPUTED_VALUE"""),44929.6458333333)</f>
        <v>44929.645833333299</v>
      </c>
      <c r="B748" s="14">
        <f ca="1">IFERROR(__xludf.DUMMYFUNCTION("""COMPUTED_VALUE"""),3311.35)</f>
        <v>3311.35</v>
      </c>
      <c r="C748" s="15">
        <f t="shared" ca="1" si="4"/>
        <v>1.5299943276763539E-2</v>
      </c>
      <c r="D748" s="14">
        <f t="shared" ca="1" si="5"/>
        <v>3292.7120000000009</v>
      </c>
      <c r="E748" s="17"/>
      <c r="F748" s="17"/>
    </row>
    <row r="749" spans="1:6" ht="12.75" x14ac:dyDescent="0.2">
      <c r="A749" s="13">
        <f ca="1">IFERROR(__xludf.DUMMYFUNCTION("""COMPUTED_VALUE"""),44930.6458333333)</f>
        <v>44930.645833333299</v>
      </c>
      <c r="B749" s="14">
        <f ca="1">IFERROR(__xludf.DUMMYFUNCTION("""COMPUTED_VALUE"""),3314.65)</f>
        <v>3314.65</v>
      </c>
      <c r="C749" s="15">
        <f t="shared" ca="1" si="4"/>
        <v>9.9657239494477246E-4</v>
      </c>
      <c r="D749" s="14">
        <f t="shared" ca="1" si="5"/>
        <v>3296.2570000000005</v>
      </c>
      <c r="E749" s="17"/>
      <c r="F749" s="17"/>
    </row>
    <row r="750" spans="1:6" ht="12.75" x14ac:dyDescent="0.2">
      <c r="A750" s="13">
        <f ca="1">IFERROR(__xludf.DUMMYFUNCTION("""COMPUTED_VALUE"""),44931.6458333333)</f>
        <v>44931.645833333299</v>
      </c>
      <c r="B750" s="14">
        <f ca="1">IFERROR(__xludf.DUMMYFUNCTION("""COMPUTED_VALUE"""),3311.1)</f>
        <v>3311.1</v>
      </c>
      <c r="C750" s="15">
        <f t="shared" ca="1" si="4"/>
        <v>-1.0710029716561875E-3</v>
      </c>
      <c r="D750" s="14">
        <f t="shared" ca="1" si="5"/>
        <v>3299.2370000000014</v>
      </c>
      <c r="E750" s="17"/>
      <c r="F750" s="17"/>
    </row>
    <row r="751" spans="1:6" ht="12.75" x14ac:dyDescent="0.2">
      <c r="A751" s="13">
        <f ca="1">IFERROR(__xludf.DUMMYFUNCTION("""COMPUTED_VALUE"""),44932.6458333333)</f>
        <v>44932.645833333299</v>
      </c>
      <c r="B751" s="14">
        <f ca="1">IFERROR(__xludf.DUMMYFUNCTION("""COMPUTED_VALUE"""),3211.55)</f>
        <v>3211.55</v>
      </c>
      <c r="C751" s="15">
        <f t="shared" ca="1" si="4"/>
        <v>-3.0065537132674902E-2</v>
      </c>
      <c r="D751" s="14">
        <f t="shared" ca="1" si="5"/>
        <v>3300.3200000000006</v>
      </c>
      <c r="E751" s="17"/>
      <c r="F751" s="17"/>
    </row>
    <row r="752" spans="1:6" ht="12.75" x14ac:dyDescent="0.2">
      <c r="A752" s="13">
        <f ca="1">IFERROR(__xludf.DUMMYFUNCTION("""COMPUTED_VALUE"""),44935.6458333333)</f>
        <v>44935.645833333299</v>
      </c>
      <c r="B752" s="14">
        <f ca="1">IFERROR(__xludf.DUMMYFUNCTION("""COMPUTED_VALUE"""),3319.95)</f>
        <v>3319.95</v>
      </c>
      <c r="C752" s="15">
        <f t="shared" ca="1" si="4"/>
        <v>3.3753172144291632E-2</v>
      </c>
      <c r="D752" s="14">
        <f t="shared" ca="1" si="5"/>
        <v>3303.4540000000015</v>
      </c>
      <c r="E752" s="17"/>
      <c r="F752" s="17"/>
    </row>
    <row r="753" spans="1:6" ht="12.75" x14ac:dyDescent="0.2">
      <c r="A753" s="13">
        <f ca="1">IFERROR(__xludf.DUMMYFUNCTION("""COMPUTED_VALUE"""),44936.6458333333)</f>
        <v>44936.645833333299</v>
      </c>
      <c r="B753" s="14">
        <f ca="1">IFERROR(__xludf.DUMMYFUNCTION("""COMPUTED_VALUE"""),3286.4)</f>
        <v>3286.4</v>
      </c>
      <c r="C753" s="15">
        <f t="shared" ca="1" si="4"/>
        <v>-1.0105573879124585E-2</v>
      </c>
      <c r="D753" s="14">
        <f t="shared" ca="1" si="5"/>
        <v>3305.3190000000009</v>
      </c>
      <c r="E753" s="17"/>
      <c r="F753" s="17"/>
    </row>
    <row r="754" spans="1:6" ht="12.75" x14ac:dyDescent="0.2">
      <c r="A754" s="13">
        <f ca="1">IFERROR(__xludf.DUMMYFUNCTION("""COMPUTED_VALUE"""),44937.6458333333)</f>
        <v>44937.645833333299</v>
      </c>
      <c r="B754" s="14">
        <f ca="1">IFERROR(__xludf.DUMMYFUNCTION("""COMPUTED_VALUE"""),3328.7)</f>
        <v>3328.7</v>
      </c>
      <c r="C754" s="15">
        <f t="shared" ca="1" si="4"/>
        <v>1.287122687439135E-2</v>
      </c>
      <c r="D754" s="14">
        <f t="shared" ca="1" si="5"/>
        <v>3306.699000000001</v>
      </c>
      <c r="E754" s="17"/>
      <c r="F754" s="17"/>
    </row>
    <row r="755" spans="1:6" ht="12.75" x14ac:dyDescent="0.2">
      <c r="A755" s="13">
        <f ca="1">IFERROR(__xludf.DUMMYFUNCTION("""COMPUTED_VALUE"""),44938.6458333333)</f>
        <v>44938.645833333299</v>
      </c>
      <c r="B755" s="14">
        <f ca="1">IFERROR(__xludf.DUMMYFUNCTION("""COMPUTED_VALUE"""),3334.35)</f>
        <v>3334.35</v>
      </c>
      <c r="C755" s="15">
        <f t="shared" ca="1" si="4"/>
        <v>1.6973593294680178E-3</v>
      </c>
      <c r="D755" s="14">
        <f t="shared" ca="1" si="5"/>
        <v>3308.5520000000015</v>
      </c>
      <c r="E755" s="17"/>
      <c r="F755" s="17"/>
    </row>
    <row r="756" spans="1:6" ht="12.75" x14ac:dyDescent="0.2">
      <c r="A756" s="13">
        <f ca="1">IFERROR(__xludf.DUMMYFUNCTION("""COMPUTED_VALUE"""),44939.6458333333)</f>
        <v>44939.645833333299</v>
      </c>
      <c r="B756" s="14">
        <f ca="1">IFERROR(__xludf.DUMMYFUNCTION("""COMPUTED_VALUE"""),3374.55)</f>
        <v>3374.55</v>
      </c>
      <c r="C756" s="15">
        <f t="shared" ca="1" si="4"/>
        <v>1.2056322821539567E-2</v>
      </c>
      <c r="D756" s="14">
        <f t="shared" ca="1" si="5"/>
        <v>3311.9080000000013</v>
      </c>
      <c r="E756" s="17"/>
      <c r="F756" s="17"/>
    </row>
    <row r="757" spans="1:6" ht="12.75" x14ac:dyDescent="0.2">
      <c r="A757" s="13">
        <f ca="1">IFERROR(__xludf.DUMMYFUNCTION("""COMPUTED_VALUE"""),44942.6458333333)</f>
        <v>44942.645833333299</v>
      </c>
      <c r="B757" s="14">
        <f ca="1">IFERROR(__xludf.DUMMYFUNCTION("""COMPUTED_VALUE"""),3334.05)</f>
        <v>3334.05</v>
      </c>
      <c r="C757" s="15">
        <f t="shared" ca="1" si="4"/>
        <v>-1.2001600213361829E-2</v>
      </c>
      <c r="D757" s="14">
        <f t="shared" ca="1" si="5"/>
        <v>3314.2410000000009</v>
      </c>
      <c r="E757" s="17"/>
      <c r="F757" s="17"/>
    </row>
    <row r="758" spans="1:6" ht="12.75" x14ac:dyDescent="0.2">
      <c r="A758" s="13">
        <f ca="1">IFERROR(__xludf.DUMMYFUNCTION("""COMPUTED_VALUE"""),44943.6458333333)</f>
        <v>44943.645833333299</v>
      </c>
      <c r="B758" s="14">
        <f ca="1">IFERROR(__xludf.DUMMYFUNCTION("""COMPUTED_VALUE"""),3378.4)</f>
        <v>3378.4</v>
      </c>
      <c r="C758" s="15">
        <f t="shared" ca="1" si="4"/>
        <v>1.3302140039891386E-2</v>
      </c>
      <c r="D758" s="14">
        <f t="shared" ca="1" si="5"/>
        <v>3317.1350000000007</v>
      </c>
      <c r="E758" s="17"/>
      <c r="F758" s="17"/>
    </row>
    <row r="759" spans="1:6" ht="12.75" x14ac:dyDescent="0.2">
      <c r="A759" s="13">
        <f ca="1">IFERROR(__xludf.DUMMYFUNCTION("""COMPUTED_VALUE"""),44944.6458333333)</f>
        <v>44944.645833333299</v>
      </c>
      <c r="B759" s="14">
        <f ca="1">IFERROR(__xludf.DUMMYFUNCTION("""COMPUTED_VALUE"""),3390)</f>
        <v>3390</v>
      </c>
      <c r="C759" s="15">
        <f t="shared" ca="1" si="4"/>
        <v>3.433578025100692E-3</v>
      </c>
      <c r="D759" s="14">
        <f t="shared" ca="1" si="5"/>
        <v>3320.614</v>
      </c>
      <c r="E759" s="17"/>
      <c r="F759" s="17"/>
    </row>
    <row r="760" spans="1:6" ht="12.75" x14ac:dyDescent="0.2">
      <c r="A760" s="13">
        <f ca="1">IFERROR(__xludf.DUMMYFUNCTION("""COMPUTED_VALUE"""),44945.6458333333)</f>
        <v>44945.645833333299</v>
      </c>
      <c r="B760" s="14">
        <f ca="1">IFERROR(__xludf.DUMMYFUNCTION("""COMPUTED_VALUE"""),3373.1)</f>
        <v>3373.1</v>
      </c>
      <c r="C760" s="15">
        <f t="shared" ca="1" si="4"/>
        <v>-4.9852507374631427E-3</v>
      </c>
      <c r="D760" s="14">
        <f t="shared" ca="1" si="5"/>
        <v>3323.9629999999997</v>
      </c>
      <c r="E760" s="17"/>
      <c r="F760" s="17"/>
    </row>
    <row r="761" spans="1:6" ht="12.75" x14ac:dyDescent="0.2">
      <c r="A761" s="13">
        <f ca="1">IFERROR(__xludf.DUMMYFUNCTION("""COMPUTED_VALUE"""),44946.6458333333)</f>
        <v>44946.645833333299</v>
      </c>
      <c r="B761" s="14">
        <f ca="1">IFERROR(__xludf.DUMMYFUNCTION("""COMPUTED_VALUE"""),3363.1)</f>
        <v>3363.1</v>
      </c>
      <c r="C761" s="15">
        <f t="shared" ca="1" si="4"/>
        <v>-2.9646319409445399E-3</v>
      </c>
      <c r="D761" s="14">
        <f t="shared" ca="1" si="5"/>
        <v>3324.9060000000009</v>
      </c>
      <c r="E761" s="17"/>
      <c r="F761" s="17"/>
    </row>
    <row r="762" spans="1:6" ht="12.75" x14ac:dyDescent="0.2">
      <c r="A762" s="13">
        <f ca="1">IFERROR(__xludf.DUMMYFUNCTION("""COMPUTED_VALUE"""),44949.6458333333)</f>
        <v>44949.645833333299</v>
      </c>
      <c r="B762" s="14">
        <f ca="1">IFERROR(__xludf.DUMMYFUNCTION("""COMPUTED_VALUE"""),3414.9)</f>
        <v>3414.9</v>
      </c>
      <c r="C762" s="15">
        <f t="shared" ca="1" si="4"/>
        <v>1.5402456067318937E-2</v>
      </c>
      <c r="D762" s="14">
        <f t="shared" ca="1" si="5"/>
        <v>3326.4940000000006</v>
      </c>
      <c r="E762" s="17"/>
      <c r="F762" s="17"/>
    </row>
    <row r="763" spans="1:6" ht="12.75" x14ac:dyDescent="0.2">
      <c r="A763" s="13">
        <f ca="1">IFERROR(__xludf.DUMMYFUNCTION("""COMPUTED_VALUE"""),44950.6458333333)</f>
        <v>44950.645833333299</v>
      </c>
      <c r="B763" s="14">
        <f ca="1">IFERROR(__xludf.DUMMYFUNCTION("""COMPUTED_VALUE"""),3436.3)</f>
        <v>3436.3</v>
      </c>
      <c r="C763" s="15">
        <f t="shared" ca="1" si="4"/>
        <v>6.2666549532930382E-3</v>
      </c>
      <c r="D763" s="14">
        <f t="shared" ca="1" si="5"/>
        <v>3328.5680000000007</v>
      </c>
      <c r="E763" s="17"/>
      <c r="F763" s="17"/>
    </row>
    <row r="764" spans="1:6" ht="12.75" x14ac:dyDescent="0.2">
      <c r="A764" s="13">
        <f ca="1">IFERROR(__xludf.DUMMYFUNCTION("""COMPUTED_VALUE"""),44951.6458333333)</f>
        <v>44951.645833333299</v>
      </c>
      <c r="B764" s="14">
        <f ca="1">IFERROR(__xludf.DUMMYFUNCTION("""COMPUTED_VALUE"""),3429.75)</f>
        <v>3429.75</v>
      </c>
      <c r="C764" s="15">
        <f t="shared" ca="1" si="4"/>
        <v>-1.9061199546024366E-3</v>
      </c>
      <c r="D764" s="14">
        <f t="shared" ca="1" si="5"/>
        <v>3330.0559999999996</v>
      </c>
      <c r="E764" s="17"/>
      <c r="F764" s="17"/>
    </row>
    <row r="765" spans="1:6" ht="12.75" x14ac:dyDescent="0.2">
      <c r="A765" s="13">
        <f ca="1">IFERROR(__xludf.DUMMYFUNCTION("""COMPUTED_VALUE"""),44953.6458333333)</f>
        <v>44953.645833333299</v>
      </c>
      <c r="B765" s="14">
        <f ca="1">IFERROR(__xludf.DUMMYFUNCTION("""COMPUTED_VALUE"""),3411.05)</f>
        <v>3411.05</v>
      </c>
      <c r="C765" s="15">
        <f t="shared" ca="1" si="4"/>
        <v>-5.4522924411399831E-3</v>
      </c>
      <c r="D765" s="14">
        <f t="shared" ca="1" si="5"/>
        <v>3331.2969999999991</v>
      </c>
      <c r="E765" s="17"/>
      <c r="F765" s="17"/>
    </row>
    <row r="766" spans="1:6" ht="12.75" x14ac:dyDescent="0.2">
      <c r="A766" s="13">
        <f ca="1">IFERROR(__xludf.DUMMYFUNCTION("""COMPUTED_VALUE"""),44956.6458333333)</f>
        <v>44956.645833333299</v>
      </c>
      <c r="B766" s="14">
        <f ca="1">IFERROR(__xludf.DUMMYFUNCTION("""COMPUTED_VALUE"""),3433.65)</f>
        <v>3433.65</v>
      </c>
      <c r="C766" s="15">
        <f t="shared" ca="1" si="4"/>
        <v>6.62552586446985E-3</v>
      </c>
      <c r="D766" s="14">
        <f t="shared" ca="1" si="5"/>
        <v>3333.1009999999992</v>
      </c>
      <c r="E766" s="17"/>
      <c r="F766" s="17"/>
    </row>
    <row r="767" spans="1:6" ht="12.75" x14ac:dyDescent="0.2">
      <c r="A767" s="13">
        <f ca="1">IFERROR(__xludf.DUMMYFUNCTION("""COMPUTED_VALUE"""),44957.6458333333)</f>
        <v>44957.645833333299</v>
      </c>
      <c r="B767" s="14">
        <f ca="1">IFERROR(__xludf.DUMMYFUNCTION("""COMPUTED_VALUE"""),3358.7)</f>
        <v>3358.7</v>
      </c>
      <c r="C767" s="15">
        <f t="shared" ca="1" si="4"/>
        <v>-2.1828083817512001E-2</v>
      </c>
      <c r="D767" s="14">
        <f t="shared" ca="1" si="5"/>
        <v>3334.6049999999996</v>
      </c>
      <c r="E767" s="17"/>
      <c r="F767" s="17"/>
    </row>
    <row r="768" spans="1:6" ht="12.75" x14ac:dyDescent="0.2">
      <c r="A768" s="13">
        <f ca="1">IFERROR(__xludf.DUMMYFUNCTION("""COMPUTED_VALUE"""),44958.6458333333)</f>
        <v>44958.645833333299</v>
      </c>
      <c r="B768" s="14">
        <f ca="1">IFERROR(__xludf.DUMMYFUNCTION("""COMPUTED_VALUE"""),3408.35)</f>
        <v>3408.35</v>
      </c>
      <c r="C768" s="15">
        <f t="shared" ref="C768:C1022" ca="1" si="6">(B768/B767)-1</f>
        <v>1.4782505135915613E-2</v>
      </c>
      <c r="D768" s="14">
        <f t="shared" ca="1" si="5"/>
        <v>3336.473</v>
      </c>
      <c r="E768" s="17"/>
      <c r="F768" s="17"/>
    </row>
    <row r="769" spans="1:6" ht="12.75" x14ac:dyDescent="0.2">
      <c r="A769" s="13">
        <f ca="1">IFERROR(__xludf.DUMMYFUNCTION("""COMPUTED_VALUE"""),44959.6458333333)</f>
        <v>44959.645833333299</v>
      </c>
      <c r="B769" s="14">
        <f ca="1">IFERROR(__xludf.DUMMYFUNCTION("""COMPUTED_VALUE"""),3460.4)</f>
        <v>3460.4</v>
      </c>
      <c r="C769" s="15">
        <f t="shared" ca="1" si="6"/>
        <v>1.5271318966655567E-2</v>
      </c>
      <c r="D769" s="14">
        <f t="shared" ca="1" si="5"/>
        <v>3339.5149999999999</v>
      </c>
      <c r="E769" s="17"/>
      <c r="F769" s="17"/>
    </row>
    <row r="770" spans="1:6" ht="12.75" x14ac:dyDescent="0.2">
      <c r="A770" s="13">
        <f ca="1">IFERROR(__xludf.DUMMYFUNCTION("""COMPUTED_VALUE"""),44960.6458333333)</f>
        <v>44960.645833333299</v>
      </c>
      <c r="B770" s="14">
        <f ca="1">IFERROR(__xludf.DUMMYFUNCTION("""COMPUTED_VALUE"""),3482.3)</f>
        <v>3482.3</v>
      </c>
      <c r="C770" s="15">
        <f t="shared" ca="1" si="6"/>
        <v>6.3287481216045549E-3</v>
      </c>
      <c r="D770" s="14">
        <f t="shared" ca="1" si="5"/>
        <v>3341.5579999999991</v>
      </c>
      <c r="E770" s="17"/>
      <c r="F770" s="17"/>
    </row>
    <row r="771" spans="1:6" ht="12.75" x14ac:dyDescent="0.2">
      <c r="A771" s="13">
        <f ca="1">IFERROR(__xludf.DUMMYFUNCTION("""COMPUTED_VALUE"""),44963.6458333333)</f>
        <v>44963.645833333299</v>
      </c>
      <c r="B771" s="14">
        <f ca="1">IFERROR(__xludf.DUMMYFUNCTION("""COMPUTED_VALUE"""),3459.95)</f>
        <v>3459.95</v>
      </c>
      <c r="C771" s="15">
        <f t="shared" ca="1" si="6"/>
        <v>-6.4181718978837399E-3</v>
      </c>
      <c r="D771" s="14">
        <f t="shared" ca="1" si="5"/>
        <v>3342.9639999999995</v>
      </c>
      <c r="E771" s="17"/>
      <c r="F771" s="17"/>
    </row>
    <row r="772" spans="1:6" ht="12.75" x14ac:dyDescent="0.2">
      <c r="A772" s="13">
        <f ca="1">IFERROR(__xludf.DUMMYFUNCTION("""COMPUTED_VALUE"""),44964.6458333333)</f>
        <v>44964.645833333299</v>
      </c>
      <c r="B772" s="14">
        <f ca="1">IFERROR(__xludf.DUMMYFUNCTION("""COMPUTED_VALUE"""),3472.55)</f>
        <v>3472.55</v>
      </c>
      <c r="C772" s="15">
        <f t="shared" ca="1" si="6"/>
        <v>3.6416711224152021E-3</v>
      </c>
      <c r="D772" s="14">
        <f t="shared" ca="1" si="5"/>
        <v>3344.5099999999993</v>
      </c>
      <c r="E772" s="17"/>
      <c r="F772" s="17"/>
    </row>
    <row r="773" spans="1:6" ht="12.75" x14ac:dyDescent="0.2">
      <c r="A773" s="13">
        <f ca="1">IFERROR(__xludf.DUMMYFUNCTION("""COMPUTED_VALUE"""),44965.6458333333)</f>
        <v>44965.645833333299</v>
      </c>
      <c r="B773" s="14">
        <f ca="1">IFERROR(__xludf.DUMMYFUNCTION("""COMPUTED_VALUE"""),3520.1)</f>
        <v>3520.1</v>
      </c>
      <c r="C773" s="15">
        <f t="shared" ca="1" si="6"/>
        <v>1.3693107370664093E-2</v>
      </c>
      <c r="D773" s="14">
        <f t="shared" ca="1" si="5"/>
        <v>3346.9650000000001</v>
      </c>
      <c r="E773" s="17"/>
      <c r="F773" s="17"/>
    </row>
    <row r="774" spans="1:6" ht="12.75" x14ac:dyDescent="0.2">
      <c r="A774" s="13">
        <f ca="1">IFERROR(__xludf.DUMMYFUNCTION("""COMPUTED_VALUE"""),44966.6458333333)</f>
        <v>44966.645833333299</v>
      </c>
      <c r="B774" s="14">
        <f ca="1">IFERROR(__xludf.DUMMYFUNCTION("""COMPUTED_VALUE"""),3540.85)</f>
        <v>3540.85</v>
      </c>
      <c r="C774" s="15">
        <f t="shared" ca="1" si="6"/>
        <v>5.8947189000313482E-3</v>
      </c>
      <c r="D774" s="14">
        <f t="shared" ca="1" si="5"/>
        <v>3349.9660000000003</v>
      </c>
      <c r="E774" s="17"/>
      <c r="F774" s="17"/>
    </row>
    <row r="775" spans="1:6" ht="12.75" x14ac:dyDescent="0.2">
      <c r="A775" s="13">
        <f ca="1">IFERROR(__xludf.DUMMYFUNCTION("""COMPUTED_VALUE"""),44967.6458333333)</f>
        <v>44967.645833333299</v>
      </c>
      <c r="B775" s="14">
        <f ca="1">IFERROR(__xludf.DUMMYFUNCTION("""COMPUTED_VALUE"""),3537.55)</f>
        <v>3537.55</v>
      </c>
      <c r="C775" s="15">
        <f t="shared" ca="1" si="6"/>
        <v>-9.3197960941571178E-4</v>
      </c>
      <c r="D775" s="14">
        <f t="shared" ca="1" si="5"/>
        <v>3351.2039999999997</v>
      </c>
      <c r="E775" s="17"/>
      <c r="F775" s="17"/>
    </row>
    <row r="776" spans="1:6" ht="12.75" x14ac:dyDescent="0.2">
      <c r="A776" s="13">
        <f ca="1">IFERROR(__xludf.DUMMYFUNCTION("""COMPUTED_VALUE"""),44970.6458333333)</f>
        <v>44970.645833333299</v>
      </c>
      <c r="B776" s="14">
        <f ca="1">IFERROR(__xludf.DUMMYFUNCTION("""COMPUTED_VALUE"""),3482.4)</f>
        <v>3482.4</v>
      </c>
      <c r="C776" s="15">
        <f t="shared" ca="1" si="6"/>
        <v>-1.5589885655326485E-2</v>
      </c>
      <c r="D776" s="14">
        <f t="shared" ca="1" si="5"/>
        <v>3352.0690000000004</v>
      </c>
      <c r="E776" s="17"/>
      <c r="F776" s="17"/>
    </row>
    <row r="777" spans="1:6" ht="12.75" x14ac:dyDescent="0.2">
      <c r="A777" s="13">
        <f ca="1">IFERROR(__xludf.DUMMYFUNCTION("""COMPUTED_VALUE"""),44971.6458333333)</f>
        <v>44971.645833333299</v>
      </c>
      <c r="B777" s="14">
        <f ca="1">IFERROR(__xludf.DUMMYFUNCTION("""COMPUTED_VALUE"""),3500.1)</f>
        <v>3500.1</v>
      </c>
      <c r="C777" s="15">
        <f t="shared" ca="1" si="6"/>
        <v>5.0827015851135915E-3</v>
      </c>
      <c r="D777" s="14">
        <f t="shared" ca="1" si="5"/>
        <v>3353.5529999999999</v>
      </c>
      <c r="E777" s="17"/>
      <c r="F777" s="17"/>
    </row>
    <row r="778" spans="1:6" ht="12.75" x14ac:dyDescent="0.2">
      <c r="A778" s="13">
        <f ca="1">IFERROR(__xludf.DUMMYFUNCTION("""COMPUTED_VALUE"""),44972.6458333333)</f>
        <v>44972.645833333299</v>
      </c>
      <c r="B778" s="14">
        <f ca="1">IFERROR(__xludf.DUMMYFUNCTION("""COMPUTED_VALUE"""),3520.65)</f>
        <v>3520.65</v>
      </c>
      <c r="C778" s="15">
        <f t="shared" ca="1" si="6"/>
        <v>5.8712608211195505E-3</v>
      </c>
      <c r="D778" s="14">
        <f t="shared" ca="1" si="5"/>
        <v>3356.2589999999991</v>
      </c>
      <c r="E778" s="17"/>
      <c r="F778" s="17"/>
    </row>
    <row r="779" spans="1:6" ht="12.75" x14ac:dyDescent="0.2">
      <c r="A779" s="13">
        <f ca="1">IFERROR(__xludf.DUMMYFUNCTION("""COMPUTED_VALUE"""),44973.6458333333)</f>
        <v>44973.645833333299</v>
      </c>
      <c r="B779" s="14">
        <f ca="1">IFERROR(__xludf.DUMMYFUNCTION("""COMPUTED_VALUE"""),3558.05)</f>
        <v>3558.05</v>
      </c>
      <c r="C779" s="15">
        <f t="shared" ca="1" si="6"/>
        <v>1.0623038359393933E-2</v>
      </c>
      <c r="D779" s="14">
        <f t="shared" ca="1" si="5"/>
        <v>3359.8079999999991</v>
      </c>
      <c r="E779" s="17"/>
      <c r="F779" s="17"/>
    </row>
    <row r="780" spans="1:6" ht="12.75" x14ac:dyDescent="0.2">
      <c r="A780" s="13">
        <f ca="1">IFERROR(__xludf.DUMMYFUNCTION("""COMPUTED_VALUE"""),44974.6458333333)</f>
        <v>44974.645833333299</v>
      </c>
      <c r="B780" s="14">
        <f ca="1">IFERROR(__xludf.DUMMYFUNCTION("""COMPUTED_VALUE"""),3501.15)</f>
        <v>3501.15</v>
      </c>
      <c r="C780" s="15">
        <f t="shared" ca="1" si="6"/>
        <v>-1.5991905678672369E-2</v>
      </c>
      <c r="D780" s="14">
        <f t="shared" ca="1" si="5"/>
        <v>3362.8199999999993</v>
      </c>
      <c r="E780" s="17"/>
      <c r="F780" s="17"/>
    </row>
    <row r="781" spans="1:6" ht="12.75" x14ac:dyDescent="0.2">
      <c r="A781" s="13">
        <f ca="1">IFERROR(__xludf.DUMMYFUNCTION("""COMPUTED_VALUE"""),44977.6458333333)</f>
        <v>44977.645833333299</v>
      </c>
      <c r="B781" s="14">
        <f ca="1">IFERROR(__xludf.DUMMYFUNCTION("""COMPUTED_VALUE"""),3487.3)</f>
        <v>3487.3</v>
      </c>
      <c r="C781" s="15">
        <f t="shared" ca="1" si="6"/>
        <v>-3.9558430801307498E-3</v>
      </c>
      <c r="D781" s="14">
        <f t="shared" ca="1" si="5"/>
        <v>3366.7109999999993</v>
      </c>
      <c r="E781" s="17"/>
      <c r="F781" s="17"/>
    </row>
    <row r="782" spans="1:6" ht="12.75" x14ac:dyDescent="0.2">
      <c r="A782" s="13">
        <f ca="1">IFERROR(__xludf.DUMMYFUNCTION("""COMPUTED_VALUE"""),44978.6458333333)</f>
        <v>44978.645833333299</v>
      </c>
      <c r="B782" s="14">
        <f ca="1">IFERROR(__xludf.DUMMYFUNCTION("""COMPUTED_VALUE"""),3451)</f>
        <v>3451</v>
      </c>
      <c r="C782" s="15">
        <f t="shared" ca="1" si="6"/>
        <v>-1.0409199093854848E-2</v>
      </c>
      <c r="D782" s="14">
        <f t="shared" ca="1" si="5"/>
        <v>3370.001999999999</v>
      </c>
      <c r="E782" s="17"/>
      <c r="F782" s="17"/>
    </row>
    <row r="783" spans="1:6" ht="12.75" x14ac:dyDescent="0.2">
      <c r="A783" s="13">
        <f ca="1">IFERROR(__xludf.DUMMYFUNCTION("""COMPUTED_VALUE"""),44979.6458333333)</f>
        <v>44979.645833333299</v>
      </c>
      <c r="B783" s="14">
        <f ca="1">IFERROR(__xludf.DUMMYFUNCTION("""COMPUTED_VALUE"""),3401.55)</f>
        <v>3401.55</v>
      </c>
      <c r="C783" s="15">
        <f t="shared" ca="1" si="6"/>
        <v>-1.4329179947841109E-2</v>
      </c>
      <c r="D783" s="14">
        <f t="shared" ca="1" si="5"/>
        <v>3371.3909999999992</v>
      </c>
      <c r="E783" s="17"/>
      <c r="F783" s="17"/>
    </row>
    <row r="784" spans="1:6" ht="12.75" x14ac:dyDescent="0.2">
      <c r="A784" s="13">
        <f ca="1">IFERROR(__xludf.DUMMYFUNCTION("""COMPUTED_VALUE"""),44980.6458333333)</f>
        <v>44980.645833333299</v>
      </c>
      <c r="B784" s="14">
        <f ca="1">IFERROR(__xludf.DUMMYFUNCTION("""COMPUTED_VALUE"""),3413.8)</f>
        <v>3413.8</v>
      </c>
      <c r="C784" s="15">
        <f t="shared" ca="1" si="6"/>
        <v>3.6012994076231042E-3</v>
      </c>
      <c r="D784" s="14">
        <f t="shared" ca="1" si="5"/>
        <v>3372.3599999999988</v>
      </c>
      <c r="E784" s="17"/>
      <c r="F784" s="17"/>
    </row>
    <row r="785" spans="1:6" ht="12.75" x14ac:dyDescent="0.2">
      <c r="A785" s="13">
        <f ca="1">IFERROR(__xludf.DUMMYFUNCTION("""COMPUTED_VALUE"""),44981.6458333333)</f>
        <v>44981.645833333299</v>
      </c>
      <c r="B785" s="14">
        <f ca="1">IFERROR(__xludf.DUMMYFUNCTION("""COMPUTED_VALUE"""),3400.45)</f>
        <v>3400.45</v>
      </c>
      <c r="C785" s="15">
        <f t="shared" ca="1" si="6"/>
        <v>-3.910598160407841E-3</v>
      </c>
      <c r="D785" s="14">
        <f t="shared" ca="1" si="5"/>
        <v>3374.2669999999989</v>
      </c>
      <c r="E785" s="17"/>
      <c r="F785" s="17"/>
    </row>
    <row r="786" spans="1:6" ht="12.75" x14ac:dyDescent="0.2">
      <c r="A786" s="13">
        <f ca="1">IFERROR(__xludf.DUMMYFUNCTION("""COMPUTED_VALUE"""),44984.6458333333)</f>
        <v>44984.645833333299</v>
      </c>
      <c r="B786" s="14">
        <f ca="1">IFERROR(__xludf.DUMMYFUNCTION("""COMPUTED_VALUE"""),3331.85)</f>
        <v>3331.85</v>
      </c>
      <c r="C786" s="15">
        <f t="shared" ca="1" si="6"/>
        <v>-2.0173800526400942E-2</v>
      </c>
      <c r="D786" s="14">
        <f t="shared" ca="1" si="5"/>
        <v>3376.0989999999997</v>
      </c>
      <c r="E786" s="17"/>
      <c r="F786" s="17"/>
    </row>
    <row r="787" spans="1:6" ht="12.75" x14ac:dyDescent="0.2">
      <c r="A787" s="13">
        <f ca="1">IFERROR(__xludf.DUMMYFUNCTION("""COMPUTED_VALUE"""),44985.6458333333)</f>
        <v>44985.645833333299</v>
      </c>
      <c r="B787" s="14">
        <f ca="1">IFERROR(__xludf.DUMMYFUNCTION("""COMPUTED_VALUE"""),3312.85)</f>
        <v>3312.85</v>
      </c>
      <c r="C787" s="15">
        <f t="shared" ca="1" si="6"/>
        <v>-5.702537629244997E-3</v>
      </c>
      <c r="D787" s="14">
        <f t="shared" ca="1" si="5"/>
        <v>3378.3149999999996</v>
      </c>
      <c r="E787" s="17"/>
      <c r="F787" s="17"/>
    </row>
    <row r="788" spans="1:6" ht="12.75" x14ac:dyDescent="0.2">
      <c r="A788" s="13">
        <f ca="1">IFERROR(__xludf.DUMMYFUNCTION("""COMPUTED_VALUE"""),44986.6458333333)</f>
        <v>44986.645833333299</v>
      </c>
      <c r="B788" s="14">
        <f ca="1">IFERROR(__xludf.DUMMYFUNCTION("""COMPUTED_VALUE"""),3385.7)</f>
        <v>3385.7</v>
      </c>
      <c r="C788" s="15">
        <f t="shared" ca="1" si="6"/>
        <v>2.1990129344823917E-2</v>
      </c>
      <c r="D788" s="14">
        <f t="shared" ca="1" si="5"/>
        <v>3381.15</v>
      </c>
      <c r="E788" s="17"/>
      <c r="F788" s="17"/>
    </row>
    <row r="789" spans="1:6" ht="12.75" x14ac:dyDescent="0.2">
      <c r="A789" s="13">
        <f ca="1">IFERROR(__xludf.DUMMYFUNCTION("""COMPUTED_VALUE"""),44987.6458333333)</f>
        <v>44987.645833333299</v>
      </c>
      <c r="B789" s="14">
        <f ca="1">IFERROR(__xludf.DUMMYFUNCTION("""COMPUTED_VALUE"""),3321.45)</f>
        <v>3321.45</v>
      </c>
      <c r="C789" s="15">
        <f t="shared" ca="1" si="6"/>
        <v>-1.8976873320140641E-2</v>
      </c>
      <c r="D789" s="14">
        <f t="shared" ca="1" si="5"/>
        <v>3382.2080000000005</v>
      </c>
      <c r="E789" s="17"/>
      <c r="F789" s="17"/>
    </row>
    <row r="790" spans="1:6" ht="12.75" x14ac:dyDescent="0.2">
      <c r="A790" s="13">
        <f ca="1">IFERROR(__xludf.DUMMYFUNCTION("""COMPUTED_VALUE"""),44988.6458333333)</f>
        <v>44988.645833333299</v>
      </c>
      <c r="B790" s="14">
        <f ca="1">IFERROR(__xludf.DUMMYFUNCTION("""COMPUTED_VALUE"""),3342.15)</f>
        <v>3342.15</v>
      </c>
      <c r="C790" s="15">
        <f t="shared" ca="1" si="6"/>
        <v>6.2322178566591724E-3</v>
      </c>
      <c r="D790" s="14">
        <f t="shared" ca="1" si="5"/>
        <v>3383.857</v>
      </c>
      <c r="E790" s="17"/>
      <c r="F790" s="17"/>
    </row>
    <row r="791" spans="1:6" ht="12.75" x14ac:dyDescent="0.2">
      <c r="A791" s="13">
        <f ca="1">IFERROR(__xludf.DUMMYFUNCTION("""COMPUTED_VALUE"""),44991.6458333333)</f>
        <v>44991.645833333299</v>
      </c>
      <c r="B791" s="14">
        <f ca="1">IFERROR(__xludf.DUMMYFUNCTION("""COMPUTED_VALUE"""),3371.85)</f>
        <v>3371.85</v>
      </c>
      <c r="C791" s="15">
        <f t="shared" ca="1" si="6"/>
        <v>8.8864952201426206E-3</v>
      </c>
      <c r="D791" s="14">
        <f t="shared" ca="1" si="5"/>
        <v>3386.7270000000008</v>
      </c>
      <c r="E791" s="17"/>
      <c r="F791" s="17"/>
    </row>
    <row r="792" spans="1:6" ht="12.75" x14ac:dyDescent="0.2">
      <c r="A792" s="13">
        <f ca="1">IFERROR(__xludf.DUMMYFUNCTION("""COMPUTED_VALUE"""),44993.6458333333)</f>
        <v>44993.645833333299</v>
      </c>
      <c r="B792" s="14">
        <f ca="1">IFERROR(__xludf.DUMMYFUNCTION("""COMPUTED_VALUE"""),3390.4)</f>
        <v>3390.4</v>
      </c>
      <c r="C792" s="15">
        <f t="shared" ca="1" si="6"/>
        <v>5.5014309651972848E-3</v>
      </c>
      <c r="D792" s="14">
        <f t="shared" ca="1" si="5"/>
        <v>3389.4770000000003</v>
      </c>
      <c r="E792" s="17"/>
      <c r="F792" s="17"/>
    </row>
    <row r="793" spans="1:6" ht="12.75" x14ac:dyDescent="0.2">
      <c r="A793" s="13">
        <f ca="1">IFERROR(__xludf.DUMMYFUNCTION("""COMPUTED_VALUE"""),44994.6458333333)</f>
        <v>44994.645833333299</v>
      </c>
      <c r="B793" s="14">
        <f ca="1">IFERROR(__xludf.DUMMYFUNCTION("""COMPUTED_VALUE"""),3336.85)</f>
        <v>3336.85</v>
      </c>
      <c r="C793" s="15">
        <f t="shared" ca="1" si="6"/>
        <v>-1.5794596507786696E-2</v>
      </c>
      <c r="D793" s="14">
        <f t="shared" ca="1" si="5"/>
        <v>3391.0240000000003</v>
      </c>
      <c r="E793" s="17"/>
      <c r="F793" s="17"/>
    </row>
    <row r="794" spans="1:6" ht="12.75" x14ac:dyDescent="0.2">
      <c r="A794" s="13">
        <f ca="1">IFERROR(__xludf.DUMMYFUNCTION("""COMPUTED_VALUE"""),44995.6458333333)</f>
        <v>44995.645833333299</v>
      </c>
      <c r="B794" s="14">
        <f ca="1">IFERROR(__xludf.DUMMYFUNCTION("""COMPUTED_VALUE"""),3331)</f>
        <v>3331</v>
      </c>
      <c r="C794" s="15">
        <f t="shared" ca="1" si="6"/>
        <v>-1.7531504263001985E-3</v>
      </c>
      <c r="D794" s="14">
        <f t="shared" ca="1" si="5"/>
        <v>3392.5020000000009</v>
      </c>
      <c r="E794" s="17"/>
      <c r="F794" s="17"/>
    </row>
    <row r="795" spans="1:6" ht="12.75" x14ac:dyDescent="0.2">
      <c r="A795" s="13">
        <f ca="1">IFERROR(__xludf.DUMMYFUNCTION("""COMPUTED_VALUE"""),44998.6458333333)</f>
        <v>44998.645833333299</v>
      </c>
      <c r="B795" s="14">
        <f ca="1">IFERROR(__xludf.DUMMYFUNCTION("""COMPUTED_VALUE"""),3281.95)</f>
        <v>3281.95</v>
      </c>
      <c r="C795" s="15">
        <f t="shared" ca="1" si="6"/>
        <v>-1.4725307715400815E-2</v>
      </c>
      <c r="D795" s="14">
        <f t="shared" ca="1" si="5"/>
        <v>3392.7660000000014</v>
      </c>
      <c r="E795" s="17"/>
      <c r="F795" s="17"/>
    </row>
    <row r="796" spans="1:6" ht="12.75" x14ac:dyDescent="0.2">
      <c r="A796" s="13">
        <f ca="1">IFERROR(__xludf.DUMMYFUNCTION("""COMPUTED_VALUE"""),44999.6458333333)</f>
        <v>44999.645833333299</v>
      </c>
      <c r="B796" s="14">
        <f ca="1">IFERROR(__xludf.DUMMYFUNCTION("""COMPUTED_VALUE"""),3214.95)</f>
        <v>3214.95</v>
      </c>
      <c r="C796" s="15">
        <f t="shared" ca="1" si="6"/>
        <v>-2.0414692484650887E-2</v>
      </c>
      <c r="D796" s="14">
        <f t="shared" ca="1" si="5"/>
        <v>3391.9310000000014</v>
      </c>
      <c r="E796" s="17"/>
      <c r="F796" s="17"/>
    </row>
    <row r="797" spans="1:6" ht="12.75" x14ac:dyDescent="0.2">
      <c r="A797" s="13">
        <f ca="1">IFERROR(__xludf.DUMMYFUNCTION("""COMPUTED_VALUE"""),45000.6458333333)</f>
        <v>45000.645833333299</v>
      </c>
      <c r="B797" s="14">
        <f ca="1">IFERROR(__xludf.DUMMYFUNCTION("""COMPUTED_VALUE"""),3198.9)</f>
        <v>3198.9</v>
      </c>
      <c r="C797" s="15">
        <f t="shared" ca="1" si="6"/>
        <v>-4.9923015910043889E-3</v>
      </c>
      <c r="D797" s="14">
        <f t="shared" ca="1" si="5"/>
        <v>3390.6800000000012</v>
      </c>
      <c r="E797" s="17"/>
      <c r="F797" s="17"/>
    </row>
    <row r="798" spans="1:6" ht="12.75" x14ac:dyDescent="0.2">
      <c r="A798" s="13">
        <f ca="1">IFERROR(__xludf.DUMMYFUNCTION("""COMPUTED_VALUE"""),45001.6458333333)</f>
        <v>45001.645833333299</v>
      </c>
      <c r="B798" s="14">
        <f ca="1">IFERROR(__xludf.DUMMYFUNCTION("""COMPUTED_VALUE"""),3185)</f>
        <v>3185</v>
      </c>
      <c r="C798" s="15">
        <f t="shared" ca="1" si="6"/>
        <v>-4.34524367751421E-3</v>
      </c>
      <c r="D798" s="14">
        <f t="shared" ca="1" si="5"/>
        <v>3388.1530000000012</v>
      </c>
      <c r="E798" s="17"/>
      <c r="F798" s="17"/>
    </row>
    <row r="799" spans="1:6" ht="12.75" x14ac:dyDescent="0.2">
      <c r="A799" s="13">
        <f ca="1">IFERROR(__xludf.DUMMYFUNCTION("""COMPUTED_VALUE"""),45002.6458333333)</f>
        <v>45002.645833333299</v>
      </c>
      <c r="B799" s="14">
        <f ca="1">IFERROR(__xludf.DUMMYFUNCTION("""COMPUTED_VALUE"""),3179.3)</f>
        <v>3179.3</v>
      </c>
      <c r="C799" s="15">
        <f t="shared" ca="1" si="6"/>
        <v>-1.7896389324960627E-3</v>
      </c>
      <c r="D799" s="14">
        <f t="shared" ca="1" si="5"/>
        <v>3385.4460000000008</v>
      </c>
      <c r="E799" s="17"/>
      <c r="F799" s="17"/>
    </row>
    <row r="800" spans="1:6" ht="12.75" x14ac:dyDescent="0.2">
      <c r="A800" s="13">
        <f ca="1">IFERROR(__xludf.DUMMYFUNCTION("""COMPUTED_VALUE"""),45005.6458333333)</f>
        <v>45005.645833333299</v>
      </c>
      <c r="B800" s="14">
        <f ca="1">IFERROR(__xludf.DUMMYFUNCTION("""COMPUTED_VALUE"""),3143.3)</f>
        <v>3143.3</v>
      </c>
      <c r="C800" s="15">
        <f t="shared" ca="1" si="6"/>
        <v>-1.1323247255685231E-2</v>
      </c>
      <c r="D800" s="14">
        <f t="shared" ca="1" si="5"/>
        <v>3382.0900000000006</v>
      </c>
      <c r="E800" s="17"/>
      <c r="F800" s="17"/>
    </row>
    <row r="801" spans="1:6" ht="12.75" x14ac:dyDescent="0.2">
      <c r="A801" s="13">
        <f ca="1">IFERROR(__xludf.DUMMYFUNCTION("""COMPUTED_VALUE"""),45006.6458333333)</f>
        <v>45006.645833333299</v>
      </c>
      <c r="B801" s="14">
        <f ca="1">IFERROR(__xludf.DUMMYFUNCTION("""COMPUTED_VALUE"""),3106.1)</f>
        <v>3106.1</v>
      </c>
      <c r="C801" s="15">
        <f t="shared" ca="1" si="6"/>
        <v>-1.1834696020106339E-2</v>
      </c>
      <c r="D801" s="14">
        <f t="shared" ca="1" si="5"/>
        <v>3379.9810000000011</v>
      </c>
      <c r="E801" s="17"/>
      <c r="F801" s="17"/>
    </row>
    <row r="802" spans="1:6" ht="12.75" x14ac:dyDescent="0.2">
      <c r="A802" s="13">
        <f ca="1">IFERROR(__xludf.DUMMYFUNCTION("""COMPUTED_VALUE"""),45007.6458333333)</f>
        <v>45007.645833333299</v>
      </c>
      <c r="B802" s="14">
        <f ca="1">IFERROR(__xludf.DUMMYFUNCTION("""COMPUTED_VALUE"""),3130.8)</f>
        <v>3130.8</v>
      </c>
      <c r="C802" s="15">
        <f t="shared" ca="1" si="6"/>
        <v>7.9520942661215344E-3</v>
      </c>
      <c r="D802" s="14">
        <f t="shared" ca="1" si="5"/>
        <v>3376.1979999999999</v>
      </c>
      <c r="E802" s="17"/>
      <c r="F802" s="17"/>
    </row>
    <row r="803" spans="1:6" ht="12.75" x14ac:dyDescent="0.2">
      <c r="A803" s="13">
        <f ca="1">IFERROR(__xludf.DUMMYFUNCTION("""COMPUTED_VALUE"""),45008.6458333333)</f>
        <v>45008.645833333299</v>
      </c>
      <c r="B803" s="14">
        <f ca="1">IFERROR(__xludf.DUMMYFUNCTION("""COMPUTED_VALUE"""),3124.65)</f>
        <v>3124.65</v>
      </c>
      <c r="C803" s="15">
        <f t="shared" ca="1" si="6"/>
        <v>-1.9643541586815694E-3</v>
      </c>
      <c r="D803" s="14">
        <f t="shared" ca="1" si="5"/>
        <v>3372.9629999999997</v>
      </c>
      <c r="E803" s="17"/>
      <c r="F803" s="17"/>
    </row>
    <row r="804" spans="1:6" ht="12.75" x14ac:dyDescent="0.2">
      <c r="A804" s="13">
        <f ca="1">IFERROR(__xludf.DUMMYFUNCTION("""COMPUTED_VALUE"""),45009.6458333333)</f>
        <v>45009.645833333299</v>
      </c>
      <c r="B804" s="14">
        <f ca="1">IFERROR(__xludf.DUMMYFUNCTION("""COMPUTED_VALUE"""),3120.5)</f>
        <v>3120.5</v>
      </c>
      <c r="C804" s="15">
        <f t="shared" ca="1" si="6"/>
        <v>-1.3281487526602964E-3</v>
      </c>
      <c r="D804" s="14">
        <f t="shared" ca="1" si="5"/>
        <v>3368.7989999999995</v>
      </c>
      <c r="E804" s="17"/>
      <c r="F804" s="17"/>
    </row>
    <row r="805" spans="1:6" ht="12.75" x14ac:dyDescent="0.2">
      <c r="A805" s="13">
        <f ca="1">IFERROR(__xludf.DUMMYFUNCTION("""COMPUTED_VALUE"""),45012.6458333333)</f>
        <v>45012.645833333299</v>
      </c>
      <c r="B805" s="14">
        <f ca="1">IFERROR(__xludf.DUMMYFUNCTION("""COMPUTED_VALUE"""),3122.3)</f>
        <v>3122.3</v>
      </c>
      <c r="C805" s="15">
        <f t="shared" ca="1" si="6"/>
        <v>5.7683063611602137E-4</v>
      </c>
      <c r="D805" s="14">
        <f t="shared" ca="1" si="5"/>
        <v>3364.5579999999991</v>
      </c>
      <c r="E805" s="17"/>
      <c r="F805" s="17"/>
    </row>
    <row r="806" spans="1:6" ht="12.75" x14ac:dyDescent="0.2">
      <c r="A806" s="13">
        <f ca="1">IFERROR(__xludf.DUMMYFUNCTION("""COMPUTED_VALUE"""),45013.6458333333)</f>
        <v>45013.645833333299</v>
      </c>
      <c r="B806" s="14">
        <f ca="1">IFERROR(__xludf.DUMMYFUNCTION("""COMPUTED_VALUE"""),3115.9)</f>
        <v>3115.9</v>
      </c>
      <c r="C806" s="15">
        <f t="shared" ca="1" si="6"/>
        <v>-2.0497710021458726E-3</v>
      </c>
      <c r="D806" s="14">
        <f t="shared" ca="1" si="5"/>
        <v>3359.3849999999993</v>
      </c>
      <c r="E806" s="17"/>
      <c r="F806" s="17"/>
    </row>
    <row r="807" spans="1:6" ht="12.75" x14ac:dyDescent="0.2">
      <c r="A807" s="13">
        <f ca="1">IFERROR(__xludf.DUMMYFUNCTION("""COMPUTED_VALUE"""),45014.6458333333)</f>
        <v>45014.645833333299</v>
      </c>
      <c r="B807" s="14">
        <f ca="1">IFERROR(__xludf.DUMMYFUNCTION("""COMPUTED_VALUE"""),3138.9)</f>
        <v>3138.9</v>
      </c>
      <c r="C807" s="15">
        <f t="shared" ca="1" si="6"/>
        <v>7.381494913187181E-3</v>
      </c>
      <c r="D807" s="14">
        <f t="shared" ca="1" si="5"/>
        <v>3355.4819999999991</v>
      </c>
      <c r="E807" s="17"/>
      <c r="F807" s="17"/>
    </row>
    <row r="808" spans="1:6" ht="12.75" x14ac:dyDescent="0.2">
      <c r="A808" s="13">
        <f ca="1">IFERROR(__xludf.DUMMYFUNCTION("""COMPUTED_VALUE"""),45016.6458333333)</f>
        <v>45016.645833333299</v>
      </c>
      <c r="B808" s="14">
        <f ca="1">IFERROR(__xludf.DUMMYFUNCTION("""COMPUTED_VALUE"""),3205.9)</f>
        <v>3205.9</v>
      </c>
      <c r="C808" s="15">
        <f t="shared" ca="1" si="6"/>
        <v>2.1345057185638172E-2</v>
      </c>
      <c r="D808" s="14">
        <f t="shared" ca="1" si="5"/>
        <v>3352.0319999999988</v>
      </c>
      <c r="E808" s="17"/>
      <c r="F808" s="17"/>
    </row>
    <row r="809" spans="1:6" ht="12.75" x14ac:dyDescent="0.2">
      <c r="A809" s="13">
        <f ca="1">IFERROR(__xludf.DUMMYFUNCTION("""COMPUTED_VALUE"""),45019.6458333333)</f>
        <v>45019.645833333299</v>
      </c>
      <c r="B809" s="14">
        <f ca="1">IFERROR(__xludf.DUMMYFUNCTION("""COMPUTED_VALUE"""),3200)</f>
        <v>3200</v>
      </c>
      <c r="C809" s="15">
        <f t="shared" ca="1" si="6"/>
        <v>-1.8403568420725103E-3</v>
      </c>
      <c r="D809" s="14">
        <f t="shared" ca="1" si="5"/>
        <v>3348.2319999999991</v>
      </c>
      <c r="E809" s="17"/>
      <c r="F809" s="17"/>
    </row>
    <row r="810" spans="1:6" ht="12.75" x14ac:dyDescent="0.2">
      <c r="A810" s="13">
        <f ca="1">IFERROR(__xludf.DUMMYFUNCTION("""COMPUTED_VALUE"""),45021.6458333333)</f>
        <v>45021.645833333299</v>
      </c>
      <c r="B810" s="14">
        <f ca="1">IFERROR(__xludf.DUMMYFUNCTION("""COMPUTED_VALUE"""),3239.8)</f>
        <v>3239.8</v>
      </c>
      <c r="C810" s="15">
        <f t="shared" ca="1" si="6"/>
        <v>1.2437500000000101E-2</v>
      </c>
      <c r="D810" s="14">
        <f t="shared" ca="1" si="5"/>
        <v>3345.5659999999984</v>
      </c>
      <c r="E810" s="17"/>
      <c r="F810" s="17"/>
    </row>
    <row r="811" spans="1:6" ht="12.75" x14ac:dyDescent="0.2">
      <c r="A811" s="13">
        <f ca="1">IFERROR(__xludf.DUMMYFUNCTION("""COMPUTED_VALUE"""),45022.6458333333)</f>
        <v>45022.645833333299</v>
      </c>
      <c r="B811" s="14">
        <f ca="1">IFERROR(__xludf.DUMMYFUNCTION("""COMPUTED_VALUE"""),3220.7)</f>
        <v>3220.7</v>
      </c>
      <c r="C811" s="15">
        <f t="shared" ca="1" si="6"/>
        <v>-5.8954256435583829E-3</v>
      </c>
      <c r="D811" s="14">
        <f t="shared" ca="1" si="5"/>
        <v>3342.7179999999994</v>
      </c>
      <c r="E811" s="17"/>
      <c r="F811" s="17"/>
    </row>
    <row r="812" spans="1:6" ht="12.75" x14ac:dyDescent="0.2">
      <c r="A812" s="13">
        <f ca="1">IFERROR(__xludf.DUMMYFUNCTION("""COMPUTED_VALUE"""),45026.6458333333)</f>
        <v>45026.645833333299</v>
      </c>
      <c r="B812" s="14">
        <f ca="1">IFERROR(__xludf.DUMMYFUNCTION("""COMPUTED_VALUE"""),3263.4)</f>
        <v>3263.4</v>
      </c>
      <c r="C812" s="15">
        <f t="shared" ca="1" si="6"/>
        <v>1.3257987394044823E-2</v>
      </c>
      <c r="D812" s="14">
        <f t="shared" ca="1" si="5"/>
        <v>3339.6879999999992</v>
      </c>
      <c r="E812" s="17"/>
      <c r="F812" s="17"/>
    </row>
    <row r="813" spans="1:6" ht="12.75" x14ac:dyDescent="0.2">
      <c r="A813" s="13">
        <f ca="1">IFERROR(__xludf.DUMMYFUNCTION("""COMPUTED_VALUE"""),45027.6458333333)</f>
        <v>45027.645833333299</v>
      </c>
      <c r="B813" s="14">
        <f ca="1">IFERROR(__xludf.DUMMYFUNCTION("""COMPUTED_VALUE"""),3213.8)</f>
        <v>3213.8</v>
      </c>
      <c r="C813" s="15">
        <f t="shared" ca="1" si="6"/>
        <v>-1.5198872341729452E-2</v>
      </c>
      <c r="D813" s="14">
        <f t="shared" ca="1" si="5"/>
        <v>3335.2379999999994</v>
      </c>
      <c r="E813" s="17"/>
      <c r="F813" s="17"/>
    </row>
    <row r="814" spans="1:6" ht="12.75" x14ac:dyDescent="0.2">
      <c r="A814" s="13">
        <f ca="1">IFERROR(__xludf.DUMMYFUNCTION("""COMPUTED_VALUE"""),45028.6458333333)</f>
        <v>45028.645833333299</v>
      </c>
      <c r="B814" s="14">
        <f ca="1">IFERROR(__xludf.DUMMYFUNCTION("""COMPUTED_VALUE"""),3241.65)</f>
        <v>3241.65</v>
      </c>
      <c r="C814" s="15">
        <f t="shared" ca="1" si="6"/>
        <v>8.6657539361503222E-3</v>
      </c>
      <c r="D814" s="14">
        <f t="shared" ca="1" si="5"/>
        <v>3331.4759999999992</v>
      </c>
      <c r="E814" s="17"/>
      <c r="F814" s="17"/>
    </row>
    <row r="815" spans="1:6" ht="12.75" x14ac:dyDescent="0.2">
      <c r="A815" s="13">
        <f ca="1">IFERROR(__xludf.DUMMYFUNCTION("""COMPUTED_VALUE"""),45029.6458333333)</f>
        <v>45029.645833333299</v>
      </c>
      <c r="B815" s="14">
        <f ca="1">IFERROR(__xludf.DUMMYFUNCTION("""COMPUTED_VALUE"""),3188.85)</f>
        <v>3188.85</v>
      </c>
      <c r="C815" s="15">
        <f t="shared" ca="1" si="6"/>
        <v>-1.628800148072751E-2</v>
      </c>
      <c r="D815" s="14">
        <f t="shared" ca="1" si="5"/>
        <v>3327.0319999999997</v>
      </c>
      <c r="E815" s="17"/>
      <c r="F815" s="17"/>
    </row>
    <row r="816" spans="1:6" ht="12.75" x14ac:dyDescent="0.2">
      <c r="A816" s="13">
        <f ca="1">IFERROR(__xludf.DUMMYFUNCTION("""COMPUTED_VALUE"""),45033.6458333333)</f>
        <v>45033.645833333299</v>
      </c>
      <c r="B816" s="14">
        <f ca="1">IFERROR(__xludf.DUMMYFUNCTION("""COMPUTED_VALUE"""),3139.5)</f>
        <v>3139.5</v>
      </c>
      <c r="C816" s="15">
        <f t="shared" ca="1" si="6"/>
        <v>-1.5475798485347303E-2</v>
      </c>
      <c r="D816" s="14">
        <f t="shared" ref="D816:D1070" ca="1" si="7">AVERAGE(B767:B816)</f>
        <v>3321.1489999999994</v>
      </c>
      <c r="E816" s="17"/>
      <c r="F816" s="17"/>
    </row>
    <row r="817" spans="1:6" ht="12.75" x14ac:dyDescent="0.2">
      <c r="A817" s="13">
        <f ca="1">IFERROR(__xludf.DUMMYFUNCTION("""COMPUTED_VALUE"""),45034.6458333333)</f>
        <v>45034.645833333299</v>
      </c>
      <c r="B817" s="14">
        <f ca="1">IFERROR(__xludf.DUMMYFUNCTION("""COMPUTED_VALUE"""),3130.75)</f>
        <v>3130.75</v>
      </c>
      <c r="C817" s="15">
        <f t="shared" ca="1" si="6"/>
        <v>-2.7870680044592699E-3</v>
      </c>
      <c r="D817" s="14">
        <f t="shared" ca="1" si="7"/>
        <v>3316.5899999999992</v>
      </c>
      <c r="E817" s="17"/>
      <c r="F817" s="17"/>
    </row>
    <row r="818" spans="1:6" ht="12.75" x14ac:dyDescent="0.2">
      <c r="A818" s="13">
        <f ca="1">IFERROR(__xludf.DUMMYFUNCTION("""COMPUTED_VALUE"""),45035.6458333333)</f>
        <v>45035.645833333299</v>
      </c>
      <c r="B818" s="14">
        <f ca="1">IFERROR(__xludf.DUMMYFUNCTION("""COMPUTED_VALUE"""),3089.6)</f>
        <v>3089.6</v>
      </c>
      <c r="C818" s="15">
        <f t="shared" ca="1" si="6"/>
        <v>-1.3143815379701329E-2</v>
      </c>
      <c r="D818" s="14">
        <f t="shared" ca="1" si="7"/>
        <v>3310.2149999999992</v>
      </c>
      <c r="E818" s="17"/>
      <c r="F818" s="17"/>
    </row>
    <row r="819" spans="1:6" ht="12.75" x14ac:dyDescent="0.2">
      <c r="A819" s="13">
        <f ca="1">IFERROR(__xludf.DUMMYFUNCTION("""COMPUTED_VALUE"""),45036.6458333333)</f>
        <v>45036.645833333299</v>
      </c>
      <c r="B819" s="14">
        <f ca="1">IFERROR(__xludf.DUMMYFUNCTION("""COMPUTED_VALUE"""),3104.8)</f>
        <v>3104.8</v>
      </c>
      <c r="C819" s="15">
        <f t="shared" ca="1" si="6"/>
        <v>4.9197307094770437E-3</v>
      </c>
      <c r="D819" s="14">
        <f t="shared" ca="1" si="7"/>
        <v>3303.1029999999992</v>
      </c>
      <c r="E819" s="17"/>
      <c r="F819" s="17"/>
    </row>
    <row r="820" spans="1:6" ht="12.75" x14ac:dyDescent="0.2">
      <c r="A820" s="13">
        <f ca="1">IFERROR(__xludf.DUMMYFUNCTION("""COMPUTED_VALUE"""),45037.6458333333)</f>
        <v>45037.645833333299</v>
      </c>
      <c r="B820" s="14">
        <f ca="1">IFERROR(__xludf.DUMMYFUNCTION("""COMPUTED_VALUE"""),3160.85)</f>
        <v>3160.85</v>
      </c>
      <c r="C820" s="15">
        <f t="shared" ca="1" si="6"/>
        <v>1.8052692604998644E-2</v>
      </c>
      <c r="D820" s="14">
        <f t="shared" ca="1" si="7"/>
        <v>3296.6739999999995</v>
      </c>
      <c r="E820" s="17"/>
      <c r="F820" s="17"/>
    </row>
    <row r="821" spans="1:6" ht="12.75" x14ac:dyDescent="0.2">
      <c r="A821" s="13">
        <f ca="1">IFERROR(__xludf.DUMMYFUNCTION("""COMPUTED_VALUE"""),45040.6458333333)</f>
        <v>45040.645833333299</v>
      </c>
      <c r="B821" s="14">
        <f ca="1">IFERROR(__xludf.DUMMYFUNCTION("""COMPUTED_VALUE"""),3174.8)</f>
        <v>3174.8</v>
      </c>
      <c r="C821" s="15">
        <f t="shared" ca="1" si="6"/>
        <v>4.4133698214088302E-3</v>
      </c>
      <c r="D821" s="14">
        <f t="shared" ca="1" si="7"/>
        <v>3290.9709999999991</v>
      </c>
      <c r="E821" s="17"/>
      <c r="F821" s="17"/>
    </row>
    <row r="822" spans="1:6" ht="12.75" x14ac:dyDescent="0.2">
      <c r="A822" s="13">
        <f ca="1">IFERROR(__xludf.DUMMYFUNCTION("""COMPUTED_VALUE"""),45041.6458333333)</f>
        <v>45041.645833333299</v>
      </c>
      <c r="B822" s="14">
        <f ca="1">IFERROR(__xludf.DUMMYFUNCTION("""COMPUTED_VALUE"""),3176)</f>
        <v>3176</v>
      </c>
      <c r="C822" s="15">
        <f t="shared" ca="1" si="6"/>
        <v>3.7797656545279779E-4</v>
      </c>
      <c r="D822" s="14">
        <f t="shared" ca="1" si="7"/>
        <v>3285.0399999999995</v>
      </c>
      <c r="E822" s="17"/>
      <c r="F822" s="17"/>
    </row>
    <row r="823" spans="1:6" ht="12.75" x14ac:dyDescent="0.2">
      <c r="A823" s="13">
        <f ca="1">IFERROR(__xludf.DUMMYFUNCTION("""COMPUTED_VALUE"""),45042.6458333333)</f>
        <v>45042.645833333299</v>
      </c>
      <c r="B823" s="14">
        <f ca="1">IFERROR(__xludf.DUMMYFUNCTION("""COMPUTED_VALUE"""),3198.15)</f>
        <v>3198.15</v>
      </c>
      <c r="C823" s="15">
        <f t="shared" ca="1" si="6"/>
        <v>6.974181360201559E-3</v>
      </c>
      <c r="D823" s="14">
        <f t="shared" ca="1" si="7"/>
        <v>3278.6009999999992</v>
      </c>
      <c r="E823" s="17"/>
      <c r="F823" s="17"/>
    </row>
    <row r="824" spans="1:6" ht="12.75" x14ac:dyDescent="0.2">
      <c r="A824" s="13">
        <f ca="1">IFERROR(__xludf.DUMMYFUNCTION("""COMPUTED_VALUE"""),45043.6458333333)</f>
        <v>45043.645833333299</v>
      </c>
      <c r="B824" s="14">
        <f ca="1">IFERROR(__xludf.DUMMYFUNCTION("""COMPUTED_VALUE"""),3187.95)</f>
        <v>3187.95</v>
      </c>
      <c r="C824" s="15">
        <f t="shared" ca="1" si="6"/>
        <v>-3.1893438394072771E-3</v>
      </c>
      <c r="D824" s="14">
        <f t="shared" ca="1" si="7"/>
        <v>3271.5429999999992</v>
      </c>
      <c r="E824" s="17"/>
      <c r="F824" s="17"/>
    </row>
    <row r="825" spans="1:6" ht="12.75" x14ac:dyDescent="0.2">
      <c r="A825" s="13">
        <f ca="1">IFERROR(__xludf.DUMMYFUNCTION("""COMPUTED_VALUE"""),45044.6458333333)</f>
        <v>45044.645833333299</v>
      </c>
      <c r="B825" s="14">
        <f ca="1">IFERROR(__xludf.DUMMYFUNCTION("""COMPUTED_VALUE"""),3219.25)</f>
        <v>3219.25</v>
      </c>
      <c r="C825" s="15">
        <f t="shared" ca="1" si="6"/>
        <v>9.8182217412443595E-3</v>
      </c>
      <c r="D825" s="14">
        <f t="shared" ca="1" si="7"/>
        <v>3265.1769999999988</v>
      </c>
      <c r="E825" s="17"/>
      <c r="F825" s="17"/>
    </row>
    <row r="826" spans="1:6" ht="12.75" x14ac:dyDescent="0.2">
      <c r="A826" s="13">
        <f ca="1">IFERROR(__xludf.DUMMYFUNCTION("""COMPUTED_VALUE"""),45048.6458333333)</f>
        <v>45048.645833333299</v>
      </c>
      <c r="B826" s="14">
        <f ca="1">IFERROR(__xludf.DUMMYFUNCTION("""COMPUTED_VALUE"""),3219.4)</f>
        <v>3219.4</v>
      </c>
      <c r="C826" s="15">
        <f t="shared" ca="1" si="6"/>
        <v>4.6594703735358678E-5</v>
      </c>
      <c r="D826" s="14">
        <f t="shared" ca="1" si="7"/>
        <v>3259.9169999999995</v>
      </c>
      <c r="E826" s="17"/>
      <c r="F826" s="17"/>
    </row>
    <row r="827" spans="1:6" ht="12.75" x14ac:dyDescent="0.2">
      <c r="A827" s="13">
        <f ca="1">IFERROR(__xludf.DUMMYFUNCTION("""COMPUTED_VALUE"""),45049.6458333333)</f>
        <v>45049.645833333299</v>
      </c>
      <c r="B827" s="14">
        <f ca="1">IFERROR(__xludf.DUMMYFUNCTION("""COMPUTED_VALUE"""),3179.9)</f>
        <v>3179.9</v>
      </c>
      <c r="C827" s="15">
        <f t="shared" ca="1" si="6"/>
        <v>-1.2269366962788131E-2</v>
      </c>
      <c r="D827" s="14">
        <f t="shared" ca="1" si="7"/>
        <v>3253.5129999999995</v>
      </c>
      <c r="E827" s="17"/>
      <c r="F827" s="17"/>
    </row>
    <row r="828" spans="1:6" ht="12.75" x14ac:dyDescent="0.2">
      <c r="A828" s="13">
        <f ca="1">IFERROR(__xludf.DUMMYFUNCTION("""COMPUTED_VALUE"""),45050.6458333333)</f>
        <v>45050.645833333299</v>
      </c>
      <c r="B828" s="14">
        <f ca="1">IFERROR(__xludf.DUMMYFUNCTION("""COMPUTED_VALUE"""),3220.7)</f>
        <v>3220.7</v>
      </c>
      <c r="C828" s="15">
        <f t="shared" ca="1" si="6"/>
        <v>1.2830592156986009E-2</v>
      </c>
      <c r="D828" s="14">
        <f t="shared" ca="1" si="7"/>
        <v>3247.5139999999997</v>
      </c>
      <c r="E828" s="17"/>
      <c r="F828" s="17"/>
    </row>
    <row r="829" spans="1:6" ht="12.75" x14ac:dyDescent="0.2">
      <c r="A829" s="13">
        <f ca="1">IFERROR(__xludf.DUMMYFUNCTION("""COMPUTED_VALUE"""),45051.6458333333)</f>
        <v>45051.645833333299</v>
      </c>
      <c r="B829" s="14">
        <f ca="1">IFERROR(__xludf.DUMMYFUNCTION("""COMPUTED_VALUE"""),3230.7)</f>
        <v>3230.7</v>
      </c>
      <c r="C829" s="15">
        <f t="shared" ca="1" si="6"/>
        <v>3.1049150805726455E-3</v>
      </c>
      <c r="D829" s="14">
        <f t="shared" ca="1" si="7"/>
        <v>3240.9670000000001</v>
      </c>
      <c r="E829" s="17"/>
      <c r="F829" s="17"/>
    </row>
    <row r="830" spans="1:6" ht="12.75" x14ac:dyDescent="0.2">
      <c r="A830" s="13">
        <f ca="1">IFERROR(__xludf.DUMMYFUNCTION("""COMPUTED_VALUE"""),45054.6458333333)</f>
        <v>45054.645833333299</v>
      </c>
      <c r="B830" s="14">
        <f ca="1">IFERROR(__xludf.DUMMYFUNCTION("""COMPUTED_VALUE"""),3250.6)</f>
        <v>3250.6</v>
      </c>
      <c r="C830" s="15">
        <f t="shared" ca="1" si="6"/>
        <v>6.1596558021481673E-3</v>
      </c>
      <c r="D830" s="14">
        <f t="shared" ca="1" si="7"/>
        <v>3235.9560000000001</v>
      </c>
      <c r="E830" s="17"/>
      <c r="F830" s="17"/>
    </row>
    <row r="831" spans="1:6" ht="12.75" x14ac:dyDescent="0.2">
      <c r="A831" s="13">
        <f ca="1">IFERROR(__xludf.DUMMYFUNCTION("""COMPUTED_VALUE"""),45055.6458333333)</f>
        <v>45055.645833333299</v>
      </c>
      <c r="B831" s="14">
        <f ca="1">IFERROR(__xludf.DUMMYFUNCTION("""COMPUTED_VALUE"""),3283.25)</f>
        <v>3283.25</v>
      </c>
      <c r="C831" s="15">
        <f t="shared" ca="1" si="6"/>
        <v>1.0044299513935817E-2</v>
      </c>
      <c r="D831" s="14">
        <f t="shared" ca="1" si="7"/>
        <v>3231.8750000000005</v>
      </c>
      <c r="E831" s="17"/>
      <c r="F831" s="17"/>
    </row>
    <row r="832" spans="1:6" ht="12.75" x14ac:dyDescent="0.2">
      <c r="A832" s="13">
        <f ca="1">IFERROR(__xludf.DUMMYFUNCTION("""COMPUTED_VALUE"""),45056.6458333333)</f>
        <v>45056.645833333299</v>
      </c>
      <c r="B832" s="14">
        <f ca="1">IFERROR(__xludf.DUMMYFUNCTION("""COMPUTED_VALUE"""),3286.8)</f>
        <v>3286.8</v>
      </c>
      <c r="C832" s="15">
        <f t="shared" ca="1" si="6"/>
        <v>1.0812457168964951E-3</v>
      </c>
      <c r="D832" s="14">
        <f t="shared" ca="1" si="7"/>
        <v>3228.5910000000003</v>
      </c>
      <c r="E832" s="17"/>
      <c r="F832" s="17"/>
    </row>
    <row r="833" spans="1:6" ht="12.75" x14ac:dyDescent="0.2">
      <c r="A833" s="13">
        <f ca="1">IFERROR(__xludf.DUMMYFUNCTION("""COMPUTED_VALUE"""),45057.6458333333)</f>
        <v>45057.645833333299</v>
      </c>
      <c r="B833" s="14">
        <f ca="1">IFERROR(__xludf.DUMMYFUNCTION("""COMPUTED_VALUE"""),3282.15)</f>
        <v>3282.15</v>
      </c>
      <c r="C833" s="15">
        <f t="shared" ca="1" si="6"/>
        <v>-1.4147499087258097E-3</v>
      </c>
      <c r="D833" s="14">
        <f t="shared" ca="1" si="7"/>
        <v>3226.2030000000004</v>
      </c>
      <c r="E833" s="17"/>
      <c r="F833" s="17"/>
    </row>
    <row r="834" spans="1:6" ht="12.75" x14ac:dyDescent="0.2">
      <c r="A834" s="13">
        <f ca="1">IFERROR(__xludf.DUMMYFUNCTION("""COMPUTED_VALUE"""),45058.6458333333)</f>
        <v>45058.645833333299</v>
      </c>
      <c r="B834" s="14">
        <f ca="1">IFERROR(__xludf.DUMMYFUNCTION("""COMPUTED_VALUE"""),3274.3)</f>
        <v>3274.3</v>
      </c>
      <c r="C834" s="15">
        <f t="shared" ca="1" si="6"/>
        <v>-2.3917249363983872E-3</v>
      </c>
      <c r="D834" s="14">
        <f t="shared" ca="1" si="7"/>
        <v>3223.4129999999991</v>
      </c>
      <c r="E834" s="17"/>
      <c r="F834" s="17"/>
    </row>
    <row r="835" spans="1:6" ht="12.75" x14ac:dyDescent="0.2">
      <c r="A835" s="13">
        <f ca="1">IFERROR(__xludf.DUMMYFUNCTION("""COMPUTED_VALUE"""),45061.6458333333)</f>
        <v>45061.645833333299</v>
      </c>
      <c r="B835" s="14">
        <f ca="1">IFERROR(__xludf.DUMMYFUNCTION("""COMPUTED_VALUE"""),3255.05)</f>
        <v>3255.05</v>
      </c>
      <c r="C835" s="15">
        <f t="shared" ca="1" si="6"/>
        <v>-5.8791192010505533E-3</v>
      </c>
      <c r="D835" s="14">
        <f t="shared" ca="1" si="7"/>
        <v>3220.5049999999992</v>
      </c>
      <c r="E835" s="17"/>
      <c r="F835" s="17"/>
    </row>
    <row r="836" spans="1:6" ht="12.75" x14ac:dyDescent="0.2">
      <c r="A836" s="13">
        <f ca="1">IFERROR(__xludf.DUMMYFUNCTION("""COMPUTED_VALUE"""),45062.6458333333)</f>
        <v>45062.645833333299</v>
      </c>
      <c r="B836" s="14">
        <f ca="1">IFERROR(__xludf.DUMMYFUNCTION("""COMPUTED_VALUE"""),3258.15)</f>
        <v>3258.15</v>
      </c>
      <c r="C836" s="15">
        <f t="shared" ca="1" si="6"/>
        <v>9.5236632309791958E-4</v>
      </c>
      <c r="D836" s="14">
        <f t="shared" ca="1" si="7"/>
        <v>3219.0309999999999</v>
      </c>
      <c r="E836" s="17"/>
      <c r="F836" s="17"/>
    </row>
    <row r="837" spans="1:6" ht="12.75" x14ac:dyDescent="0.2">
      <c r="A837" s="13">
        <f ca="1">IFERROR(__xludf.DUMMYFUNCTION("""COMPUTED_VALUE"""),45063.6458333333)</f>
        <v>45063.645833333299</v>
      </c>
      <c r="B837" s="14">
        <f ca="1">IFERROR(__xludf.DUMMYFUNCTION("""COMPUTED_VALUE"""),3208.7)</f>
        <v>3208.7</v>
      </c>
      <c r="C837" s="15">
        <f t="shared" ca="1" si="6"/>
        <v>-1.5177324555345928E-2</v>
      </c>
      <c r="D837" s="14">
        <f t="shared" ca="1" si="7"/>
        <v>3216.9479999999999</v>
      </c>
      <c r="E837" s="17"/>
      <c r="F837" s="17"/>
    </row>
    <row r="838" spans="1:6" ht="12.75" x14ac:dyDescent="0.2">
      <c r="A838" s="13">
        <f ca="1">IFERROR(__xludf.DUMMYFUNCTION("""COMPUTED_VALUE"""),45064.6458333333)</f>
        <v>45064.645833333299</v>
      </c>
      <c r="B838" s="14">
        <f ca="1">IFERROR(__xludf.DUMMYFUNCTION("""COMPUTED_VALUE"""),3199.85)</f>
        <v>3199.85</v>
      </c>
      <c r="C838" s="15">
        <f t="shared" ca="1" si="6"/>
        <v>-2.7581263440021875E-3</v>
      </c>
      <c r="D838" s="14">
        <f t="shared" ca="1" si="7"/>
        <v>3213.2309999999998</v>
      </c>
      <c r="E838" s="17"/>
      <c r="F838" s="17"/>
    </row>
    <row r="839" spans="1:6" ht="12.75" x14ac:dyDescent="0.2">
      <c r="A839" s="13">
        <f ca="1">IFERROR(__xludf.DUMMYFUNCTION("""COMPUTED_VALUE"""),45065.6458333333)</f>
        <v>45065.645833333299</v>
      </c>
      <c r="B839" s="14">
        <f ca="1">IFERROR(__xludf.DUMMYFUNCTION("""COMPUTED_VALUE"""),3222.85)</f>
        <v>3222.85</v>
      </c>
      <c r="C839" s="15">
        <f t="shared" ca="1" si="6"/>
        <v>7.1878369298561395E-3</v>
      </c>
      <c r="D839" s="14">
        <f t="shared" ca="1" si="7"/>
        <v>3211.2589999999996</v>
      </c>
      <c r="E839" s="17"/>
      <c r="F839" s="17"/>
    </row>
    <row r="840" spans="1:6" ht="12.75" x14ac:dyDescent="0.2">
      <c r="A840" s="13">
        <f ca="1">IFERROR(__xludf.DUMMYFUNCTION("""COMPUTED_VALUE"""),45068.6458333333)</f>
        <v>45068.645833333299</v>
      </c>
      <c r="B840" s="14">
        <f ca="1">IFERROR(__xludf.DUMMYFUNCTION("""COMPUTED_VALUE"""),3298.7)</f>
        <v>3298.7</v>
      </c>
      <c r="C840" s="15">
        <f t="shared" ca="1" si="6"/>
        <v>2.3535069891555516E-2</v>
      </c>
      <c r="D840" s="14">
        <f t="shared" ca="1" si="7"/>
        <v>3210.39</v>
      </c>
      <c r="E840" s="17"/>
      <c r="F840" s="17"/>
    </row>
    <row r="841" spans="1:6" ht="12.75" x14ac:dyDescent="0.2">
      <c r="A841" s="13">
        <f ca="1">IFERROR(__xludf.DUMMYFUNCTION("""COMPUTED_VALUE"""),45069.6458333333)</f>
        <v>45069.645833333299</v>
      </c>
      <c r="B841" s="14">
        <f ca="1">IFERROR(__xludf.DUMMYFUNCTION("""COMPUTED_VALUE"""),3297.05)</f>
        <v>3297.05</v>
      </c>
      <c r="C841" s="15">
        <f t="shared" ca="1" si="6"/>
        <v>-5.001970473215156E-4</v>
      </c>
      <c r="D841" s="14">
        <f t="shared" ca="1" si="7"/>
        <v>3208.8939999999998</v>
      </c>
      <c r="E841" s="17"/>
      <c r="F841" s="17"/>
    </row>
    <row r="842" spans="1:6" ht="12.75" x14ac:dyDescent="0.2">
      <c r="A842" s="13">
        <f ca="1">IFERROR(__xludf.DUMMYFUNCTION("""COMPUTED_VALUE"""),45070.6458333333)</f>
        <v>45070.645833333299</v>
      </c>
      <c r="B842" s="14">
        <f ca="1">IFERROR(__xludf.DUMMYFUNCTION("""COMPUTED_VALUE"""),3303.35)</f>
        <v>3303.35</v>
      </c>
      <c r="C842" s="15">
        <f t="shared" ca="1" si="6"/>
        <v>1.9107990476334713E-3</v>
      </c>
      <c r="D842" s="14">
        <f t="shared" ca="1" si="7"/>
        <v>3207.1529999999998</v>
      </c>
      <c r="E842" s="17"/>
      <c r="F842" s="17"/>
    </row>
    <row r="843" spans="1:6" ht="12.75" x14ac:dyDescent="0.2">
      <c r="A843" s="13">
        <f ca="1">IFERROR(__xludf.DUMMYFUNCTION("""COMPUTED_VALUE"""),45071.6458333333)</f>
        <v>45071.645833333299</v>
      </c>
      <c r="B843" s="14">
        <f ca="1">IFERROR(__xludf.DUMMYFUNCTION("""COMPUTED_VALUE"""),3293.5)</f>
        <v>3293.5</v>
      </c>
      <c r="C843" s="15">
        <f t="shared" ca="1" si="6"/>
        <v>-2.9818214842508572E-3</v>
      </c>
      <c r="D843" s="14">
        <f t="shared" ca="1" si="7"/>
        <v>3206.2860000000005</v>
      </c>
      <c r="E843" s="17"/>
      <c r="F843" s="17"/>
    </row>
    <row r="844" spans="1:6" ht="12.75" x14ac:dyDescent="0.2">
      <c r="A844" s="13">
        <f ca="1">IFERROR(__xludf.DUMMYFUNCTION("""COMPUTED_VALUE"""),45072.6458333333)</f>
        <v>45072.645833333299</v>
      </c>
      <c r="B844" s="14">
        <f ca="1">IFERROR(__xludf.DUMMYFUNCTION("""COMPUTED_VALUE"""),3328.9)</f>
        <v>3328.9</v>
      </c>
      <c r="C844" s="15">
        <f t="shared" ca="1" si="6"/>
        <v>1.0748443904660787E-2</v>
      </c>
      <c r="D844" s="14">
        <f t="shared" ca="1" si="7"/>
        <v>3206.2440000000006</v>
      </c>
      <c r="E844" s="17"/>
      <c r="F844" s="17"/>
    </row>
    <row r="845" spans="1:6" ht="12.75" x14ac:dyDescent="0.2">
      <c r="A845" s="13">
        <f ca="1">IFERROR(__xludf.DUMMYFUNCTION("""COMPUTED_VALUE"""),45075.6458333333)</f>
        <v>45075.645833333299</v>
      </c>
      <c r="B845" s="14">
        <f ca="1">IFERROR(__xludf.DUMMYFUNCTION("""COMPUTED_VALUE"""),3320.35)</f>
        <v>3320.35</v>
      </c>
      <c r="C845" s="15">
        <f t="shared" ca="1" si="6"/>
        <v>-2.5684159932710671E-3</v>
      </c>
      <c r="D845" s="14">
        <f t="shared" ca="1" si="7"/>
        <v>3207.0120000000006</v>
      </c>
      <c r="E845" s="17"/>
      <c r="F845" s="17"/>
    </row>
    <row r="846" spans="1:6" ht="12.75" x14ac:dyDescent="0.2">
      <c r="A846" s="13">
        <f ca="1">IFERROR(__xludf.DUMMYFUNCTION("""COMPUTED_VALUE"""),45076.6458333333)</f>
        <v>45076.645833333299</v>
      </c>
      <c r="B846" s="14">
        <f ca="1">IFERROR(__xludf.DUMMYFUNCTION("""COMPUTED_VALUE"""),3316.2)</f>
        <v>3316.2</v>
      </c>
      <c r="C846" s="15">
        <f t="shared" ca="1" si="6"/>
        <v>-1.2498682367823033E-3</v>
      </c>
      <c r="D846" s="14">
        <f t="shared" ca="1" si="7"/>
        <v>3209.0370000000003</v>
      </c>
      <c r="E846" s="17"/>
      <c r="F846" s="17"/>
    </row>
    <row r="847" spans="1:6" ht="12.75" x14ac:dyDescent="0.2">
      <c r="A847" s="13">
        <f ca="1">IFERROR(__xludf.DUMMYFUNCTION("""COMPUTED_VALUE"""),45077.6458333333)</f>
        <v>45077.645833333299</v>
      </c>
      <c r="B847" s="14">
        <f ca="1">IFERROR(__xludf.DUMMYFUNCTION("""COMPUTED_VALUE"""),3289.5)</f>
        <v>3289.5</v>
      </c>
      <c r="C847" s="15">
        <f t="shared" ca="1" si="6"/>
        <v>-8.0513841143476927E-3</v>
      </c>
      <c r="D847" s="14">
        <f t="shared" ca="1" si="7"/>
        <v>3210.8490000000002</v>
      </c>
      <c r="E847" s="17"/>
      <c r="F847" s="17"/>
    </row>
    <row r="848" spans="1:6" ht="12.75" x14ac:dyDescent="0.2">
      <c r="A848" s="13">
        <f ca="1">IFERROR(__xludf.DUMMYFUNCTION("""COMPUTED_VALUE"""),45078.6458333333)</f>
        <v>45078.645833333299</v>
      </c>
      <c r="B848" s="14">
        <f ca="1">IFERROR(__xludf.DUMMYFUNCTION("""COMPUTED_VALUE"""),3324)</f>
        <v>3324</v>
      </c>
      <c r="C848" s="15">
        <f t="shared" ca="1" si="6"/>
        <v>1.0487916096671324E-2</v>
      </c>
      <c r="D848" s="14">
        <f t="shared" ca="1" si="7"/>
        <v>3213.6290000000004</v>
      </c>
      <c r="E848" s="17"/>
      <c r="F848" s="17"/>
    </row>
    <row r="849" spans="1:6" ht="12.75" x14ac:dyDescent="0.2">
      <c r="A849" s="13">
        <f ca="1">IFERROR(__xludf.DUMMYFUNCTION("""COMPUTED_VALUE"""),45079.6458333333)</f>
        <v>45079.645833333299</v>
      </c>
      <c r="B849" s="14">
        <f ca="1">IFERROR(__xludf.DUMMYFUNCTION("""COMPUTED_VALUE"""),3305.6)</f>
        <v>3305.6</v>
      </c>
      <c r="C849" s="15">
        <f t="shared" ca="1" si="6"/>
        <v>-5.5354993983153244E-3</v>
      </c>
      <c r="D849" s="14">
        <f t="shared" ca="1" si="7"/>
        <v>3216.1550000000007</v>
      </c>
      <c r="E849" s="17"/>
      <c r="F849" s="17"/>
    </row>
    <row r="850" spans="1:6" ht="12.75" x14ac:dyDescent="0.2">
      <c r="A850" s="13">
        <f ca="1">IFERROR(__xludf.DUMMYFUNCTION("""COMPUTED_VALUE"""),45082.6458333333)</f>
        <v>45082.645833333299</v>
      </c>
      <c r="B850" s="14">
        <f ca="1">IFERROR(__xludf.DUMMYFUNCTION("""COMPUTED_VALUE"""),3288.9)</f>
        <v>3288.9</v>
      </c>
      <c r="C850" s="15">
        <f t="shared" ca="1" si="6"/>
        <v>-5.0520329138431519E-3</v>
      </c>
      <c r="D850" s="14">
        <f t="shared" ca="1" si="7"/>
        <v>3219.067</v>
      </c>
      <c r="E850" s="17"/>
      <c r="F850" s="17"/>
    </row>
    <row r="851" spans="1:6" ht="12.75" x14ac:dyDescent="0.2">
      <c r="A851" s="13">
        <f ca="1">IFERROR(__xludf.DUMMYFUNCTION("""COMPUTED_VALUE"""),45083.6458333333)</f>
        <v>45083.645833333299</v>
      </c>
      <c r="B851" s="14">
        <f ca="1">IFERROR(__xludf.DUMMYFUNCTION("""COMPUTED_VALUE"""),3232.3)</f>
        <v>3232.3</v>
      </c>
      <c r="C851" s="15">
        <f t="shared" ca="1" si="6"/>
        <v>-1.7209401319590145E-2</v>
      </c>
      <c r="D851" s="14">
        <f t="shared" ca="1" si="7"/>
        <v>3221.5909999999999</v>
      </c>
      <c r="E851" s="17"/>
      <c r="F851" s="17"/>
    </row>
    <row r="852" spans="1:6" ht="12.75" x14ac:dyDescent="0.2">
      <c r="A852" s="13">
        <f ca="1">IFERROR(__xludf.DUMMYFUNCTION("""COMPUTED_VALUE"""),45084.6458333333)</f>
        <v>45084.645833333299</v>
      </c>
      <c r="B852" s="14">
        <f ca="1">IFERROR(__xludf.DUMMYFUNCTION("""COMPUTED_VALUE"""),3274.9)</f>
        <v>3274.9</v>
      </c>
      <c r="C852" s="15">
        <f t="shared" ca="1" si="6"/>
        <v>1.3179469727438553E-2</v>
      </c>
      <c r="D852" s="14">
        <f t="shared" ca="1" si="7"/>
        <v>3224.473</v>
      </c>
      <c r="E852" s="17"/>
      <c r="F852" s="17"/>
    </row>
    <row r="853" spans="1:6" ht="12.75" x14ac:dyDescent="0.2">
      <c r="A853" s="13">
        <f ca="1">IFERROR(__xludf.DUMMYFUNCTION("""COMPUTED_VALUE"""),45085.6458333333)</f>
        <v>45085.645833333299</v>
      </c>
      <c r="B853" s="14">
        <f ca="1">IFERROR(__xludf.DUMMYFUNCTION("""COMPUTED_VALUE"""),3236.45)</f>
        <v>3236.45</v>
      </c>
      <c r="C853" s="15">
        <f t="shared" ca="1" si="6"/>
        <v>-1.1740816513481356E-2</v>
      </c>
      <c r="D853" s="14">
        <f t="shared" ca="1" si="7"/>
        <v>3226.7090000000003</v>
      </c>
      <c r="E853" s="17"/>
      <c r="F853" s="17"/>
    </row>
    <row r="854" spans="1:6" ht="12.75" x14ac:dyDescent="0.2">
      <c r="A854" s="13">
        <f ca="1">IFERROR(__xludf.DUMMYFUNCTION("""COMPUTED_VALUE"""),45086.6458333333)</f>
        <v>45086.645833333299</v>
      </c>
      <c r="B854" s="14">
        <f ca="1">IFERROR(__xludf.DUMMYFUNCTION("""COMPUTED_VALUE"""),3209.3)</f>
        <v>3209.3</v>
      </c>
      <c r="C854" s="15">
        <f t="shared" ca="1" si="6"/>
        <v>-8.3888210848305222E-3</v>
      </c>
      <c r="D854" s="14">
        <f t="shared" ca="1" si="7"/>
        <v>3228.4850000000001</v>
      </c>
      <c r="E854" s="17"/>
      <c r="F854" s="17"/>
    </row>
    <row r="855" spans="1:6" ht="12.75" x14ac:dyDescent="0.2">
      <c r="A855" s="13">
        <f ca="1">IFERROR(__xludf.DUMMYFUNCTION("""COMPUTED_VALUE"""),45089.6458333333)</f>
        <v>45089.645833333299</v>
      </c>
      <c r="B855" s="14">
        <f ca="1">IFERROR(__xludf.DUMMYFUNCTION("""COMPUTED_VALUE"""),3246.9)</f>
        <v>3246.9</v>
      </c>
      <c r="C855" s="15">
        <f t="shared" ca="1" si="6"/>
        <v>1.1715950518804696E-2</v>
      </c>
      <c r="D855" s="14">
        <f t="shared" ca="1" si="7"/>
        <v>3230.9769999999994</v>
      </c>
      <c r="E855" s="17"/>
      <c r="F855" s="17"/>
    </row>
    <row r="856" spans="1:6" ht="12.75" x14ac:dyDescent="0.2">
      <c r="A856" s="13">
        <f ca="1">IFERROR(__xludf.DUMMYFUNCTION("""COMPUTED_VALUE"""),45090.6458333333)</f>
        <v>45090.645833333299</v>
      </c>
      <c r="B856" s="14">
        <f ca="1">IFERROR(__xludf.DUMMYFUNCTION("""COMPUTED_VALUE"""),3243.7)</f>
        <v>3243.7</v>
      </c>
      <c r="C856" s="15">
        <f t="shared" ca="1" si="6"/>
        <v>-9.8555545289358282E-4</v>
      </c>
      <c r="D856" s="14">
        <f t="shared" ca="1" si="7"/>
        <v>3233.5329999999999</v>
      </c>
      <c r="E856" s="17"/>
      <c r="F856" s="17"/>
    </row>
    <row r="857" spans="1:6" ht="12.75" x14ac:dyDescent="0.2">
      <c r="A857" s="13">
        <f ca="1">IFERROR(__xludf.DUMMYFUNCTION("""COMPUTED_VALUE"""),45091.6458333333)</f>
        <v>45091.645833333299</v>
      </c>
      <c r="B857" s="14">
        <f ca="1">IFERROR(__xludf.DUMMYFUNCTION("""COMPUTED_VALUE"""),3251.05)</f>
        <v>3251.05</v>
      </c>
      <c r="C857" s="15">
        <f t="shared" ca="1" si="6"/>
        <v>2.2659308814010348E-3</v>
      </c>
      <c r="D857" s="14">
        <f t="shared" ca="1" si="7"/>
        <v>3235.7759999999998</v>
      </c>
      <c r="E857" s="17"/>
      <c r="F857" s="17"/>
    </row>
    <row r="858" spans="1:6" ht="12.75" x14ac:dyDescent="0.2">
      <c r="A858" s="13">
        <f ca="1">IFERROR(__xludf.DUMMYFUNCTION("""COMPUTED_VALUE"""),45092.6458333333)</f>
        <v>45092.645833333299</v>
      </c>
      <c r="B858" s="14">
        <f ca="1">IFERROR(__xludf.DUMMYFUNCTION("""COMPUTED_VALUE"""),3216.3)</f>
        <v>3216.3</v>
      </c>
      <c r="C858" s="15">
        <f t="shared" ca="1" si="6"/>
        <v>-1.0688854370126566E-2</v>
      </c>
      <c r="D858" s="14">
        <f t="shared" ca="1" si="7"/>
        <v>3235.9839999999995</v>
      </c>
      <c r="E858" s="17"/>
      <c r="F858" s="17"/>
    </row>
    <row r="859" spans="1:6" ht="12.75" x14ac:dyDescent="0.2">
      <c r="A859" s="13">
        <f ca="1">IFERROR(__xludf.DUMMYFUNCTION("""COMPUTED_VALUE"""),45093.6458333333)</f>
        <v>45093.645833333299</v>
      </c>
      <c r="B859" s="14">
        <f ca="1">IFERROR(__xludf.DUMMYFUNCTION("""COMPUTED_VALUE"""),3174.9)</f>
        <v>3174.9</v>
      </c>
      <c r="C859" s="15">
        <f t="shared" ca="1" si="6"/>
        <v>-1.2871933588284756E-2</v>
      </c>
      <c r="D859" s="14">
        <f t="shared" ca="1" si="7"/>
        <v>3235.4819999999995</v>
      </c>
      <c r="E859" s="17"/>
      <c r="F859" s="17"/>
    </row>
    <row r="860" spans="1:6" ht="12.75" x14ac:dyDescent="0.2">
      <c r="A860" s="13">
        <f ca="1">IFERROR(__xludf.DUMMYFUNCTION("""COMPUTED_VALUE"""),45096.6458333333)</f>
        <v>45096.645833333299</v>
      </c>
      <c r="B860" s="14">
        <f ca="1">IFERROR(__xludf.DUMMYFUNCTION("""COMPUTED_VALUE"""),3210.4)</f>
        <v>3210.4</v>
      </c>
      <c r="C860" s="15">
        <f t="shared" ca="1" si="6"/>
        <v>1.118145453400099E-2</v>
      </c>
      <c r="D860" s="14">
        <f t="shared" ca="1" si="7"/>
        <v>3234.8939999999989</v>
      </c>
      <c r="E860" s="17"/>
      <c r="F860" s="17"/>
    </row>
    <row r="861" spans="1:6" ht="12.75" x14ac:dyDescent="0.2">
      <c r="A861" s="13">
        <f ca="1">IFERROR(__xludf.DUMMYFUNCTION("""COMPUTED_VALUE"""),45097.6458333333)</f>
        <v>45097.645833333299</v>
      </c>
      <c r="B861" s="14">
        <f ca="1">IFERROR(__xludf.DUMMYFUNCTION("""COMPUTED_VALUE"""),3227.7)</f>
        <v>3227.7</v>
      </c>
      <c r="C861" s="15">
        <f t="shared" ca="1" si="6"/>
        <v>5.3887366060303421E-3</v>
      </c>
      <c r="D861" s="14">
        <f t="shared" ca="1" si="7"/>
        <v>3235.0339999999997</v>
      </c>
      <c r="E861" s="17"/>
      <c r="F861" s="17"/>
    </row>
    <row r="862" spans="1:6" ht="12.75" x14ac:dyDescent="0.2">
      <c r="A862" s="13">
        <f ca="1">IFERROR(__xludf.DUMMYFUNCTION("""COMPUTED_VALUE"""),45098.6458333333)</f>
        <v>45098.645833333299</v>
      </c>
      <c r="B862" s="14">
        <f ca="1">IFERROR(__xludf.DUMMYFUNCTION("""COMPUTED_VALUE"""),3258.2)</f>
        <v>3258.2</v>
      </c>
      <c r="C862" s="15">
        <f t="shared" ca="1" si="6"/>
        <v>9.4494531709885532E-3</v>
      </c>
      <c r="D862" s="14">
        <f t="shared" ca="1" si="7"/>
        <v>3234.93</v>
      </c>
      <c r="E862" s="17"/>
      <c r="F862" s="17"/>
    </row>
    <row r="863" spans="1:6" ht="12.75" x14ac:dyDescent="0.2">
      <c r="A863" s="13">
        <f ca="1">IFERROR(__xludf.DUMMYFUNCTION("""COMPUTED_VALUE"""),45099.6458333333)</f>
        <v>45099.645833333299</v>
      </c>
      <c r="B863" s="14">
        <f ca="1">IFERROR(__xludf.DUMMYFUNCTION("""COMPUTED_VALUE"""),3238.5)</f>
        <v>3238.5</v>
      </c>
      <c r="C863" s="15">
        <f t="shared" ca="1" si="6"/>
        <v>-6.0462832238659114E-3</v>
      </c>
      <c r="D863" s="14">
        <f t="shared" ca="1" si="7"/>
        <v>3235.4239999999995</v>
      </c>
      <c r="E863" s="17"/>
      <c r="F863" s="17"/>
    </row>
    <row r="864" spans="1:6" ht="12.75" x14ac:dyDescent="0.2">
      <c r="A864" s="13">
        <f ca="1">IFERROR(__xludf.DUMMYFUNCTION("""COMPUTED_VALUE"""),45100.6458333333)</f>
        <v>45100.645833333299</v>
      </c>
      <c r="B864" s="14">
        <f ca="1">IFERROR(__xludf.DUMMYFUNCTION("""COMPUTED_VALUE"""),3216.35)</f>
        <v>3216.35</v>
      </c>
      <c r="C864" s="15">
        <f t="shared" ca="1" si="6"/>
        <v>-6.8395862281921405E-3</v>
      </c>
      <c r="D864" s="14">
        <f t="shared" ca="1" si="7"/>
        <v>3234.9180000000006</v>
      </c>
      <c r="E864" s="17"/>
      <c r="F864" s="17"/>
    </row>
    <row r="865" spans="1:6" ht="12.75" x14ac:dyDescent="0.2">
      <c r="A865" s="13">
        <f ca="1">IFERROR(__xludf.DUMMYFUNCTION("""COMPUTED_VALUE"""),45103.6458333333)</f>
        <v>45103.645833333299</v>
      </c>
      <c r="B865" s="14">
        <f ca="1">IFERROR(__xludf.DUMMYFUNCTION("""COMPUTED_VALUE"""),3189.65)</f>
        <v>3189.65</v>
      </c>
      <c r="C865" s="15">
        <f t="shared" ca="1" si="6"/>
        <v>-8.3013353646212984E-3</v>
      </c>
      <c r="D865" s="14">
        <f t="shared" ca="1" si="7"/>
        <v>3234.9340000000002</v>
      </c>
      <c r="E865" s="17"/>
      <c r="F865" s="17"/>
    </row>
    <row r="866" spans="1:6" ht="12.75" x14ac:dyDescent="0.2">
      <c r="A866" s="13">
        <f ca="1">IFERROR(__xludf.DUMMYFUNCTION("""COMPUTED_VALUE"""),45104.6458333333)</f>
        <v>45104.645833333299</v>
      </c>
      <c r="B866" s="14">
        <f ca="1">IFERROR(__xludf.DUMMYFUNCTION("""COMPUTED_VALUE"""),3197.35)</f>
        <v>3197.35</v>
      </c>
      <c r="C866" s="15">
        <f t="shared" ca="1" si="6"/>
        <v>2.4140579687426111E-3</v>
      </c>
      <c r="D866" s="14">
        <f t="shared" ca="1" si="7"/>
        <v>3236.0910000000003</v>
      </c>
      <c r="E866" s="17"/>
      <c r="F866" s="17"/>
    </row>
    <row r="867" spans="1:6" ht="12.75" x14ac:dyDescent="0.2">
      <c r="A867" s="13">
        <f ca="1">IFERROR(__xludf.DUMMYFUNCTION("""COMPUTED_VALUE"""),45105.6458333333)</f>
        <v>45105.645833333299</v>
      </c>
      <c r="B867" s="14">
        <f ca="1">IFERROR(__xludf.DUMMYFUNCTION("""COMPUTED_VALUE"""),3215.45)</f>
        <v>3215.45</v>
      </c>
      <c r="C867" s="15">
        <f t="shared" ca="1" si="6"/>
        <v>5.6609379642516E-3</v>
      </c>
      <c r="D867" s="14">
        <f t="shared" ca="1" si="7"/>
        <v>3237.7850000000008</v>
      </c>
      <c r="E867" s="17"/>
      <c r="F867" s="17"/>
    </row>
    <row r="868" spans="1:6" ht="12.75" x14ac:dyDescent="0.2">
      <c r="A868" s="13">
        <f ca="1">IFERROR(__xludf.DUMMYFUNCTION("""COMPUTED_VALUE"""),45107.6458333333)</f>
        <v>45107.645833333299</v>
      </c>
      <c r="B868" s="14">
        <f ca="1">IFERROR(__xludf.DUMMYFUNCTION("""COMPUTED_VALUE"""),3302.25)</f>
        <v>3302.25</v>
      </c>
      <c r="C868" s="15">
        <f t="shared" ca="1" si="6"/>
        <v>2.6994666376401577E-2</v>
      </c>
      <c r="D868" s="14">
        <f t="shared" ca="1" si="7"/>
        <v>3242.0380000000009</v>
      </c>
      <c r="E868" s="17"/>
      <c r="F868" s="17"/>
    </row>
    <row r="869" spans="1:6" ht="12.75" x14ac:dyDescent="0.2">
      <c r="A869" s="13">
        <f ca="1">IFERROR(__xludf.DUMMYFUNCTION("""COMPUTED_VALUE"""),45110.6458333333)</f>
        <v>45110.645833333299</v>
      </c>
      <c r="B869" s="14">
        <f ca="1">IFERROR(__xludf.DUMMYFUNCTION("""COMPUTED_VALUE"""),3272.3)</f>
        <v>3272.3</v>
      </c>
      <c r="C869" s="15">
        <f t="shared" ca="1" si="6"/>
        <v>-9.0695737754560302E-3</v>
      </c>
      <c r="D869" s="14">
        <f t="shared" ca="1" si="7"/>
        <v>3245.3880000000004</v>
      </c>
      <c r="E869" s="17"/>
      <c r="F869" s="17"/>
    </row>
    <row r="870" spans="1:6" ht="12.75" x14ac:dyDescent="0.2">
      <c r="A870" s="13">
        <f ca="1">IFERROR(__xludf.DUMMYFUNCTION("""COMPUTED_VALUE"""),45111.6458333333)</f>
        <v>45111.645833333299</v>
      </c>
      <c r="B870" s="14">
        <f ca="1">IFERROR(__xludf.DUMMYFUNCTION("""COMPUTED_VALUE"""),3308.85)</f>
        <v>3308.85</v>
      </c>
      <c r="C870" s="15">
        <f t="shared" ca="1" si="6"/>
        <v>1.1169513797634645E-2</v>
      </c>
      <c r="D870" s="14">
        <f t="shared" ca="1" si="7"/>
        <v>3248.3480000000004</v>
      </c>
      <c r="E870" s="17"/>
      <c r="F870" s="17"/>
    </row>
    <row r="871" spans="1:6" ht="12.75" x14ac:dyDescent="0.2">
      <c r="A871" s="13">
        <f ca="1">IFERROR(__xludf.DUMMYFUNCTION("""COMPUTED_VALUE"""),45112.6458333333)</f>
        <v>45112.645833333299</v>
      </c>
      <c r="B871" s="14">
        <f ca="1">IFERROR(__xludf.DUMMYFUNCTION("""COMPUTED_VALUE"""),3319.95)</f>
        <v>3319.95</v>
      </c>
      <c r="C871" s="15">
        <f t="shared" ca="1" si="6"/>
        <v>3.3546398295480895E-3</v>
      </c>
      <c r="D871" s="14">
        <f t="shared" ca="1" si="7"/>
        <v>3251.2510000000002</v>
      </c>
      <c r="E871" s="17"/>
      <c r="F871" s="17"/>
    </row>
    <row r="872" spans="1:6" ht="12.75" x14ac:dyDescent="0.2">
      <c r="A872" s="13">
        <f ca="1">IFERROR(__xludf.DUMMYFUNCTION("""COMPUTED_VALUE"""),45113.6458333333)</f>
        <v>45113.645833333299</v>
      </c>
      <c r="B872" s="14">
        <f ca="1">IFERROR(__xludf.DUMMYFUNCTION("""COMPUTED_VALUE"""),3322.9)</f>
        <v>3322.9</v>
      </c>
      <c r="C872" s="15">
        <f t="shared" ca="1" si="6"/>
        <v>8.8856759890965087E-4</v>
      </c>
      <c r="D872" s="14">
        <f t="shared" ca="1" si="7"/>
        <v>3254.1889999999999</v>
      </c>
      <c r="E872" s="17"/>
      <c r="F872" s="17"/>
    </row>
    <row r="873" spans="1:6" ht="12.75" x14ac:dyDescent="0.2">
      <c r="A873" s="13">
        <f ca="1">IFERROR(__xludf.DUMMYFUNCTION("""COMPUTED_VALUE"""),45114.6458333333)</f>
        <v>45114.645833333299</v>
      </c>
      <c r="B873" s="14">
        <f ca="1">IFERROR(__xludf.DUMMYFUNCTION("""COMPUTED_VALUE"""),3329.25)</f>
        <v>3329.25</v>
      </c>
      <c r="C873" s="15">
        <f t="shared" ca="1" si="6"/>
        <v>1.9109813716933211E-3</v>
      </c>
      <c r="D873" s="14">
        <f t="shared" ca="1" si="7"/>
        <v>3256.8109999999997</v>
      </c>
      <c r="E873" s="17"/>
      <c r="F873" s="17"/>
    </row>
    <row r="874" spans="1:6" ht="12.75" x14ac:dyDescent="0.2">
      <c r="A874" s="13">
        <f ca="1">IFERROR(__xludf.DUMMYFUNCTION("""COMPUTED_VALUE"""),45117.6458333333)</f>
        <v>45117.645833333299</v>
      </c>
      <c r="B874" s="14">
        <f ca="1">IFERROR(__xludf.DUMMYFUNCTION("""COMPUTED_VALUE"""),3271.95)</f>
        <v>3271.95</v>
      </c>
      <c r="C874" s="15">
        <f t="shared" ca="1" si="6"/>
        <v>-1.7211083577382325E-2</v>
      </c>
      <c r="D874" s="14">
        <f t="shared" ca="1" si="7"/>
        <v>3258.4910000000004</v>
      </c>
      <c r="E874" s="17"/>
      <c r="F874" s="17"/>
    </row>
    <row r="875" spans="1:6" ht="12.75" x14ac:dyDescent="0.2">
      <c r="A875" s="13">
        <f ca="1">IFERROR(__xludf.DUMMYFUNCTION("""COMPUTED_VALUE"""),45118.6458333333)</f>
        <v>45118.645833333299</v>
      </c>
      <c r="B875" s="14">
        <f ca="1">IFERROR(__xludf.DUMMYFUNCTION("""COMPUTED_VALUE"""),3272.4)</f>
        <v>3272.4</v>
      </c>
      <c r="C875" s="15">
        <f t="shared" ca="1" si="6"/>
        <v>1.3753266400784447E-4</v>
      </c>
      <c r="D875" s="14">
        <f t="shared" ca="1" si="7"/>
        <v>3259.5539999999996</v>
      </c>
      <c r="E875" s="17"/>
      <c r="F875" s="17"/>
    </row>
    <row r="876" spans="1:6" ht="12.75" x14ac:dyDescent="0.2">
      <c r="A876" s="13">
        <f ca="1">IFERROR(__xludf.DUMMYFUNCTION("""COMPUTED_VALUE"""),45119.6458333333)</f>
        <v>45119.645833333299</v>
      </c>
      <c r="B876" s="14">
        <f ca="1">IFERROR(__xludf.DUMMYFUNCTION("""COMPUTED_VALUE"""),3259.9)</f>
        <v>3259.9</v>
      </c>
      <c r="C876" s="15">
        <f t="shared" ca="1" si="6"/>
        <v>-3.8198264270871141E-3</v>
      </c>
      <c r="D876" s="14">
        <f t="shared" ca="1" si="7"/>
        <v>3260.3639999999996</v>
      </c>
      <c r="E876" s="17"/>
      <c r="F876" s="17"/>
    </row>
    <row r="877" spans="1:6" ht="12.75" x14ac:dyDescent="0.2">
      <c r="A877" s="13">
        <f ca="1">IFERROR(__xludf.DUMMYFUNCTION("""COMPUTED_VALUE"""),45120.6458333333)</f>
        <v>45120.645833333299</v>
      </c>
      <c r="B877" s="14">
        <f ca="1">IFERROR(__xludf.DUMMYFUNCTION("""COMPUTED_VALUE"""),3340.55)</f>
        <v>3340.55</v>
      </c>
      <c r="C877" s="15">
        <f t="shared" ca="1" si="6"/>
        <v>2.4740022700082909E-2</v>
      </c>
      <c r="D877" s="14">
        <f t="shared" ca="1" si="7"/>
        <v>3263.5769999999993</v>
      </c>
      <c r="E877" s="17"/>
      <c r="F877" s="17"/>
    </row>
    <row r="878" spans="1:6" ht="12.75" x14ac:dyDescent="0.2">
      <c r="A878" s="13">
        <f ca="1">IFERROR(__xludf.DUMMYFUNCTION("""COMPUTED_VALUE"""),45121.6458333333)</f>
        <v>45121.645833333299</v>
      </c>
      <c r="B878" s="14">
        <f ca="1">IFERROR(__xludf.DUMMYFUNCTION("""COMPUTED_VALUE"""),3514.65)</f>
        <v>3514.65</v>
      </c>
      <c r="C878" s="15">
        <f t="shared" ca="1" si="6"/>
        <v>5.2117166334884946E-2</v>
      </c>
      <c r="D878" s="14">
        <f t="shared" ca="1" si="7"/>
        <v>3269.4559999999992</v>
      </c>
      <c r="E878" s="17"/>
      <c r="F878" s="17"/>
    </row>
    <row r="879" spans="1:6" ht="12.75" x14ac:dyDescent="0.2">
      <c r="A879" s="13">
        <f ca="1">IFERROR(__xludf.DUMMYFUNCTION("""COMPUTED_VALUE"""),45124.6458333333)</f>
        <v>45124.645833333299</v>
      </c>
      <c r="B879" s="14">
        <f ca="1">IFERROR(__xludf.DUMMYFUNCTION("""COMPUTED_VALUE"""),3491.7)</f>
        <v>3491.7</v>
      </c>
      <c r="C879" s="15">
        <f t="shared" ca="1" si="6"/>
        <v>-6.5298109342325494E-3</v>
      </c>
      <c r="D879" s="14">
        <f t="shared" ca="1" si="7"/>
        <v>3274.6759999999999</v>
      </c>
      <c r="E879" s="17"/>
      <c r="F879" s="17"/>
    </row>
    <row r="880" spans="1:6" ht="12.75" x14ac:dyDescent="0.2">
      <c r="A880" s="13">
        <f ca="1">IFERROR(__xludf.DUMMYFUNCTION("""COMPUTED_VALUE"""),45125.6458333333)</f>
        <v>45125.645833333299</v>
      </c>
      <c r="B880" s="14">
        <f ca="1">IFERROR(__xludf.DUMMYFUNCTION("""COMPUTED_VALUE"""),3496.85)</f>
        <v>3496.85</v>
      </c>
      <c r="C880" s="15">
        <f t="shared" ca="1" si="6"/>
        <v>1.4749262536872809E-3</v>
      </c>
      <c r="D880" s="14">
        <f t="shared" ca="1" si="7"/>
        <v>3279.6009999999997</v>
      </c>
      <c r="E880" s="17"/>
      <c r="F880" s="17"/>
    </row>
    <row r="881" spans="1:6" ht="12.75" x14ac:dyDescent="0.2">
      <c r="A881" s="13">
        <f ca="1">IFERROR(__xludf.DUMMYFUNCTION("""COMPUTED_VALUE"""),45126.6458333333)</f>
        <v>45126.645833333299</v>
      </c>
      <c r="B881" s="14">
        <f ca="1">IFERROR(__xludf.DUMMYFUNCTION("""COMPUTED_VALUE"""),3470.05)</f>
        <v>3470.05</v>
      </c>
      <c r="C881" s="15">
        <f t="shared" ca="1" si="6"/>
        <v>-7.6640404935870432E-3</v>
      </c>
      <c r="D881" s="14">
        <f t="shared" ca="1" si="7"/>
        <v>3283.3369999999995</v>
      </c>
      <c r="E881" s="17"/>
      <c r="F881" s="17"/>
    </row>
    <row r="882" spans="1:6" ht="12.75" x14ac:dyDescent="0.2">
      <c r="A882" s="13">
        <f ca="1">IFERROR(__xludf.DUMMYFUNCTION("""COMPUTED_VALUE"""),45127.6458333333)</f>
        <v>45127.645833333299</v>
      </c>
      <c r="B882" s="14">
        <f ca="1">IFERROR(__xludf.DUMMYFUNCTION("""COMPUTED_VALUE"""),3463.3)</f>
        <v>3463.3</v>
      </c>
      <c r="C882" s="15">
        <f t="shared" ca="1" si="6"/>
        <v>-1.9452169277099918E-3</v>
      </c>
      <c r="D882" s="14">
        <f t="shared" ca="1" si="7"/>
        <v>3286.8669999999988</v>
      </c>
      <c r="E882" s="17"/>
      <c r="F882" s="17"/>
    </row>
    <row r="883" spans="1:6" ht="12.75" x14ac:dyDescent="0.2">
      <c r="A883" s="13">
        <f ca="1">IFERROR(__xludf.DUMMYFUNCTION("""COMPUTED_VALUE"""),45128.6458333333)</f>
        <v>45128.645833333299</v>
      </c>
      <c r="B883" s="14">
        <f ca="1">IFERROR(__xludf.DUMMYFUNCTION("""COMPUTED_VALUE"""),3368.3)</f>
        <v>3368.3</v>
      </c>
      <c r="C883" s="15">
        <f t="shared" ca="1" si="6"/>
        <v>-2.7430485375220193E-2</v>
      </c>
      <c r="D883" s="14">
        <f t="shared" ca="1" si="7"/>
        <v>3288.5899999999988</v>
      </c>
      <c r="E883" s="17"/>
      <c r="F883" s="17"/>
    </row>
    <row r="884" spans="1:6" ht="12.75" x14ac:dyDescent="0.2">
      <c r="A884" s="13">
        <f ca="1">IFERROR(__xludf.DUMMYFUNCTION("""COMPUTED_VALUE"""),45131.6458333333)</f>
        <v>45131.645833333299</v>
      </c>
      <c r="B884" s="14">
        <f ca="1">IFERROR(__xludf.DUMMYFUNCTION("""COMPUTED_VALUE"""),3394.75)</f>
        <v>3394.75</v>
      </c>
      <c r="C884" s="15">
        <f t="shared" ca="1" si="6"/>
        <v>7.8526259537452514E-3</v>
      </c>
      <c r="D884" s="14">
        <f t="shared" ca="1" si="7"/>
        <v>3290.9989999999989</v>
      </c>
      <c r="E884" s="17"/>
      <c r="F884" s="17"/>
    </row>
    <row r="885" spans="1:6" ht="12.75" x14ac:dyDescent="0.2">
      <c r="A885" s="13">
        <f ca="1">IFERROR(__xludf.DUMMYFUNCTION("""COMPUTED_VALUE"""),45132.6458333333)</f>
        <v>45132.645833333299</v>
      </c>
      <c r="B885" s="14">
        <f ca="1">IFERROR(__xludf.DUMMYFUNCTION("""COMPUTED_VALUE"""),3399.15)</f>
        <v>3399.15</v>
      </c>
      <c r="C885" s="15">
        <f t="shared" ca="1" si="6"/>
        <v>1.2961190072906525E-3</v>
      </c>
      <c r="D885" s="14">
        <f t="shared" ca="1" si="7"/>
        <v>3293.8809999999994</v>
      </c>
      <c r="E885" s="17"/>
      <c r="F885" s="17"/>
    </row>
    <row r="886" spans="1:6" ht="12.75" x14ac:dyDescent="0.2">
      <c r="A886" s="13">
        <f ca="1">IFERROR(__xludf.DUMMYFUNCTION("""COMPUTED_VALUE"""),45133.6458333333)</f>
        <v>45133.645833333299</v>
      </c>
      <c r="B886" s="14">
        <f ca="1">IFERROR(__xludf.DUMMYFUNCTION("""COMPUTED_VALUE"""),3388.3)</f>
        <v>3388.3</v>
      </c>
      <c r="C886" s="15">
        <f t="shared" ca="1" si="6"/>
        <v>-3.1919744642042724E-3</v>
      </c>
      <c r="D886" s="14">
        <f t="shared" ca="1" si="7"/>
        <v>3296.4839999999986</v>
      </c>
      <c r="E886" s="17"/>
      <c r="F886" s="17"/>
    </row>
    <row r="887" spans="1:6" ht="12.75" x14ac:dyDescent="0.2">
      <c r="A887" s="13">
        <f ca="1">IFERROR(__xludf.DUMMYFUNCTION("""COMPUTED_VALUE"""),45134.6458333333)</f>
        <v>45134.645833333299</v>
      </c>
      <c r="B887" s="14">
        <f ca="1">IFERROR(__xludf.DUMMYFUNCTION("""COMPUTED_VALUE"""),3396.9)</f>
        <v>3396.9</v>
      </c>
      <c r="C887" s="15">
        <f t="shared" ca="1" si="6"/>
        <v>2.5381459729068023E-3</v>
      </c>
      <c r="D887" s="14">
        <f t="shared" ca="1" si="7"/>
        <v>3300.2479999999987</v>
      </c>
      <c r="E887" s="17"/>
      <c r="F887" s="17"/>
    </row>
    <row r="888" spans="1:6" ht="12.75" x14ac:dyDescent="0.2">
      <c r="A888" s="13">
        <f ca="1">IFERROR(__xludf.DUMMYFUNCTION("""COMPUTED_VALUE"""),45135.6458333333)</f>
        <v>45135.645833333299</v>
      </c>
      <c r="B888" s="14">
        <f ca="1">IFERROR(__xludf.DUMMYFUNCTION("""COMPUTED_VALUE"""),3355.4)</f>
        <v>3355.4</v>
      </c>
      <c r="C888" s="15">
        <f t="shared" ca="1" si="6"/>
        <v>-1.2217021401866424E-2</v>
      </c>
      <c r="D888" s="14">
        <f t="shared" ca="1" si="7"/>
        <v>3303.3589999999986</v>
      </c>
      <c r="E888" s="17"/>
      <c r="F888" s="17"/>
    </row>
    <row r="889" spans="1:6" ht="12.75" x14ac:dyDescent="0.2">
      <c r="A889" s="13">
        <f ca="1">IFERROR(__xludf.DUMMYFUNCTION("""COMPUTED_VALUE"""),45138.6458333333)</f>
        <v>45138.645833333299</v>
      </c>
      <c r="B889" s="14">
        <f ca="1">IFERROR(__xludf.DUMMYFUNCTION("""COMPUTED_VALUE"""),3421.45)</f>
        <v>3421.45</v>
      </c>
      <c r="C889" s="15">
        <f t="shared" ca="1" si="6"/>
        <v>1.9684687369613041E-2</v>
      </c>
      <c r="D889" s="14">
        <f t="shared" ca="1" si="7"/>
        <v>3307.3309999999992</v>
      </c>
      <c r="E889" s="17"/>
      <c r="F889" s="17"/>
    </row>
    <row r="890" spans="1:6" ht="12.75" x14ac:dyDescent="0.2">
      <c r="A890" s="13">
        <f ca="1">IFERROR(__xludf.DUMMYFUNCTION("""COMPUTED_VALUE"""),45139.6458333333)</f>
        <v>45139.645833333299</v>
      </c>
      <c r="B890" s="14">
        <f ca="1">IFERROR(__xludf.DUMMYFUNCTION("""COMPUTED_VALUE"""),3452.05)</f>
        <v>3452.05</v>
      </c>
      <c r="C890" s="15">
        <f t="shared" ca="1" si="6"/>
        <v>8.9435765538004031E-3</v>
      </c>
      <c r="D890" s="14">
        <f t="shared" ca="1" si="7"/>
        <v>3310.3979999999988</v>
      </c>
      <c r="E890" s="17"/>
      <c r="F890" s="17"/>
    </row>
    <row r="891" spans="1:6" ht="12.75" x14ac:dyDescent="0.2">
      <c r="A891" s="13">
        <f ca="1">IFERROR(__xludf.DUMMYFUNCTION("""COMPUTED_VALUE"""),45140.6458333333)</f>
        <v>45140.645833333299</v>
      </c>
      <c r="B891" s="14">
        <f ca="1">IFERROR(__xludf.DUMMYFUNCTION("""COMPUTED_VALUE"""),3440.65)</f>
        <v>3440.65</v>
      </c>
      <c r="C891" s="15">
        <f t="shared" ca="1" si="6"/>
        <v>-3.3023855390275081E-3</v>
      </c>
      <c r="D891" s="14">
        <f t="shared" ca="1" si="7"/>
        <v>3313.2699999999986</v>
      </c>
      <c r="E891" s="17"/>
      <c r="F891" s="17"/>
    </row>
    <row r="892" spans="1:6" ht="12.75" x14ac:dyDescent="0.2">
      <c r="A892" s="13">
        <f ca="1">IFERROR(__xludf.DUMMYFUNCTION("""COMPUTED_VALUE"""),45141.6458333333)</f>
        <v>45141.645833333299</v>
      </c>
      <c r="B892" s="14">
        <f ca="1">IFERROR(__xludf.DUMMYFUNCTION("""COMPUTED_VALUE"""),3399.95)</f>
        <v>3399.95</v>
      </c>
      <c r="C892" s="15">
        <f t="shared" ca="1" si="6"/>
        <v>-1.1829160187755261E-2</v>
      </c>
      <c r="D892" s="14">
        <f t="shared" ca="1" si="7"/>
        <v>3315.2019999999989</v>
      </c>
      <c r="E892" s="17"/>
      <c r="F892" s="17"/>
    </row>
    <row r="893" spans="1:6" ht="12.75" x14ac:dyDescent="0.2">
      <c r="A893" s="13">
        <f ca="1">IFERROR(__xludf.DUMMYFUNCTION("""COMPUTED_VALUE"""),45142.6458333333)</f>
        <v>45142.645833333299</v>
      </c>
      <c r="B893" s="14">
        <f ca="1">IFERROR(__xludf.DUMMYFUNCTION("""COMPUTED_VALUE"""),3443.55)</f>
        <v>3443.55</v>
      </c>
      <c r="C893" s="15">
        <f t="shared" ca="1" si="6"/>
        <v>1.2823717995853023E-2</v>
      </c>
      <c r="D893" s="14">
        <f t="shared" ca="1" si="7"/>
        <v>3318.2029999999995</v>
      </c>
      <c r="E893" s="17"/>
      <c r="F893" s="17"/>
    </row>
    <row r="894" spans="1:6" ht="12.75" x14ac:dyDescent="0.2">
      <c r="A894" s="13">
        <f ca="1">IFERROR(__xludf.DUMMYFUNCTION("""COMPUTED_VALUE"""),45145.6458333333)</f>
        <v>45145.645833333299</v>
      </c>
      <c r="B894" s="14">
        <f ca="1">IFERROR(__xludf.DUMMYFUNCTION("""COMPUTED_VALUE"""),3484.05)</f>
        <v>3484.05</v>
      </c>
      <c r="C894" s="15">
        <f t="shared" ca="1" si="6"/>
        <v>1.1761118613059285E-2</v>
      </c>
      <c r="D894" s="14">
        <f t="shared" ca="1" si="7"/>
        <v>3321.3059999999987</v>
      </c>
      <c r="E894" s="17"/>
      <c r="F894" s="17"/>
    </row>
    <row r="895" spans="1:6" ht="12.75" x14ac:dyDescent="0.2">
      <c r="A895" s="13">
        <f ca="1">IFERROR(__xludf.DUMMYFUNCTION("""COMPUTED_VALUE"""),45146.6458333333)</f>
        <v>45146.645833333299</v>
      </c>
      <c r="B895" s="14">
        <f ca="1">IFERROR(__xludf.DUMMYFUNCTION("""COMPUTED_VALUE"""),3470.6)</f>
        <v>3470.6</v>
      </c>
      <c r="C895" s="15">
        <f t="shared" ca="1" si="6"/>
        <v>-3.8604497639243007E-3</v>
      </c>
      <c r="D895" s="14">
        <f t="shared" ca="1" si="7"/>
        <v>3324.3109999999992</v>
      </c>
      <c r="E895" s="17"/>
      <c r="F895" s="17"/>
    </row>
    <row r="896" spans="1:6" ht="12.75" x14ac:dyDescent="0.2">
      <c r="A896" s="13">
        <f ca="1">IFERROR(__xludf.DUMMYFUNCTION("""COMPUTED_VALUE"""),45147.6458333333)</f>
        <v>45147.645833333299</v>
      </c>
      <c r="B896" s="14">
        <f ca="1">IFERROR(__xludf.DUMMYFUNCTION("""COMPUTED_VALUE"""),3462.5)</f>
        <v>3462.5</v>
      </c>
      <c r="C896" s="15">
        <f t="shared" ca="1" si="6"/>
        <v>-2.3338903935918864E-3</v>
      </c>
      <c r="D896" s="14">
        <f t="shared" ca="1" si="7"/>
        <v>3327.2369999999996</v>
      </c>
      <c r="E896" s="17"/>
      <c r="F896" s="17"/>
    </row>
    <row r="897" spans="1:6" ht="12.75" x14ac:dyDescent="0.2">
      <c r="A897" s="13">
        <f ca="1">IFERROR(__xludf.DUMMYFUNCTION("""COMPUTED_VALUE"""),45148.6458333333)</f>
        <v>45148.645833333299</v>
      </c>
      <c r="B897" s="14">
        <f ca="1">IFERROR(__xludf.DUMMYFUNCTION("""COMPUTED_VALUE"""),3442.1)</f>
        <v>3442.1</v>
      </c>
      <c r="C897" s="15">
        <f t="shared" ca="1" si="6"/>
        <v>-5.8916967509025087E-3</v>
      </c>
      <c r="D897" s="14">
        <f t="shared" ca="1" si="7"/>
        <v>3330.2889999999998</v>
      </c>
      <c r="E897" s="17"/>
      <c r="F897" s="17"/>
    </row>
    <row r="898" spans="1:6" ht="12.75" x14ac:dyDescent="0.2">
      <c r="A898" s="13">
        <f ca="1">IFERROR(__xludf.DUMMYFUNCTION("""COMPUTED_VALUE"""),45149.6458333333)</f>
        <v>45149.645833333299</v>
      </c>
      <c r="B898" s="14">
        <f ca="1">IFERROR(__xludf.DUMMYFUNCTION("""COMPUTED_VALUE"""),3448.8)</f>
        <v>3448.8</v>
      </c>
      <c r="C898" s="15">
        <f t="shared" ca="1" si="6"/>
        <v>1.9464861567066727E-3</v>
      </c>
      <c r="D898" s="14">
        <f t="shared" ca="1" si="7"/>
        <v>3332.7849999999989</v>
      </c>
      <c r="E898" s="17"/>
      <c r="F898" s="17"/>
    </row>
    <row r="899" spans="1:6" ht="12.75" x14ac:dyDescent="0.2">
      <c r="A899" s="13">
        <f ca="1">IFERROR(__xludf.DUMMYFUNCTION("""COMPUTED_VALUE"""),45152.6458333333)</f>
        <v>45152.645833333299</v>
      </c>
      <c r="B899" s="14">
        <f ca="1">IFERROR(__xludf.DUMMYFUNCTION("""COMPUTED_VALUE"""),3449.85)</f>
        <v>3449.85</v>
      </c>
      <c r="C899" s="15">
        <f t="shared" ca="1" si="6"/>
        <v>3.0445372303411489E-4</v>
      </c>
      <c r="D899" s="14">
        <f t="shared" ca="1" si="7"/>
        <v>3335.6699999999987</v>
      </c>
      <c r="E899" s="17"/>
      <c r="F899" s="17"/>
    </row>
    <row r="900" spans="1:6" ht="12.75" x14ac:dyDescent="0.2">
      <c r="A900" s="13">
        <f ca="1">IFERROR(__xludf.DUMMYFUNCTION("""COMPUTED_VALUE"""),45154.6458333333)</f>
        <v>45154.645833333299</v>
      </c>
      <c r="B900" s="14">
        <f ca="1">IFERROR(__xludf.DUMMYFUNCTION("""COMPUTED_VALUE"""),3458.4)</f>
        <v>3458.4</v>
      </c>
      <c r="C900" s="15">
        <f t="shared" ca="1" si="6"/>
        <v>2.4783686247229486E-3</v>
      </c>
      <c r="D900" s="14">
        <f t="shared" ca="1" si="7"/>
        <v>3339.059999999999</v>
      </c>
      <c r="E900" s="17"/>
      <c r="F900" s="17"/>
    </row>
    <row r="901" spans="1:6" ht="12.75" x14ac:dyDescent="0.2">
      <c r="A901" s="13">
        <f ca="1">IFERROR(__xludf.DUMMYFUNCTION("""COMPUTED_VALUE"""),45155.6458333333)</f>
        <v>45155.645833333299</v>
      </c>
      <c r="B901" s="14">
        <f ca="1">IFERROR(__xludf.DUMMYFUNCTION("""COMPUTED_VALUE"""),3435.75)</f>
        <v>3435.75</v>
      </c>
      <c r="C901" s="15">
        <f t="shared" ca="1" si="6"/>
        <v>-6.5492713393476842E-3</v>
      </c>
      <c r="D901" s="14">
        <f t="shared" ca="1" si="7"/>
        <v>3343.128999999999</v>
      </c>
      <c r="E901" s="17"/>
      <c r="F901" s="17"/>
    </row>
    <row r="902" spans="1:6" ht="12.75" x14ac:dyDescent="0.2">
      <c r="A902" s="13">
        <f ca="1">IFERROR(__xludf.DUMMYFUNCTION("""COMPUTED_VALUE"""),45156.6458333333)</f>
        <v>45156.645833333299</v>
      </c>
      <c r="B902" s="14">
        <f ca="1">IFERROR(__xludf.DUMMYFUNCTION("""COMPUTED_VALUE"""),3367.1)</f>
        <v>3367.1</v>
      </c>
      <c r="C902" s="15">
        <f t="shared" ca="1" si="6"/>
        <v>-1.9981081277741453E-2</v>
      </c>
      <c r="D902" s="14">
        <f t="shared" ca="1" si="7"/>
        <v>3344.9729999999995</v>
      </c>
      <c r="E902" s="17"/>
      <c r="F902" s="17"/>
    </row>
    <row r="903" spans="1:6" ht="12.75" x14ac:dyDescent="0.2">
      <c r="A903" s="13">
        <f ca="1">IFERROR(__xludf.DUMMYFUNCTION("""COMPUTED_VALUE"""),45159.6458333333)</f>
        <v>45159.645833333299</v>
      </c>
      <c r="B903" s="14">
        <f ca="1">IFERROR(__xludf.DUMMYFUNCTION("""COMPUTED_VALUE"""),3401.65)</f>
        <v>3401.65</v>
      </c>
      <c r="C903" s="15">
        <f t="shared" ca="1" si="6"/>
        <v>1.0261055507706951E-2</v>
      </c>
      <c r="D903" s="14">
        <f t="shared" ca="1" si="7"/>
        <v>3348.2769999999991</v>
      </c>
      <c r="E903" s="17"/>
      <c r="F903" s="17"/>
    </row>
    <row r="904" spans="1:6" ht="12.75" x14ac:dyDescent="0.2">
      <c r="A904" s="13">
        <f ca="1">IFERROR(__xludf.DUMMYFUNCTION("""COMPUTED_VALUE"""),45160.6458333333)</f>
        <v>45160.645833333299</v>
      </c>
      <c r="B904" s="14">
        <f ca="1">IFERROR(__xludf.DUMMYFUNCTION("""COMPUTED_VALUE"""),3382.15)</f>
        <v>3382.15</v>
      </c>
      <c r="C904" s="15">
        <f t="shared" ca="1" si="6"/>
        <v>-5.732512163214909E-3</v>
      </c>
      <c r="D904" s="14">
        <f t="shared" ca="1" si="7"/>
        <v>3351.733999999999</v>
      </c>
      <c r="E904" s="17"/>
      <c r="F904" s="17"/>
    </row>
    <row r="905" spans="1:6" ht="12.75" x14ac:dyDescent="0.2">
      <c r="A905" s="13">
        <f ca="1">IFERROR(__xludf.DUMMYFUNCTION("""COMPUTED_VALUE"""),45161.6458333333)</f>
        <v>45161.645833333299</v>
      </c>
      <c r="B905" s="14">
        <f ca="1">IFERROR(__xludf.DUMMYFUNCTION("""COMPUTED_VALUE"""),3398.25)</f>
        <v>3398.25</v>
      </c>
      <c r="C905" s="15">
        <f t="shared" ca="1" si="6"/>
        <v>4.7602856171369279E-3</v>
      </c>
      <c r="D905" s="14">
        <f t="shared" ca="1" si="7"/>
        <v>3354.7609999999991</v>
      </c>
      <c r="E905" s="17"/>
      <c r="F905" s="17"/>
    </row>
    <row r="906" spans="1:6" ht="12.75" x14ac:dyDescent="0.2">
      <c r="A906" s="13">
        <f ca="1">IFERROR(__xludf.DUMMYFUNCTION("""COMPUTED_VALUE"""),45162.6458333333)</f>
        <v>45162.645833333299</v>
      </c>
      <c r="B906" s="14">
        <f ca="1">IFERROR(__xludf.DUMMYFUNCTION("""COMPUTED_VALUE"""),3387.75)</f>
        <v>3387.75</v>
      </c>
      <c r="C906" s="15">
        <f t="shared" ca="1" si="6"/>
        <v>-3.0898256455528239E-3</v>
      </c>
      <c r="D906" s="14">
        <f t="shared" ca="1" si="7"/>
        <v>3357.6419999999994</v>
      </c>
      <c r="E906" s="17"/>
      <c r="F906" s="17"/>
    </row>
    <row r="907" spans="1:6" ht="12.75" x14ac:dyDescent="0.2">
      <c r="A907" s="13">
        <f ca="1">IFERROR(__xludf.DUMMYFUNCTION("""COMPUTED_VALUE"""),45163.6458333333)</f>
        <v>45163.645833333299</v>
      </c>
      <c r="B907" s="14">
        <f ca="1">IFERROR(__xludf.DUMMYFUNCTION("""COMPUTED_VALUE"""),3381.3)</f>
        <v>3381.3</v>
      </c>
      <c r="C907" s="15">
        <f t="shared" ca="1" si="6"/>
        <v>-1.9039185299977168E-3</v>
      </c>
      <c r="D907" s="14">
        <f t="shared" ca="1" si="7"/>
        <v>3360.2469999999994</v>
      </c>
      <c r="E907" s="17"/>
      <c r="F907" s="17"/>
    </row>
    <row r="908" spans="1:6" ht="12.75" x14ac:dyDescent="0.2">
      <c r="A908" s="13">
        <f ca="1">IFERROR(__xludf.DUMMYFUNCTION("""COMPUTED_VALUE"""),45166.6458333333)</f>
        <v>45166.645833333299</v>
      </c>
      <c r="B908" s="14">
        <f ca="1">IFERROR(__xludf.DUMMYFUNCTION("""COMPUTED_VALUE"""),3375.55)</f>
        <v>3375.55</v>
      </c>
      <c r="C908" s="15">
        <f t="shared" ca="1" si="6"/>
        <v>-1.7005293821902301E-3</v>
      </c>
      <c r="D908" s="14">
        <f t="shared" ca="1" si="7"/>
        <v>3363.4319999999993</v>
      </c>
      <c r="E908" s="17"/>
      <c r="F908" s="17"/>
    </row>
    <row r="909" spans="1:6" ht="12.75" x14ac:dyDescent="0.2">
      <c r="A909" s="13">
        <f ca="1">IFERROR(__xludf.DUMMYFUNCTION("""COMPUTED_VALUE"""),45167.6458333333)</f>
        <v>45167.645833333299</v>
      </c>
      <c r="B909" s="14">
        <f ca="1">IFERROR(__xludf.DUMMYFUNCTION("""COMPUTED_VALUE"""),3376.15)</f>
        <v>3376.15</v>
      </c>
      <c r="C909" s="15">
        <f t="shared" ca="1" si="6"/>
        <v>1.7774881130483422E-4</v>
      </c>
      <c r="D909" s="14">
        <f t="shared" ca="1" si="7"/>
        <v>3367.4569999999994</v>
      </c>
      <c r="E909" s="17"/>
      <c r="F909" s="17"/>
    </row>
    <row r="910" spans="1:6" ht="12.75" x14ac:dyDescent="0.2">
      <c r="A910" s="13">
        <f ca="1">IFERROR(__xludf.DUMMYFUNCTION("""COMPUTED_VALUE"""),45168.6458333333)</f>
        <v>45168.645833333299</v>
      </c>
      <c r="B910" s="14">
        <f ca="1">IFERROR(__xludf.DUMMYFUNCTION("""COMPUTED_VALUE"""),3390.95)</f>
        <v>3390.95</v>
      </c>
      <c r="C910" s="15">
        <f t="shared" ca="1" si="6"/>
        <v>4.3836914829020746E-3</v>
      </c>
      <c r="D910" s="14">
        <f t="shared" ca="1" si="7"/>
        <v>3371.0679999999993</v>
      </c>
      <c r="E910" s="17"/>
      <c r="F910" s="17"/>
    </row>
    <row r="911" spans="1:6" ht="12.75" x14ac:dyDescent="0.2">
      <c r="A911" s="13">
        <f ca="1">IFERROR(__xludf.DUMMYFUNCTION("""COMPUTED_VALUE"""),45169.6458333333)</f>
        <v>45169.645833333299</v>
      </c>
      <c r="B911" s="14">
        <f ca="1">IFERROR(__xludf.DUMMYFUNCTION("""COMPUTED_VALUE"""),3356.8)</f>
        <v>3356.8</v>
      </c>
      <c r="C911" s="15">
        <f t="shared" ca="1" si="6"/>
        <v>-1.0070924077323351E-2</v>
      </c>
      <c r="D911" s="14">
        <f t="shared" ca="1" si="7"/>
        <v>3373.6499999999996</v>
      </c>
      <c r="E911" s="17"/>
      <c r="F911" s="17"/>
    </row>
    <row r="912" spans="1:6" ht="12.75" x14ac:dyDescent="0.2">
      <c r="A912" s="13">
        <f ca="1">IFERROR(__xludf.DUMMYFUNCTION("""COMPUTED_VALUE"""),45170.6458333333)</f>
        <v>45170.645833333299</v>
      </c>
      <c r="B912" s="14">
        <f ca="1">IFERROR(__xludf.DUMMYFUNCTION("""COMPUTED_VALUE"""),3379.2)</f>
        <v>3379.2</v>
      </c>
      <c r="C912" s="15">
        <f t="shared" ca="1" si="6"/>
        <v>6.673021925643452E-3</v>
      </c>
      <c r="D912" s="14">
        <f t="shared" ca="1" si="7"/>
        <v>3376.07</v>
      </c>
      <c r="E912" s="17"/>
      <c r="F912" s="17"/>
    </row>
    <row r="913" spans="1:6" ht="12.75" x14ac:dyDescent="0.2">
      <c r="A913" s="13">
        <f ca="1">IFERROR(__xludf.DUMMYFUNCTION("""COMPUTED_VALUE"""),45173.6458333333)</f>
        <v>45173.645833333299</v>
      </c>
      <c r="B913" s="14">
        <f ca="1">IFERROR(__xludf.DUMMYFUNCTION("""COMPUTED_VALUE"""),3418.5)</f>
        <v>3418.5</v>
      </c>
      <c r="C913" s="15">
        <f t="shared" ca="1" si="6"/>
        <v>1.1629971590909172E-2</v>
      </c>
      <c r="D913" s="14">
        <f t="shared" ca="1" si="7"/>
        <v>3379.6699999999996</v>
      </c>
      <c r="E913" s="17"/>
      <c r="F913" s="17"/>
    </row>
    <row r="914" spans="1:6" ht="12.75" x14ac:dyDescent="0.2">
      <c r="A914" s="13">
        <f ca="1">IFERROR(__xludf.DUMMYFUNCTION("""COMPUTED_VALUE"""),45174.6458333333)</f>
        <v>45174.645833333299</v>
      </c>
      <c r="B914" s="14">
        <f ca="1">IFERROR(__xludf.DUMMYFUNCTION("""COMPUTED_VALUE"""),3429.35)</f>
        <v>3429.35</v>
      </c>
      <c r="C914" s="15">
        <f t="shared" ca="1" si="6"/>
        <v>3.1739066842182417E-3</v>
      </c>
      <c r="D914" s="14">
        <f t="shared" ca="1" si="7"/>
        <v>3383.93</v>
      </c>
      <c r="E914" s="17"/>
      <c r="F914" s="17"/>
    </row>
    <row r="915" spans="1:6" ht="12.75" x14ac:dyDescent="0.2">
      <c r="A915" s="13">
        <f ca="1">IFERROR(__xludf.DUMMYFUNCTION("""COMPUTED_VALUE"""),45175.6458333333)</f>
        <v>45175.645833333299</v>
      </c>
      <c r="B915" s="14">
        <f ca="1">IFERROR(__xludf.DUMMYFUNCTION("""COMPUTED_VALUE"""),3429.9)</f>
        <v>3429.9</v>
      </c>
      <c r="C915" s="15">
        <f t="shared" ca="1" si="6"/>
        <v>1.6038024698561415E-4</v>
      </c>
      <c r="D915" s="14">
        <f t="shared" ca="1" si="7"/>
        <v>3388.7350000000001</v>
      </c>
      <c r="E915" s="17"/>
      <c r="F915" s="17"/>
    </row>
    <row r="916" spans="1:6" ht="12.75" x14ac:dyDescent="0.2">
      <c r="A916" s="13">
        <f ca="1">IFERROR(__xludf.DUMMYFUNCTION("""COMPUTED_VALUE"""),45176.6458333333)</f>
        <v>45176.645833333299</v>
      </c>
      <c r="B916" s="14">
        <f ca="1">IFERROR(__xludf.DUMMYFUNCTION("""COMPUTED_VALUE"""),3455.25)</f>
        <v>3455.25</v>
      </c>
      <c r="C916" s="15">
        <f t="shared" ca="1" si="6"/>
        <v>7.3908860316627134E-3</v>
      </c>
      <c r="D916" s="14">
        <f t="shared" ca="1" si="7"/>
        <v>3393.893</v>
      </c>
      <c r="E916" s="17"/>
      <c r="F916" s="17"/>
    </row>
    <row r="917" spans="1:6" ht="12.75" x14ac:dyDescent="0.2">
      <c r="A917" s="13">
        <f ca="1">IFERROR(__xludf.DUMMYFUNCTION("""COMPUTED_VALUE"""),45177.6458333333)</f>
        <v>45177.645833333299</v>
      </c>
      <c r="B917" s="14">
        <f ca="1">IFERROR(__xludf.DUMMYFUNCTION("""COMPUTED_VALUE"""),3441.9)</f>
        <v>3441.9</v>
      </c>
      <c r="C917" s="15">
        <f t="shared" ca="1" si="6"/>
        <v>-3.8636856956804078E-3</v>
      </c>
      <c r="D917" s="14">
        <f t="shared" ca="1" si="7"/>
        <v>3398.4219999999996</v>
      </c>
      <c r="E917" s="17"/>
      <c r="F917" s="17"/>
    </row>
    <row r="918" spans="1:6" ht="12.75" x14ac:dyDescent="0.2">
      <c r="A918" s="13">
        <f ca="1">IFERROR(__xludf.DUMMYFUNCTION("""COMPUTED_VALUE"""),45180.6458333333)</f>
        <v>45180.645833333299</v>
      </c>
      <c r="B918" s="14">
        <f ca="1">IFERROR(__xludf.DUMMYFUNCTION("""COMPUTED_VALUE"""),3480.65)</f>
        <v>3480.65</v>
      </c>
      <c r="C918" s="15">
        <f t="shared" ca="1" si="6"/>
        <v>1.1258316627444254E-2</v>
      </c>
      <c r="D918" s="14">
        <f t="shared" ca="1" si="7"/>
        <v>3401.99</v>
      </c>
      <c r="E918" s="17"/>
      <c r="F918" s="17"/>
    </row>
    <row r="919" spans="1:6" ht="12.75" x14ac:dyDescent="0.2">
      <c r="A919" s="13">
        <f ca="1">IFERROR(__xludf.DUMMYFUNCTION("""COMPUTED_VALUE"""),45181.6458333333)</f>
        <v>45181.645833333299</v>
      </c>
      <c r="B919" s="14">
        <f ca="1">IFERROR(__xludf.DUMMYFUNCTION("""COMPUTED_VALUE"""),3580.8)</f>
        <v>3580.8</v>
      </c>
      <c r="C919" s="15">
        <f t="shared" ca="1" si="6"/>
        <v>2.8773361297458777E-2</v>
      </c>
      <c r="D919" s="14">
        <f t="shared" ca="1" si="7"/>
        <v>3408.16</v>
      </c>
      <c r="E919" s="17"/>
      <c r="F919" s="17"/>
    </row>
    <row r="920" spans="1:6" ht="12.75" x14ac:dyDescent="0.2">
      <c r="A920" s="13">
        <f ca="1">IFERROR(__xludf.DUMMYFUNCTION("""COMPUTED_VALUE"""),45182.6458333333)</f>
        <v>45182.645833333299</v>
      </c>
      <c r="B920" s="14">
        <f ca="1">IFERROR(__xludf.DUMMYFUNCTION("""COMPUTED_VALUE"""),3567.85)</f>
        <v>3567.85</v>
      </c>
      <c r="C920" s="15">
        <f t="shared" ca="1" si="6"/>
        <v>-3.6165102770331359E-3</v>
      </c>
      <c r="D920" s="14">
        <f t="shared" ca="1" si="7"/>
        <v>3413.3400000000006</v>
      </c>
      <c r="E920" s="17"/>
      <c r="F920" s="17"/>
    </row>
    <row r="921" spans="1:6" ht="12.75" x14ac:dyDescent="0.2">
      <c r="A921" s="13">
        <f ca="1">IFERROR(__xludf.DUMMYFUNCTION("""COMPUTED_VALUE"""),45183.6458333333)</f>
        <v>45183.645833333299</v>
      </c>
      <c r="B921" s="14">
        <f ca="1">IFERROR(__xludf.DUMMYFUNCTION("""COMPUTED_VALUE"""),3560.05)</f>
        <v>3560.05</v>
      </c>
      <c r="C921" s="15">
        <f t="shared" ca="1" si="6"/>
        <v>-2.1861905629440015E-3</v>
      </c>
      <c r="D921" s="14">
        <f t="shared" ca="1" si="7"/>
        <v>3418.1420000000003</v>
      </c>
      <c r="E921" s="17"/>
      <c r="F921" s="17"/>
    </row>
    <row r="922" spans="1:6" ht="12.75" x14ac:dyDescent="0.2">
      <c r="A922" s="13">
        <f ca="1">IFERROR(__xludf.DUMMYFUNCTION("""COMPUTED_VALUE"""),45184.6458333333)</f>
        <v>45184.645833333299</v>
      </c>
      <c r="B922" s="14">
        <f ca="1">IFERROR(__xludf.DUMMYFUNCTION("""COMPUTED_VALUE"""),3598.3)</f>
        <v>3598.3</v>
      </c>
      <c r="C922" s="15">
        <f t="shared" ca="1" si="6"/>
        <v>1.074423112034939E-2</v>
      </c>
      <c r="D922" s="14">
        <f t="shared" ca="1" si="7"/>
        <v>3423.65</v>
      </c>
      <c r="E922" s="17"/>
      <c r="F922" s="17"/>
    </row>
    <row r="923" spans="1:6" ht="12.75" x14ac:dyDescent="0.2">
      <c r="A923" s="13">
        <f ca="1">IFERROR(__xludf.DUMMYFUNCTION("""COMPUTED_VALUE"""),45187.6458333333)</f>
        <v>45187.645833333299</v>
      </c>
      <c r="B923" s="14">
        <f ca="1">IFERROR(__xludf.DUMMYFUNCTION("""COMPUTED_VALUE"""),3606.15)</f>
        <v>3606.15</v>
      </c>
      <c r="C923" s="15">
        <f t="shared" ca="1" si="6"/>
        <v>2.1815857488258761E-3</v>
      </c>
      <c r="D923" s="14">
        <f t="shared" ca="1" si="7"/>
        <v>3429.1879999999992</v>
      </c>
      <c r="E923" s="17"/>
      <c r="F923" s="17"/>
    </row>
    <row r="924" spans="1:6" ht="12.75" x14ac:dyDescent="0.2">
      <c r="A924" s="13">
        <f ca="1">IFERROR(__xludf.DUMMYFUNCTION("""COMPUTED_VALUE"""),45189.6458333333)</f>
        <v>45189.645833333299</v>
      </c>
      <c r="B924" s="14">
        <f ca="1">IFERROR(__xludf.DUMMYFUNCTION("""COMPUTED_VALUE"""),3606.05)</f>
        <v>3606.05</v>
      </c>
      <c r="C924" s="15">
        <f t="shared" ca="1" si="6"/>
        <v>-2.7730405002590608E-5</v>
      </c>
      <c r="D924" s="14">
        <f t="shared" ca="1" si="7"/>
        <v>3435.869999999999</v>
      </c>
      <c r="E924" s="17"/>
      <c r="F924" s="17"/>
    </row>
    <row r="925" spans="1:6" ht="12.75" x14ac:dyDescent="0.2">
      <c r="A925" s="13">
        <f ca="1">IFERROR(__xludf.DUMMYFUNCTION("""COMPUTED_VALUE"""),45190.6458333333)</f>
        <v>45190.645833333299</v>
      </c>
      <c r="B925" s="14">
        <f ca="1">IFERROR(__xludf.DUMMYFUNCTION("""COMPUTED_VALUE"""),3585.3)</f>
        <v>3585.3</v>
      </c>
      <c r="C925" s="15">
        <f t="shared" ca="1" si="6"/>
        <v>-5.7542186048445965E-3</v>
      </c>
      <c r="D925" s="14">
        <f t="shared" ca="1" si="7"/>
        <v>3442.1279999999988</v>
      </c>
      <c r="E925" s="17"/>
      <c r="F925" s="17"/>
    </row>
    <row r="926" spans="1:6" ht="12.75" x14ac:dyDescent="0.2">
      <c r="A926" s="13">
        <f ca="1">IFERROR(__xludf.DUMMYFUNCTION("""COMPUTED_VALUE"""),45191.6458333333)</f>
        <v>45191.645833333299</v>
      </c>
      <c r="B926" s="14">
        <f ca="1">IFERROR(__xludf.DUMMYFUNCTION("""COMPUTED_VALUE"""),3603.65)</f>
        <v>3603.65</v>
      </c>
      <c r="C926" s="15">
        <f t="shared" ca="1" si="6"/>
        <v>5.1181212171924617E-3</v>
      </c>
      <c r="D926" s="14">
        <f t="shared" ca="1" si="7"/>
        <v>3449.0029999999988</v>
      </c>
      <c r="E926" s="17"/>
      <c r="F926" s="17"/>
    </row>
    <row r="927" spans="1:6" ht="12.75" x14ac:dyDescent="0.2">
      <c r="A927" s="13">
        <f ca="1">IFERROR(__xludf.DUMMYFUNCTION("""COMPUTED_VALUE"""),45194.6458333333)</f>
        <v>45194.645833333299</v>
      </c>
      <c r="B927" s="14">
        <f ca="1">IFERROR(__xludf.DUMMYFUNCTION("""COMPUTED_VALUE"""),3577.15)</f>
        <v>3577.15</v>
      </c>
      <c r="C927" s="15">
        <f t="shared" ca="1" si="6"/>
        <v>-7.3536553216877465E-3</v>
      </c>
      <c r="D927" s="14">
        <f t="shared" ca="1" si="7"/>
        <v>3453.7349999999983</v>
      </c>
      <c r="E927" s="17"/>
      <c r="F927" s="17"/>
    </row>
    <row r="928" spans="1:6" ht="12.75" x14ac:dyDescent="0.2">
      <c r="A928" s="13">
        <f ca="1">IFERROR(__xludf.DUMMYFUNCTION("""COMPUTED_VALUE"""),45195.6458333333)</f>
        <v>45195.645833333299</v>
      </c>
      <c r="B928" s="14">
        <f ca="1">IFERROR(__xludf.DUMMYFUNCTION("""COMPUTED_VALUE"""),3585.7)</f>
        <v>3585.7</v>
      </c>
      <c r="C928" s="15">
        <f t="shared" ca="1" si="6"/>
        <v>2.3901709461442433E-3</v>
      </c>
      <c r="D928" s="14">
        <f t="shared" ca="1" si="7"/>
        <v>3455.1559999999986</v>
      </c>
      <c r="E928" s="17"/>
      <c r="F928" s="17"/>
    </row>
    <row r="929" spans="1:6" ht="12.75" x14ac:dyDescent="0.2">
      <c r="A929" s="13">
        <f ca="1">IFERROR(__xludf.DUMMYFUNCTION("""COMPUTED_VALUE"""),45196.6458333333)</f>
        <v>45196.645833333299</v>
      </c>
      <c r="B929" s="14">
        <f ca="1">IFERROR(__xludf.DUMMYFUNCTION("""COMPUTED_VALUE"""),3589.3)</f>
        <v>3589.3</v>
      </c>
      <c r="C929" s="15">
        <f t="shared" ca="1" si="6"/>
        <v>1.003988063697614E-3</v>
      </c>
      <c r="D929" s="14">
        <f t="shared" ca="1" si="7"/>
        <v>3457.1079999999988</v>
      </c>
      <c r="E929" s="17"/>
      <c r="F929" s="17"/>
    </row>
    <row r="930" spans="1:6" ht="12.75" x14ac:dyDescent="0.2">
      <c r="A930" s="13">
        <f ca="1">IFERROR(__xludf.DUMMYFUNCTION("""COMPUTED_VALUE"""),45197.6458333333)</f>
        <v>45197.645833333299</v>
      </c>
      <c r="B930" s="14">
        <f ca="1">IFERROR(__xludf.DUMMYFUNCTION("""COMPUTED_VALUE"""),3536.75)</f>
        <v>3536.75</v>
      </c>
      <c r="C930" s="15">
        <f t="shared" ca="1" si="6"/>
        <v>-1.4640737748307542E-2</v>
      </c>
      <c r="D930" s="14">
        <f t="shared" ca="1" si="7"/>
        <v>3457.9059999999986</v>
      </c>
      <c r="E930" s="17"/>
      <c r="F930" s="17"/>
    </row>
    <row r="931" spans="1:6" ht="12.75" x14ac:dyDescent="0.2">
      <c r="A931" s="13">
        <f ca="1">IFERROR(__xludf.DUMMYFUNCTION("""COMPUTED_VALUE"""),45198.6458333333)</f>
        <v>45198.645833333299</v>
      </c>
      <c r="B931" s="14">
        <f ca="1">IFERROR(__xludf.DUMMYFUNCTION("""COMPUTED_VALUE"""),3528.6)</f>
        <v>3528.6</v>
      </c>
      <c r="C931" s="15">
        <f t="shared" ca="1" si="6"/>
        <v>-2.3043754859687349E-3</v>
      </c>
      <c r="D931" s="14">
        <f t="shared" ca="1" si="7"/>
        <v>3459.0769999999984</v>
      </c>
      <c r="E931" s="17"/>
      <c r="F931" s="17"/>
    </row>
    <row r="932" spans="1:6" ht="12.75" x14ac:dyDescent="0.2">
      <c r="A932" s="13">
        <f ca="1">IFERROR(__xludf.DUMMYFUNCTION("""COMPUTED_VALUE"""),45202.6458333333)</f>
        <v>45202.645833333299</v>
      </c>
      <c r="B932" s="14">
        <f ca="1">IFERROR(__xludf.DUMMYFUNCTION("""COMPUTED_VALUE"""),3513.85)</f>
        <v>3513.85</v>
      </c>
      <c r="C932" s="15">
        <f t="shared" ca="1" si="6"/>
        <v>-4.1801280961287768E-3</v>
      </c>
      <c r="D932" s="14">
        <f t="shared" ca="1" si="7"/>
        <v>3460.0879999999988</v>
      </c>
      <c r="E932" s="17"/>
      <c r="F932" s="17"/>
    </row>
    <row r="933" spans="1:6" ht="12.75" x14ac:dyDescent="0.2">
      <c r="A933" s="13">
        <f ca="1">IFERROR(__xludf.DUMMYFUNCTION("""COMPUTED_VALUE"""),45203.6458333333)</f>
        <v>45203.645833333299</v>
      </c>
      <c r="B933" s="14">
        <f ca="1">IFERROR(__xludf.DUMMYFUNCTION("""COMPUTED_VALUE"""),3537.75)</f>
        <v>3537.75</v>
      </c>
      <c r="C933" s="15">
        <f t="shared" ca="1" si="6"/>
        <v>6.8016563029156263E-3</v>
      </c>
      <c r="D933" s="14">
        <f t="shared" ca="1" si="7"/>
        <v>3463.476999999999</v>
      </c>
      <c r="E933" s="17"/>
      <c r="F933" s="17"/>
    </row>
    <row r="934" spans="1:6" ht="12.75" x14ac:dyDescent="0.2">
      <c r="A934" s="13">
        <f ca="1">IFERROR(__xludf.DUMMYFUNCTION("""COMPUTED_VALUE"""),45204.6458333333)</f>
        <v>45204.645833333299</v>
      </c>
      <c r="B934" s="14">
        <f ca="1">IFERROR(__xludf.DUMMYFUNCTION("""COMPUTED_VALUE"""),3589.35)</f>
        <v>3589.35</v>
      </c>
      <c r="C934" s="15">
        <f t="shared" ca="1" si="6"/>
        <v>1.4585541657833323E-2</v>
      </c>
      <c r="D934" s="14">
        <f t="shared" ca="1" si="7"/>
        <v>3467.3689999999997</v>
      </c>
      <c r="E934" s="17"/>
      <c r="F934" s="17"/>
    </row>
    <row r="935" spans="1:6" ht="12.75" x14ac:dyDescent="0.2">
      <c r="A935" s="13">
        <f ca="1">IFERROR(__xludf.DUMMYFUNCTION("""COMPUTED_VALUE"""),45205.6458333333)</f>
        <v>45205.645833333299</v>
      </c>
      <c r="B935" s="14">
        <f ca="1">IFERROR(__xludf.DUMMYFUNCTION("""COMPUTED_VALUE"""),3621.4)</f>
        <v>3621.4</v>
      </c>
      <c r="C935" s="15">
        <f t="shared" ca="1" si="6"/>
        <v>8.9291933079806984E-3</v>
      </c>
      <c r="D935" s="14">
        <f t="shared" ca="1" si="7"/>
        <v>3471.8139999999999</v>
      </c>
      <c r="E935" s="17"/>
      <c r="F935" s="17"/>
    </row>
    <row r="936" spans="1:6" ht="12.75" x14ac:dyDescent="0.2">
      <c r="A936" s="13">
        <f ca="1">IFERROR(__xludf.DUMMYFUNCTION("""COMPUTED_VALUE"""),45208.6458333333)</f>
        <v>45208.645833333299</v>
      </c>
      <c r="B936" s="14">
        <f ca="1">IFERROR(__xludf.DUMMYFUNCTION("""COMPUTED_VALUE"""),3638.35)</f>
        <v>3638.35</v>
      </c>
      <c r="C936" s="15">
        <f t="shared" ca="1" si="6"/>
        <v>4.6805102998839221E-3</v>
      </c>
      <c r="D936" s="14">
        <f t="shared" ca="1" si="7"/>
        <v>3476.8150000000001</v>
      </c>
      <c r="E936" s="17"/>
      <c r="F936" s="17"/>
    </row>
    <row r="937" spans="1:6" ht="12.75" x14ac:dyDescent="0.2">
      <c r="A937" s="13">
        <f ca="1">IFERROR(__xludf.DUMMYFUNCTION("""COMPUTED_VALUE"""),45209.6458333333)</f>
        <v>45209.645833333299</v>
      </c>
      <c r="B937" s="14">
        <f ca="1">IFERROR(__xludf.DUMMYFUNCTION("""COMPUTED_VALUE"""),3628.9)</f>
        <v>3628.9</v>
      </c>
      <c r="C937" s="15">
        <f t="shared" ca="1" si="6"/>
        <v>-2.59733120782768E-3</v>
      </c>
      <c r="D937" s="14">
        <f t="shared" ca="1" si="7"/>
        <v>3481.4549999999999</v>
      </c>
      <c r="E937" s="17"/>
      <c r="F937" s="17"/>
    </row>
    <row r="938" spans="1:6" ht="12.75" x14ac:dyDescent="0.2">
      <c r="A938" s="13">
        <f ca="1">IFERROR(__xludf.DUMMYFUNCTION("""COMPUTED_VALUE"""),45210.6458333333)</f>
        <v>45210.645833333299</v>
      </c>
      <c r="B938" s="14">
        <f ca="1">IFERROR(__xludf.DUMMYFUNCTION("""COMPUTED_VALUE"""),3609.9)</f>
        <v>3609.9</v>
      </c>
      <c r="C938" s="15">
        <f t="shared" ca="1" si="6"/>
        <v>-5.2357463694232553E-3</v>
      </c>
      <c r="D938" s="14">
        <f t="shared" ca="1" si="7"/>
        <v>3486.5450000000001</v>
      </c>
      <c r="E938" s="17"/>
      <c r="F938" s="17"/>
    </row>
    <row r="939" spans="1:6" ht="12.75" x14ac:dyDescent="0.2">
      <c r="A939" s="13">
        <f ca="1">IFERROR(__xludf.DUMMYFUNCTION("""COMPUTED_VALUE"""),45211.6458333333)</f>
        <v>45211.645833333299</v>
      </c>
      <c r="B939" s="14">
        <f ca="1">IFERROR(__xludf.DUMMYFUNCTION("""COMPUTED_VALUE"""),3542.55)</f>
        <v>3542.55</v>
      </c>
      <c r="C939" s="15">
        <f t="shared" ca="1" si="6"/>
        <v>-1.8657026510429664E-2</v>
      </c>
      <c r="D939" s="14">
        <f t="shared" ca="1" si="7"/>
        <v>3488.9670000000001</v>
      </c>
      <c r="E939" s="17"/>
      <c r="F939" s="17"/>
    </row>
    <row r="940" spans="1:6" ht="12.75" x14ac:dyDescent="0.2">
      <c r="A940" s="13">
        <f ca="1">IFERROR(__xludf.DUMMYFUNCTION("""COMPUTED_VALUE"""),45212.6458333333)</f>
        <v>45212.645833333299</v>
      </c>
      <c r="B940" s="14">
        <f ca="1">IFERROR(__xludf.DUMMYFUNCTION("""COMPUTED_VALUE"""),3570.85)</f>
        <v>3570.85</v>
      </c>
      <c r="C940" s="15">
        <f t="shared" ca="1" si="6"/>
        <v>7.9885957855216905E-3</v>
      </c>
      <c r="D940" s="14">
        <f t="shared" ca="1" si="7"/>
        <v>3491.3429999999998</v>
      </c>
      <c r="E940" s="17"/>
      <c r="F940" s="17"/>
    </row>
    <row r="941" spans="1:6" ht="12.75" x14ac:dyDescent="0.2">
      <c r="A941" s="13">
        <f ca="1">IFERROR(__xludf.DUMMYFUNCTION("""COMPUTED_VALUE"""),45215.6458333333)</f>
        <v>45215.645833333299</v>
      </c>
      <c r="B941" s="14">
        <f ca="1">IFERROR(__xludf.DUMMYFUNCTION("""COMPUTED_VALUE"""),3524.05)</f>
        <v>3524.05</v>
      </c>
      <c r="C941" s="15">
        <f t="shared" ca="1" si="6"/>
        <v>-1.3106123191957031E-2</v>
      </c>
      <c r="D941" s="14">
        <f t="shared" ca="1" si="7"/>
        <v>3493.011</v>
      </c>
      <c r="E941" s="17"/>
      <c r="F941" s="17"/>
    </row>
    <row r="942" spans="1:6" ht="12.75" x14ac:dyDescent="0.2">
      <c r="A942" s="13">
        <f ca="1">IFERROR(__xludf.DUMMYFUNCTION("""COMPUTED_VALUE"""),45216.6458333333)</f>
        <v>45216.645833333299</v>
      </c>
      <c r="B942" s="14">
        <f ca="1">IFERROR(__xludf.DUMMYFUNCTION("""COMPUTED_VALUE"""),3507.05)</f>
        <v>3507.05</v>
      </c>
      <c r="C942" s="15">
        <f t="shared" ca="1" si="6"/>
        <v>-4.8239951192520225E-3</v>
      </c>
      <c r="D942" s="14">
        <f t="shared" ca="1" si="7"/>
        <v>3495.1529999999993</v>
      </c>
      <c r="E942" s="17"/>
      <c r="F942" s="17"/>
    </row>
    <row r="943" spans="1:6" ht="12.75" x14ac:dyDescent="0.2">
      <c r="A943" s="13">
        <f ca="1">IFERROR(__xludf.DUMMYFUNCTION("""COMPUTED_VALUE"""),45217.6458333333)</f>
        <v>45217.645833333299</v>
      </c>
      <c r="B943" s="14">
        <f ca="1">IFERROR(__xludf.DUMMYFUNCTION("""COMPUTED_VALUE"""),3487.25)</f>
        <v>3487.25</v>
      </c>
      <c r="C943" s="15">
        <f t="shared" ca="1" si="6"/>
        <v>-5.6457706619523762E-3</v>
      </c>
      <c r="D943" s="14">
        <f t="shared" ca="1" si="7"/>
        <v>3496.0269999999991</v>
      </c>
      <c r="E943" s="17"/>
      <c r="F943" s="17"/>
    </row>
    <row r="944" spans="1:6" ht="12.75" x14ac:dyDescent="0.2">
      <c r="A944" s="13">
        <f ca="1">IFERROR(__xludf.DUMMYFUNCTION("""COMPUTED_VALUE"""),45218.6458333333)</f>
        <v>45218.645833333299</v>
      </c>
      <c r="B944" s="14">
        <f ca="1">IFERROR(__xludf.DUMMYFUNCTION("""COMPUTED_VALUE"""),3455.65)</f>
        <v>3455.65</v>
      </c>
      <c r="C944" s="15">
        <f t="shared" ca="1" si="6"/>
        <v>-9.0615814753745028E-3</v>
      </c>
      <c r="D944" s="14">
        <f t="shared" ca="1" si="7"/>
        <v>3495.4589999999989</v>
      </c>
      <c r="E944" s="17"/>
      <c r="F944" s="17"/>
    </row>
    <row r="945" spans="1:6" ht="12.75" x14ac:dyDescent="0.2">
      <c r="A945" s="13">
        <f ca="1">IFERROR(__xludf.DUMMYFUNCTION("""COMPUTED_VALUE"""),45219.6458333333)</f>
        <v>45219.645833333299</v>
      </c>
      <c r="B945" s="14">
        <f ca="1">IFERROR(__xludf.DUMMYFUNCTION("""COMPUTED_VALUE"""),3494.55)</f>
        <v>3494.55</v>
      </c>
      <c r="C945" s="15">
        <f t="shared" ca="1" si="6"/>
        <v>1.1256927061479072E-2</v>
      </c>
      <c r="D945" s="14">
        <f t="shared" ca="1" si="7"/>
        <v>3495.9379999999987</v>
      </c>
      <c r="E945" s="17"/>
      <c r="F945" s="17"/>
    </row>
    <row r="946" spans="1:6" ht="12.75" x14ac:dyDescent="0.2">
      <c r="A946" s="13">
        <f ca="1">IFERROR(__xludf.DUMMYFUNCTION("""COMPUTED_VALUE"""),45222.6458333333)</f>
        <v>45222.645833333299</v>
      </c>
      <c r="B946" s="14">
        <f ca="1">IFERROR(__xludf.DUMMYFUNCTION("""COMPUTED_VALUE"""),3410.15)</f>
        <v>3410.15</v>
      </c>
      <c r="C946" s="15">
        <f t="shared" ca="1" si="6"/>
        <v>-2.4151893662989532E-2</v>
      </c>
      <c r="D946" s="14">
        <f t="shared" ca="1" si="7"/>
        <v>3494.8909999999987</v>
      </c>
      <c r="E946" s="17"/>
      <c r="F946" s="17"/>
    </row>
    <row r="947" spans="1:6" ht="12.75" x14ac:dyDescent="0.2">
      <c r="A947" s="13">
        <f ca="1">IFERROR(__xludf.DUMMYFUNCTION("""COMPUTED_VALUE"""),45224.6458333333)</f>
        <v>45224.645833333299</v>
      </c>
      <c r="B947" s="14">
        <f ca="1">IFERROR(__xludf.DUMMYFUNCTION("""COMPUTED_VALUE"""),3390.1)</f>
        <v>3390.1</v>
      </c>
      <c r="C947" s="15">
        <f t="shared" ca="1" si="6"/>
        <v>-5.8795067665645684E-3</v>
      </c>
      <c r="D947" s="14">
        <f t="shared" ca="1" si="7"/>
        <v>3493.8509999999992</v>
      </c>
      <c r="E947" s="17"/>
      <c r="F947" s="17"/>
    </row>
    <row r="948" spans="1:6" ht="12.75" x14ac:dyDescent="0.2">
      <c r="A948" s="13">
        <f ca="1">IFERROR(__xludf.DUMMYFUNCTION("""COMPUTED_VALUE"""),45225.6458333333)</f>
        <v>45225.645833333299</v>
      </c>
      <c r="B948" s="14">
        <f ca="1">IFERROR(__xludf.DUMMYFUNCTION("""COMPUTED_VALUE"""),3336.75)</f>
        <v>3336.75</v>
      </c>
      <c r="C948" s="15">
        <f t="shared" ca="1" si="6"/>
        <v>-1.5736998908586708E-2</v>
      </c>
      <c r="D948" s="14">
        <f t="shared" ca="1" si="7"/>
        <v>3491.6099999999988</v>
      </c>
      <c r="E948" s="17"/>
      <c r="F948" s="17"/>
    </row>
    <row r="949" spans="1:6" ht="12.75" x14ac:dyDescent="0.2">
      <c r="A949" s="13">
        <f ca="1">IFERROR(__xludf.DUMMYFUNCTION("""COMPUTED_VALUE"""),45226.6458333333)</f>
        <v>45226.645833333299</v>
      </c>
      <c r="B949" s="14">
        <f ca="1">IFERROR(__xludf.DUMMYFUNCTION("""COMPUTED_VALUE"""),3350.95)</f>
        <v>3350.95</v>
      </c>
      <c r="C949" s="15">
        <f t="shared" ca="1" si="6"/>
        <v>4.2556379710796399E-3</v>
      </c>
      <c r="D949" s="14">
        <f t="shared" ca="1" si="7"/>
        <v>3489.6319999999996</v>
      </c>
      <c r="E949" s="17"/>
      <c r="F949" s="17"/>
    </row>
    <row r="950" spans="1:6" ht="12.75" x14ac:dyDescent="0.2">
      <c r="A950" s="13">
        <f ca="1">IFERROR(__xludf.DUMMYFUNCTION("""COMPUTED_VALUE"""),45229.6458333333)</f>
        <v>45229.645833333299</v>
      </c>
      <c r="B950" s="14">
        <f ca="1">IFERROR(__xludf.DUMMYFUNCTION("""COMPUTED_VALUE"""),3378.55)</f>
        <v>3378.55</v>
      </c>
      <c r="C950" s="15">
        <f t="shared" ca="1" si="6"/>
        <v>8.2364702547039759E-3</v>
      </c>
      <c r="D950" s="14">
        <f t="shared" ca="1" si="7"/>
        <v>3488.0349999999994</v>
      </c>
      <c r="E950" s="17"/>
      <c r="F950" s="17"/>
    </row>
    <row r="951" spans="1:6" ht="12.75" x14ac:dyDescent="0.2">
      <c r="A951" s="13">
        <f ca="1">IFERROR(__xludf.DUMMYFUNCTION("""COMPUTED_VALUE"""),45230.6458333333)</f>
        <v>45230.645833333299</v>
      </c>
      <c r="B951" s="14">
        <f ca="1">IFERROR(__xludf.DUMMYFUNCTION("""COMPUTED_VALUE"""),3368.75)</f>
        <v>3368.75</v>
      </c>
      <c r="C951" s="15">
        <f t="shared" ca="1" si="6"/>
        <v>-2.9006526468455807E-3</v>
      </c>
      <c r="D951" s="14">
        <f t="shared" ca="1" si="7"/>
        <v>3486.6949999999993</v>
      </c>
      <c r="E951" s="17"/>
      <c r="F951" s="17"/>
    </row>
    <row r="952" spans="1:6" ht="12.75" x14ac:dyDescent="0.2">
      <c r="A952" s="13">
        <f ca="1">IFERROR(__xludf.DUMMYFUNCTION("""COMPUTED_VALUE"""),45231.6458333333)</f>
        <v>45231.645833333299</v>
      </c>
      <c r="B952" s="14">
        <f ca="1">IFERROR(__xludf.DUMMYFUNCTION("""COMPUTED_VALUE"""),3330.65)</f>
        <v>3330.65</v>
      </c>
      <c r="C952" s="15">
        <f t="shared" ca="1" si="6"/>
        <v>-1.1309833024118698E-2</v>
      </c>
      <c r="D952" s="14">
        <f t="shared" ca="1" si="7"/>
        <v>3485.965999999999</v>
      </c>
      <c r="E952" s="17"/>
      <c r="F952" s="17"/>
    </row>
    <row r="953" spans="1:6" ht="12.75" x14ac:dyDescent="0.2">
      <c r="A953" s="13">
        <f ca="1">IFERROR(__xludf.DUMMYFUNCTION("""COMPUTED_VALUE"""),45232.6458333333)</f>
        <v>45232.645833333299</v>
      </c>
      <c r="B953" s="14">
        <f ca="1">IFERROR(__xludf.DUMMYFUNCTION("""COMPUTED_VALUE"""),3360.1)</f>
        <v>3360.1</v>
      </c>
      <c r="C953" s="15">
        <f t="shared" ca="1" si="6"/>
        <v>8.8421179049134047E-3</v>
      </c>
      <c r="D953" s="14">
        <f t="shared" ca="1" si="7"/>
        <v>3485.1350000000002</v>
      </c>
      <c r="E953" s="17"/>
      <c r="F953" s="17"/>
    </row>
    <row r="954" spans="1:6" ht="12.75" x14ac:dyDescent="0.2">
      <c r="A954" s="13">
        <f ca="1">IFERROR(__xludf.DUMMYFUNCTION("""COMPUTED_VALUE"""),45233.6458333333)</f>
        <v>45233.645833333299</v>
      </c>
      <c r="B954" s="14">
        <f ca="1">IFERROR(__xludf.DUMMYFUNCTION("""COMPUTED_VALUE"""),3350.9)</f>
        <v>3350.9</v>
      </c>
      <c r="C954" s="15">
        <f t="shared" ca="1" si="6"/>
        <v>-2.7380137495907064E-3</v>
      </c>
      <c r="D954" s="14">
        <f t="shared" ca="1" si="7"/>
        <v>3484.51</v>
      </c>
      <c r="E954" s="17"/>
      <c r="F954" s="17"/>
    </row>
    <row r="955" spans="1:6" ht="12.75" x14ac:dyDescent="0.2">
      <c r="A955" s="13">
        <f ca="1">IFERROR(__xludf.DUMMYFUNCTION("""COMPUTED_VALUE"""),45236.6458333333)</f>
        <v>45236.645833333299</v>
      </c>
      <c r="B955" s="14">
        <f ca="1">IFERROR(__xludf.DUMMYFUNCTION("""COMPUTED_VALUE"""),3380.25)</f>
        <v>3380.25</v>
      </c>
      <c r="C955" s="15">
        <f t="shared" ca="1" si="6"/>
        <v>8.7588409084127239E-3</v>
      </c>
      <c r="D955" s="14">
        <f t="shared" ca="1" si="7"/>
        <v>3484.15</v>
      </c>
      <c r="E955" s="17"/>
      <c r="F955" s="17"/>
    </row>
    <row r="956" spans="1:6" ht="12.75" x14ac:dyDescent="0.2">
      <c r="A956" s="13">
        <f ca="1">IFERROR(__xludf.DUMMYFUNCTION("""COMPUTED_VALUE"""),45237.6458333333)</f>
        <v>45237.645833333299</v>
      </c>
      <c r="B956" s="14">
        <f ca="1">IFERROR(__xludf.DUMMYFUNCTION("""COMPUTED_VALUE"""),3370.45)</f>
        <v>3370.45</v>
      </c>
      <c r="C956" s="15">
        <f t="shared" ca="1" si="6"/>
        <v>-2.8991938466090827E-3</v>
      </c>
      <c r="D956" s="14">
        <f t="shared" ca="1" si="7"/>
        <v>3483.8040000000001</v>
      </c>
      <c r="E956" s="17"/>
      <c r="F956" s="17"/>
    </row>
    <row r="957" spans="1:6" ht="12.75" x14ac:dyDescent="0.2">
      <c r="A957" s="13">
        <f ca="1">IFERROR(__xludf.DUMMYFUNCTION("""COMPUTED_VALUE"""),45238.6458333333)</f>
        <v>45238.645833333299</v>
      </c>
      <c r="B957" s="14">
        <f ca="1">IFERROR(__xludf.DUMMYFUNCTION("""COMPUTED_VALUE"""),3381.55)</f>
        <v>3381.55</v>
      </c>
      <c r="C957" s="15">
        <f t="shared" ca="1" si="6"/>
        <v>3.2933287839904679E-3</v>
      </c>
      <c r="D957" s="14">
        <f t="shared" ca="1" si="7"/>
        <v>3483.8090000000002</v>
      </c>
      <c r="E957" s="17"/>
      <c r="F957" s="17"/>
    </row>
    <row r="958" spans="1:6" ht="12.75" x14ac:dyDescent="0.2">
      <c r="A958" s="13">
        <f ca="1">IFERROR(__xludf.DUMMYFUNCTION("""COMPUTED_VALUE"""),45239.6458333333)</f>
        <v>45239.645833333299</v>
      </c>
      <c r="B958" s="14">
        <f ca="1">IFERROR(__xludf.DUMMYFUNCTION("""COMPUTED_VALUE"""),3347.45)</f>
        <v>3347.45</v>
      </c>
      <c r="C958" s="15">
        <f t="shared" ca="1" si="6"/>
        <v>-1.0084133015924812E-2</v>
      </c>
      <c r="D958" s="14">
        <f t="shared" ca="1" si="7"/>
        <v>3483.2470000000008</v>
      </c>
      <c r="E958" s="17"/>
      <c r="F958" s="17"/>
    </row>
    <row r="959" spans="1:6" ht="12.75" x14ac:dyDescent="0.2">
      <c r="A959" s="13">
        <f ca="1">IFERROR(__xludf.DUMMYFUNCTION("""COMPUTED_VALUE"""),45240.6458333333)</f>
        <v>45240.645833333299</v>
      </c>
      <c r="B959" s="14">
        <f ca="1">IFERROR(__xludf.DUMMYFUNCTION("""COMPUTED_VALUE"""),3333.45)</f>
        <v>3333.45</v>
      </c>
      <c r="C959" s="15">
        <f t="shared" ca="1" si="6"/>
        <v>-4.1822880102764248E-3</v>
      </c>
      <c r="D959" s="14">
        <f t="shared" ca="1" si="7"/>
        <v>3482.3930000000009</v>
      </c>
      <c r="E959" s="17"/>
      <c r="F959" s="17"/>
    </row>
    <row r="960" spans="1:6" ht="12.75" x14ac:dyDescent="0.2">
      <c r="A960" s="13">
        <f ca="1">IFERROR(__xludf.DUMMYFUNCTION("""COMPUTED_VALUE"""),45243.6458333333)</f>
        <v>45243.645833333299</v>
      </c>
      <c r="B960" s="14">
        <f ca="1">IFERROR(__xludf.DUMMYFUNCTION("""COMPUTED_VALUE"""),3331.55)</f>
        <v>3331.55</v>
      </c>
      <c r="C960" s="15">
        <f t="shared" ca="1" si="6"/>
        <v>-5.6998005069808233E-4</v>
      </c>
      <c r="D960" s="14">
        <f t="shared" ca="1" si="7"/>
        <v>3481.2050000000004</v>
      </c>
      <c r="E960" s="17"/>
      <c r="F960" s="17"/>
    </row>
    <row r="961" spans="1:6" ht="12.75" x14ac:dyDescent="0.2">
      <c r="A961" s="13">
        <f ca="1">IFERROR(__xludf.DUMMYFUNCTION("""COMPUTED_VALUE"""),45245.6458333333)</f>
        <v>45245.645833333299</v>
      </c>
      <c r="B961" s="14">
        <f ca="1">IFERROR(__xludf.DUMMYFUNCTION("""COMPUTED_VALUE"""),3404.3)</f>
        <v>3404.3</v>
      </c>
      <c r="C961" s="15">
        <f t="shared" ca="1" si="6"/>
        <v>2.1836682625204551E-2</v>
      </c>
      <c r="D961" s="14">
        <f t="shared" ca="1" si="7"/>
        <v>3482.1550000000007</v>
      </c>
      <c r="E961" s="17"/>
      <c r="F961" s="17"/>
    </row>
    <row r="962" spans="1:6" ht="12.75" x14ac:dyDescent="0.2">
      <c r="A962" s="13">
        <f ca="1">IFERROR(__xludf.DUMMYFUNCTION("""COMPUTED_VALUE"""),45246.6458333333)</f>
        <v>45246.645833333299</v>
      </c>
      <c r="B962" s="14">
        <f ca="1">IFERROR(__xludf.DUMMYFUNCTION("""COMPUTED_VALUE"""),3497.85)</f>
        <v>3497.85</v>
      </c>
      <c r="C962" s="15">
        <f t="shared" ca="1" si="6"/>
        <v>2.7479951825632121E-2</v>
      </c>
      <c r="D962" s="14">
        <f t="shared" ca="1" si="7"/>
        <v>3484.5280000000002</v>
      </c>
      <c r="E962" s="17"/>
      <c r="F962" s="17"/>
    </row>
    <row r="963" spans="1:6" ht="12.75" x14ac:dyDescent="0.2">
      <c r="A963" s="13">
        <f ca="1">IFERROR(__xludf.DUMMYFUNCTION("""COMPUTED_VALUE"""),45247.6458333333)</f>
        <v>45247.645833333299</v>
      </c>
      <c r="B963" s="14">
        <f ca="1">IFERROR(__xludf.DUMMYFUNCTION("""COMPUTED_VALUE"""),3502.45)</f>
        <v>3502.45</v>
      </c>
      <c r="C963" s="15">
        <f t="shared" ca="1" si="6"/>
        <v>1.3150935574710587E-3</v>
      </c>
      <c r="D963" s="14">
        <f t="shared" ca="1" si="7"/>
        <v>3486.2070000000008</v>
      </c>
      <c r="E963" s="17"/>
      <c r="F963" s="17"/>
    </row>
    <row r="964" spans="1:6" ht="12.75" x14ac:dyDescent="0.2">
      <c r="A964" s="13">
        <f ca="1">IFERROR(__xludf.DUMMYFUNCTION("""COMPUTED_VALUE"""),45250.6458333333)</f>
        <v>45250.645833333299</v>
      </c>
      <c r="B964" s="14">
        <f ca="1">IFERROR(__xludf.DUMMYFUNCTION("""COMPUTED_VALUE"""),3519.6)</f>
        <v>3519.6</v>
      </c>
      <c r="C964" s="15">
        <f t="shared" ca="1" si="6"/>
        <v>4.896572399320398E-3</v>
      </c>
      <c r="D964" s="14">
        <f t="shared" ca="1" si="7"/>
        <v>3488.0120000000006</v>
      </c>
      <c r="E964" s="17"/>
      <c r="F964" s="17"/>
    </row>
    <row r="965" spans="1:6" ht="12.75" x14ac:dyDescent="0.2">
      <c r="A965" s="13">
        <f ca="1">IFERROR(__xludf.DUMMYFUNCTION("""COMPUTED_VALUE"""),45251.6458333333)</f>
        <v>45251.645833333299</v>
      </c>
      <c r="B965" s="14">
        <f ca="1">IFERROR(__xludf.DUMMYFUNCTION("""COMPUTED_VALUE"""),3510.2)</f>
        <v>3510.2</v>
      </c>
      <c r="C965" s="15">
        <f t="shared" ca="1" si="6"/>
        <v>-2.670758040686505E-3</v>
      </c>
      <c r="D965" s="14">
        <f t="shared" ca="1" si="7"/>
        <v>3489.6180000000004</v>
      </c>
      <c r="E965" s="17"/>
      <c r="F965" s="17"/>
    </row>
    <row r="966" spans="1:6" ht="12.75" x14ac:dyDescent="0.2">
      <c r="A966" s="13">
        <f ca="1">IFERROR(__xludf.DUMMYFUNCTION("""COMPUTED_VALUE"""),45252.6458333333)</f>
        <v>45252.645833333299</v>
      </c>
      <c r="B966" s="14">
        <f ca="1">IFERROR(__xludf.DUMMYFUNCTION("""COMPUTED_VALUE"""),3530.15)</f>
        <v>3530.15</v>
      </c>
      <c r="C966" s="15">
        <f t="shared" ca="1" si="6"/>
        <v>5.6834368412057579E-3</v>
      </c>
      <c r="D966" s="14">
        <f t="shared" ca="1" si="7"/>
        <v>3491.1160000000004</v>
      </c>
      <c r="E966" s="17"/>
      <c r="F966" s="17"/>
    </row>
    <row r="967" spans="1:6" ht="12.75" x14ac:dyDescent="0.2">
      <c r="A967" s="13">
        <f ca="1">IFERROR(__xludf.DUMMYFUNCTION("""COMPUTED_VALUE"""),45253.6458333333)</f>
        <v>45253.645833333299</v>
      </c>
      <c r="B967" s="14">
        <f ca="1">IFERROR(__xludf.DUMMYFUNCTION("""COMPUTED_VALUE"""),3508.25)</f>
        <v>3508.25</v>
      </c>
      <c r="C967" s="15">
        <f t="shared" ca="1" si="6"/>
        <v>-6.2037023922496548E-3</v>
      </c>
      <c r="D967" s="14">
        <f t="shared" ca="1" si="7"/>
        <v>3492.4430000000007</v>
      </c>
      <c r="E967" s="17"/>
      <c r="F967" s="17"/>
    </row>
    <row r="968" spans="1:6" ht="12.75" x14ac:dyDescent="0.2">
      <c r="A968" s="13">
        <f ca="1">IFERROR(__xludf.DUMMYFUNCTION("""COMPUTED_VALUE"""),45254.6458333333)</f>
        <v>45254.645833333299</v>
      </c>
      <c r="B968" s="14">
        <f ca="1">IFERROR(__xludf.DUMMYFUNCTION("""COMPUTED_VALUE"""),3457.1)</f>
        <v>3457.1</v>
      </c>
      <c r="C968" s="15">
        <f t="shared" ca="1" si="6"/>
        <v>-1.4579918762915978E-2</v>
      </c>
      <c r="D968" s="14">
        <f t="shared" ca="1" si="7"/>
        <v>3491.9720000000007</v>
      </c>
      <c r="E968" s="17"/>
      <c r="F968" s="17"/>
    </row>
    <row r="969" spans="1:6" ht="12.75" x14ac:dyDescent="0.2">
      <c r="A969" s="13">
        <f ca="1">IFERROR(__xludf.DUMMYFUNCTION("""COMPUTED_VALUE"""),45258.6458333333)</f>
        <v>45258.645833333299</v>
      </c>
      <c r="B969" s="14">
        <f ca="1">IFERROR(__xludf.DUMMYFUNCTION("""COMPUTED_VALUE"""),3470.15)</f>
        <v>3470.15</v>
      </c>
      <c r="C969" s="15">
        <f t="shared" ca="1" si="6"/>
        <v>3.7748401839692303E-3</v>
      </c>
      <c r="D969" s="14">
        <f t="shared" ca="1" si="7"/>
        <v>3489.7590000000009</v>
      </c>
      <c r="E969" s="17"/>
      <c r="F969" s="17"/>
    </row>
    <row r="970" spans="1:6" ht="12.75" x14ac:dyDescent="0.2">
      <c r="A970" s="13">
        <f ca="1">IFERROR(__xludf.DUMMYFUNCTION("""COMPUTED_VALUE"""),45259.6458333333)</f>
        <v>45259.645833333299</v>
      </c>
      <c r="B970" s="14">
        <f ca="1">IFERROR(__xludf.DUMMYFUNCTION("""COMPUTED_VALUE"""),3513.75)</f>
        <v>3513.75</v>
      </c>
      <c r="C970" s="15">
        <f t="shared" ca="1" si="6"/>
        <v>1.2564298373269223E-2</v>
      </c>
      <c r="D970" s="14">
        <f t="shared" ca="1" si="7"/>
        <v>3488.6770000000006</v>
      </c>
      <c r="E970" s="17"/>
      <c r="F970" s="17"/>
    </row>
    <row r="971" spans="1:6" ht="12.75" x14ac:dyDescent="0.2">
      <c r="A971" s="13">
        <f ca="1">IFERROR(__xludf.DUMMYFUNCTION("""COMPUTED_VALUE"""),45260.6458333333)</f>
        <v>45260.645833333299</v>
      </c>
      <c r="B971" s="14">
        <f ca="1">IFERROR(__xludf.DUMMYFUNCTION("""COMPUTED_VALUE"""),3487.6)</f>
        <v>3487.6</v>
      </c>
      <c r="C971" s="15">
        <f t="shared" ca="1" si="6"/>
        <v>-7.4421913909641368E-3</v>
      </c>
      <c r="D971" s="14">
        <f t="shared" ca="1" si="7"/>
        <v>3487.2280000000005</v>
      </c>
      <c r="E971" s="17"/>
      <c r="F971" s="17"/>
    </row>
    <row r="972" spans="1:6" ht="12.75" x14ac:dyDescent="0.2">
      <c r="A972" s="13">
        <f ca="1">IFERROR(__xludf.DUMMYFUNCTION("""COMPUTED_VALUE"""),45261.6458333333)</f>
        <v>45261.645833333299</v>
      </c>
      <c r="B972" s="14">
        <f ca="1">IFERROR(__xludf.DUMMYFUNCTION("""COMPUTED_VALUE"""),3511.65)</f>
        <v>3511.65</v>
      </c>
      <c r="C972" s="15">
        <f t="shared" ca="1" si="6"/>
        <v>6.8958596169286235E-3</v>
      </c>
      <c r="D972" s="14">
        <f t="shared" ca="1" si="7"/>
        <v>3485.4949999999999</v>
      </c>
      <c r="E972" s="17"/>
      <c r="F972" s="17"/>
    </row>
    <row r="973" spans="1:6" ht="12.75" x14ac:dyDescent="0.2">
      <c r="A973" s="13">
        <f ca="1">IFERROR(__xludf.DUMMYFUNCTION("""COMPUTED_VALUE"""),45264.6458333333)</f>
        <v>45264.645833333299</v>
      </c>
      <c r="B973" s="14">
        <f ca="1">IFERROR(__xludf.DUMMYFUNCTION("""COMPUTED_VALUE"""),3512.45)</f>
        <v>3512.45</v>
      </c>
      <c r="C973" s="15">
        <f t="shared" ca="1" si="6"/>
        <v>2.2781313627495692E-4</v>
      </c>
      <c r="D973" s="14">
        <f t="shared" ca="1" si="7"/>
        <v>3483.6210000000005</v>
      </c>
      <c r="E973" s="17"/>
      <c r="F973" s="17"/>
    </row>
    <row r="974" spans="1:6" ht="12.75" x14ac:dyDescent="0.2">
      <c r="A974" s="13">
        <f ca="1">IFERROR(__xludf.DUMMYFUNCTION("""COMPUTED_VALUE"""),45265.6458333333)</f>
        <v>45265.645833333299</v>
      </c>
      <c r="B974" s="14">
        <f ca="1">IFERROR(__xludf.DUMMYFUNCTION("""COMPUTED_VALUE"""),3531.6)</f>
        <v>3531.6</v>
      </c>
      <c r="C974" s="15">
        <f t="shared" ca="1" si="6"/>
        <v>5.4520349044113736E-3</v>
      </c>
      <c r="D974" s="14">
        <f t="shared" ca="1" si="7"/>
        <v>3482.1320000000005</v>
      </c>
      <c r="E974" s="17"/>
      <c r="F974" s="17"/>
    </row>
    <row r="975" spans="1:6" ht="12.75" x14ac:dyDescent="0.2">
      <c r="A975" s="13">
        <f ca="1">IFERROR(__xludf.DUMMYFUNCTION("""COMPUTED_VALUE"""),45266.6458333333)</f>
        <v>45266.645833333299</v>
      </c>
      <c r="B975" s="14">
        <f ca="1">IFERROR(__xludf.DUMMYFUNCTION("""COMPUTED_VALUE"""),3604.1)</f>
        <v>3604.1</v>
      </c>
      <c r="C975" s="15">
        <f t="shared" ca="1" si="6"/>
        <v>2.0528938724657442E-2</v>
      </c>
      <c r="D975" s="14">
        <f t="shared" ca="1" si="7"/>
        <v>3482.5080000000012</v>
      </c>
      <c r="E975" s="17"/>
      <c r="F975" s="17"/>
    </row>
    <row r="976" spans="1:6" ht="12.75" x14ac:dyDescent="0.2">
      <c r="A976" s="13">
        <f ca="1">IFERROR(__xludf.DUMMYFUNCTION("""COMPUTED_VALUE"""),45267.6458333333)</f>
        <v>45267.645833333299</v>
      </c>
      <c r="B976" s="14">
        <f ca="1">IFERROR(__xludf.DUMMYFUNCTION("""COMPUTED_VALUE"""),3614.9)</f>
        <v>3614.9</v>
      </c>
      <c r="C976" s="15">
        <f t="shared" ca="1" si="6"/>
        <v>2.9965872201105359E-3</v>
      </c>
      <c r="D976" s="14">
        <f t="shared" ca="1" si="7"/>
        <v>3482.7330000000006</v>
      </c>
      <c r="E976" s="17"/>
      <c r="F976" s="17"/>
    </row>
    <row r="977" spans="1:6" ht="12.75" x14ac:dyDescent="0.2">
      <c r="A977" s="13">
        <f ca="1">IFERROR(__xludf.DUMMYFUNCTION("""COMPUTED_VALUE"""),45268.6458333333)</f>
        <v>45268.645833333299</v>
      </c>
      <c r="B977" s="14">
        <f ca="1">IFERROR(__xludf.DUMMYFUNCTION("""COMPUTED_VALUE"""),3626.7)</f>
        <v>3626.7</v>
      </c>
      <c r="C977" s="15">
        <f t="shared" ca="1" si="6"/>
        <v>3.2642673379621456E-3</v>
      </c>
      <c r="D977" s="14">
        <f t="shared" ca="1" si="7"/>
        <v>3483.7240000000006</v>
      </c>
      <c r="E977" s="17"/>
      <c r="F977" s="17"/>
    </row>
    <row r="978" spans="1:6" ht="12.75" x14ac:dyDescent="0.2">
      <c r="A978" s="13">
        <f ca="1">IFERROR(__xludf.DUMMYFUNCTION("""COMPUTED_VALUE"""),45271.6458333333)</f>
        <v>45271.645833333299</v>
      </c>
      <c r="B978" s="14">
        <f ca="1">IFERROR(__xludf.DUMMYFUNCTION("""COMPUTED_VALUE"""),3642.9)</f>
        <v>3642.9</v>
      </c>
      <c r="C978" s="15">
        <f t="shared" ca="1" si="6"/>
        <v>4.4668707089090542E-3</v>
      </c>
      <c r="D978" s="14">
        <f t="shared" ca="1" si="7"/>
        <v>3484.8680000000008</v>
      </c>
      <c r="E978" s="17"/>
      <c r="F978" s="17"/>
    </row>
    <row r="979" spans="1:6" ht="12.75" x14ac:dyDescent="0.2">
      <c r="A979" s="13">
        <f ca="1">IFERROR(__xludf.DUMMYFUNCTION("""COMPUTED_VALUE"""),45272.6458333333)</f>
        <v>45272.645833333299</v>
      </c>
      <c r="B979" s="14">
        <f ca="1">IFERROR(__xludf.DUMMYFUNCTION("""COMPUTED_VALUE"""),3672.1)</f>
        <v>3672.1</v>
      </c>
      <c r="C979" s="15">
        <f t="shared" ca="1" si="6"/>
        <v>8.0155919734277159E-3</v>
      </c>
      <c r="D979" s="14">
        <f t="shared" ca="1" si="7"/>
        <v>3486.5240000000008</v>
      </c>
      <c r="E979" s="17"/>
      <c r="F979" s="17"/>
    </row>
    <row r="980" spans="1:6" ht="12.75" x14ac:dyDescent="0.2">
      <c r="A980" s="13">
        <f ca="1">IFERROR(__xludf.DUMMYFUNCTION("""COMPUTED_VALUE"""),45273.6458333333)</f>
        <v>45273.645833333299</v>
      </c>
      <c r="B980" s="14">
        <f ca="1">IFERROR(__xludf.DUMMYFUNCTION("""COMPUTED_VALUE"""),3593.55)</f>
        <v>3593.55</v>
      </c>
      <c r="C980" s="15">
        <f t="shared" ca="1" si="6"/>
        <v>-2.1391029656054994E-2</v>
      </c>
      <c r="D980" s="14">
        <f t="shared" ca="1" si="7"/>
        <v>3487.6600000000008</v>
      </c>
      <c r="E980" s="17"/>
      <c r="F980" s="17"/>
    </row>
    <row r="981" spans="1:6" ht="12.75" x14ac:dyDescent="0.2">
      <c r="A981" s="13">
        <f ca="1">IFERROR(__xludf.DUMMYFUNCTION("""COMPUTED_VALUE"""),45274.6458333333)</f>
        <v>45274.645833333299</v>
      </c>
      <c r="B981" s="14">
        <f ca="1">IFERROR(__xludf.DUMMYFUNCTION("""COMPUTED_VALUE"""),3667.25)</f>
        <v>3667.25</v>
      </c>
      <c r="C981" s="15">
        <f t="shared" ca="1" si="6"/>
        <v>2.0508967455580063E-2</v>
      </c>
      <c r="D981" s="14">
        <f t="shared" ca="1" si="7"/>
        <v>3490.4330000000004</v>
      </c>
      <c r="E981" s="17"/>
      <c r="F981" s="17"/>
    </row>
    <row r="982" spans="1:6" ht="12.75" x14ac:dyDescent="0.2">
      <c r="A982" s="13">
        <f ca="1">IFERROR(__xludf.DUMMYFUNCTION("""COMPUTED_VALUE"""),45275.6458333333)</f>
        <v>45275.645833333299</v>
      </c>
      <c r="B982" s="14">
        <f ca="1">IFERROR(__xludf.DUMMYFUNCTION("""COMPUTED_VALUE"""),3861)</f>
        <v>3861</v>
      </c>
      <c r="C982" s="15">
        <f t="shared" ca="1" si="6"/>
        <v>5.2832503919830964E-2</v>
      </c>
      <c r="D982" s="14">
        <f t="shared" ca="1" si="7"/>
        <v>3497.3760000000002</v>
      </c>
      <c r="E982" s="17"/>
      <c r="F982" s="17"/>
    </row>
    <row r="983" spans="1:6" ht="12.75" x14ac:dyDescent="0.2">
      <c r="A983" s="13">
        <f ca="1">IFERROR(__xludf.DUMMYFUNCTION("""COMPUTED_VALUE"""),45278.6458333333)</f>
        <v>45278.645833333299</v>
      </c>
      <c r="B983" s="14">
        <f ca="1">IFERROR(__xludf.DUMMYFUNCTION("""COMPUTED_VALUE"""),3859.2)</f>
        <v>3859.2</v>
      </c>
      <c r="C983" s="15">
        <f t="shared" ca="1" si="6"/>
        <v>-4.6620046620049482E-4</v>
      </c>
      <c r="D983" s="14">
        <f t="shared" ca="1" si="7"/>
        <v>3503.8050000000007</v>
      </c>
      <c r="E983" s="17"/>
      <c r="F983" s="17"/>
    </row>
    <row r="984" spans="1:6" ht="12.75" x14ac:dyDescent="0.2">
      <c r="A984" s="13">
        <f ca="1">IFERROR(__xludf.DUMMYFUNCTION("""COMPUTED_VALUE"""),45279.6458333333)</f>
        <v>45279.645833333299</v>
      </c>
      <c r="B984" s="14">
        <f ca="1">IFERROR(__xludf.DUMMYFUNCTION("""COMPUTED_VALUE"""),3816.2)</f>
        <v>3816.2</v>
      </c>
      <c r="C984" s="15">
        <f t="shared" ca="1" si="6"/>
        <v>-1.1142205638474345E-2</v>
      </c>
      <c r="D984" s="14">
        <f t="shared" ca="1" si="7"/>
        <v>3508.3420000000006</v>
      </c>
      <c r="E984" s="17"/>
      <c r="F984" s="17"/>
    </row>
    <row r="985" spans="1:6" ht="12.75" x14ac:dyDescent="0.2">
      <c r="A985" s="13">
        <f ca="1">IFERROR(__xludf.DUMMYFUNCTION("""COMPUTED_VALUE"""),45280.6458333333)</f>
        <v>45280.645833333299</v>
      </c>
      <c r="B985" s="14">
        <f ca="1">IFERROR(__xludf.DUMMYFUNCTION("""COMPUTED_VALUE"""),3780.05)</f>
        <v>3780.05</v>
      </c>
      <c r="C985" s="15">
        <f t="shared" ca="1" si="6"/>
        <v>-9.4727739636286667E-3</v>
      </c>
      <c r="D985" s="14">
        <f t="shared" ca="1" si="7"/>
        <v>3511.5150000000008</v>
      </c>
      <c r="E985" s="17"/>
      <c r="F985" s="17"/>
    </row>
    <row r="986" spans="1:6" ht="12.75" x14ac:dyDescent="0.2">
      <c r="A986" s="13">
        <f ca="1">IFERROR(__xludf.DUMMYFUNCTION("""COMPUTED_VALUE"""),45281.6458333333)</f>
        <v>45281.645833333299</v>
      </c>
      <c r="B986" s="14">
        <f ca="1">IFERROR(__xludf.DUMMYFUNCTION("""COMPUTED_VALUE"""),3787.5)</f>
        <v>3787.5</v>
      </c>
      <c r="C986" s="15">
        <f t="shared" ca="1" si="6"/>
        <v>1.9708734011454343E-3</v>
      </c>
      <c r="D986" s="14">
        <f t="shared" ca="1" si="7"/>
        <v>3514.4980000000005</v>
      </c>
      <c r="E986" s="17"/>
      <c r="F986" s="17"/>
    </row>
    <row r="987" spans="1:6" ht="12.75" x14ac:dyDescent="0.2">
      <c r="A987" s="13">
        <f ca="1">IFERROR(__xludf.DUMMYFUNCTION("""COMPUTED_VALUE"""),45282.6458333333)</f>
        <v>45282.645833333299</v>
      </c>
      <c r="B987" s="14">
        <f ca="1">IFERROR(__xludf.DUMMYFUNCTION("""COMPUTED_VALUE"""),3824)</f>
        <v>3824</v>
      </c>
      <c r="C987" s="15">
        <f t="shared" ca="1" si="6"/>
        <v>9.6369636963695715E-3</v>
      </c>
      <c r="D987" s="14">
        <f t="shared" ca="1" si="7"/>
        <v>3518.4</v>
      </c>
      <c r="E987" s="17"/>
      <c r="F987" s="17"/>
    </row>
    <row r="988" spans="1:6" ht="12.75" x14ac:dyDescent="0.2">
      <c r="A988" s="13">
        <f ca="1">IFERROR(__xludf.DUMMYFUNCTION("""COMPUTED_VALUE"""),45286.6458333333)</f>
        <v>45286.645833333299</v>
      </c>
      <c r="B988" s="14">
        <f ca="1">IFERROR(__xludf.DUMMYFUNCTION("""COMPUTED_VALUE"""),3795.55)</f>
        <v>3795.55</v>
      </c>
      <c r="C988" s="15">
        <f t="shared" ca="1" si="6"/>
        <v>-7.4398535564853541E-3</v>
      </c>
      <c r="D988" s="14">
        <f t="shared" ca="1" si="7"/>
        <v>3522.1130000000003</v>
      </c>
      <c r="E988" s="17"/>
      <c r="F988" s="17"/>
    </row>
    <row r="989" spans="1:6" ht="12.75" x14ac:dyDescent="0.2">
      <c r="A989" s="13">
        <f ca="1">IFERROR(__xludf.DUMMYFUNCTION("""COMPUTED_VALUE"""),45287.6458333333)</f>
        <v>45287.645833333299</v>
      </c>
      <c r="B989" s="14">
        <f ca="1">IFERROR(__xludf.DUMMYFUNCTION("""COMPUTED_VALUE"""),3811.2)</f>
        <v>3811.2</v>
      </c>
      <c r="C989" s="15">
        <f t="shared" ca="1" si="6"/>
        <v>4.1232495949201642E-3</v>
      </c>
      <c r="D989" s="14">
        <f t="shared" ca="1" si="7"/>
        <v>3527.4860000000003</v>
      </c>
      <c r="E989" s="17"/>
      <c r="F989" s="17"/>
    </row>
    <row r="990" spans="1:6" ht="12.75" x14ac:dyDescent="0.2">
      <c r="A990" s="13">
        <f ca="1">IFERROR(__xludf.DUMMYFUNCTION("""COMPUTED_VALUE"""),45288.6458333333)</f>
        <v>45288.645833333299</v>
      </c>
      <c r="B990" s="14">
        <f ca="1">IFERROR(__xludf.DUMMYFUNCTION("""COMPUTED_VALUE"""),3799.9)</f>
        <v>3799.9</v>
      </c>
      <c r="C990" s="15">
        <f t="shared" ca="1" si="6"/>
        <v>-2.9649454240133766E-3</v>
      </c>
      <c r="D990" s="14">
        <f t="shared" ca="1" si="7"/>
        <v>3532.067</v>
      </c>
      <c r="E990" s="17"/>
      <c r="F990" s="17"/>
    </row>
    <row r="991" spans="1:6" ht="12.75" x14ac:dyDescent="0.2">
      <c r="A991" s="13">
        <f ca="1">IFERROR(__xludf.DUMMYFUNCTION("""COMPUTED_VALUE"""),45289.6458333333)</f>
        <v>45289.645833333299</v>
      </c>
      <c r="B991" s="14">
        <f ca="1">IFERROR(__xludf.DUMMYFUNCTION("""COMPUTED_VALUE"""),3793.4)</f>
        <v>3793.4</v>
      </c>
      <c r="C991" s="15">
        <f t="shared" ca="1" si="6"/>
        <v>-1.7105713308245285E-3</v>
      </c>
      <c r="D991" s="14">
        <f t="shared" ca="1" si="7"/>
        <v>3537.4539999999997</v>
      </c>
      <c r="E991" s="17"/>
      <c r="F991" s="17"/>
    </row>
    <row r="992" spans="1:6" ht="12.75" x14ac:dyDescent="0.2">
      <c r="A992" s="13">
        <f ca="1">IFERROR(__xludf.DUMMYFUNCTION("""COMPUTED_VALUE"""),45292.6458333333)</f>
        <v>45292.645833333299</v>
      </c>
      <c r="B992" s="14">
        <f ca="1">IFERROR(__xludf.DUMMYFUNCTION("""COMPUTED_VALUE"""),3811.1)</f>
        <v>3811.1</v>
      </c>
      <c r="C992" s="15">
        <f t="shared" ca="1" si="6"/>
        <v>4.6659988400905572E-3</v>
      </c>
      <c r="D992" s="14">
        <f t="shared" ca="1" si="7"/>
        <v>3543.5349999999999</v>
      </c>
      <c r="E992" s="17"/>
      <c r="F992" s="17"/>
    </row>
    <row r="993" spans="1:6" ht="12.75" x14ac:dyDescent="0.2">
      <c r="A993" s="13">
        <f ca="1">IFERROR(__xludf.DUMMYFUNCTION("""COMPUTED_VALUE"""),45293.6458333333)</f>
        <v>45293.645833333299</v>
      </c>
      <c r="B993" s="14">
        <f ca="1">IFERROR(__xludf.DUMMYFUNCTION("""COMPUTED_VALUE"""),3783.2)</f>
        <v>3783.2</v>
      </c>
      <c r="C993" s="15">
        <f t="shared" ca="1" si="6"/>
        <v>-7.3207210516649246E-3</v>
      </c>
      <c r="D993" s="14">
        <f t="shared" ca="1" si="7"/>
        <v>3549.4540000000006</v>
      </c>
      <c r="E993" s="17"/>
      <c r="F993" s="17"/>
    </row>
    <row r="994" spans="1:6" ht="12.75" x14ac:dyDescent="0.2">
      <c r="A994" s="13">
        <f ca="1">IFERROR(__xludf.DUMMYFUNCTION("""COMPUTED_VALUE"""),45294.6458333333)</f>
        <v>45294.645833333299</v>
      </c>
      <c r="B994" s="14">
        <f ca="1">IFERROR(__xludf.DUMMYFUNCTION("""COMPUTED_VALUE"""),3691.75)</f>
        <v>3691.75</v>
      </c>
      <c r="C994" s="15">
        <f t="shared" ca="1" si="6"/>
        <v>-2.4172658067244668E-2</v>
      </c>
      <c r="D994" s="14">
        <f t="shared" ca="1" si="7"/>
        <v>3554.1760000000004</v>
      </c>
      <c r="E994" s="17"/>
      <c r="F994" s="17"/>
    </row>
    <row r="995" spans="1:6" ht="12.75" x14ac:dyDescent="0.2">
      <c r="A995" s="13">
        <f ca="1">IFERROR(__xludf.DUMMYFUNCTION("""COMPUTED_VALUE"""),45295.6458333333)</f>
        <v>45295.645833333299</v>
      </c>
      <c r="B995" s="14">
        <f ca="1">IFERROR(__xludf.DUMMYFUNCTION("""COMPUTED_VALUE"""),3666.8)</f>
        <v>3666.8</v>
      </c>
      <c r="C995" s="15">
        <f t="shared" ca="1" si="6"/>
        <v>-6.7583124534434935E-3</v>
      </c>
      <c r="D995" s="14">
        <f t="shared" ca="1" si="7"/>
        <v>3557.6209999999996</v>
      </c>
      <c r="E995" s="17"/>
      <c r="F995" s="17"/>
    </row>
    <row r="996" spans="1:6" ht="12.75" x14ac:dyDescent="0.2">
      <c r="A996" s="13">
        <f ca="1">IFERROR(__xludf.DUMMYFUNCTION("""COMPUTED_VALUE"""),45296.6458333333)</f>
        <v>45296.645833333299</v>
      </c>
      <c r="B996" s="14">
        <f ca="1">IFERROR(__xludf.DUMMYFUNCTION("""COMPUTED_VALUE"""),3737.9)</f>
        <v>3737.9</v>
      </c>
      <c r="C996" s="15">
        <f t="shared" ca="1" si="6"/>
        <v>1.9390203992581956E-2</v>
      </c>
      <c r="D996" s="14">
        <f t="shared" ca="1" si="7"/>
        <v>3564.175999999999</v>
      </c>
      <c r="E996" s="17"/>
      <c r="F996" s="17"/>
    </row>
    <row r="997" spans="1:6" ht="12.75" x14ac:dyDescent="0.2">
      <c r="A997" s="13">
        <f ca="1">IFERROR(__xludf.DUMMYFUNCTION("""COMPUTED_VALUE"""),45299.6458333333)</f>
        <v>45299.645833333299</v>
      </c>
      <c r="B997" s="14">
        <f ca="1">IFERROR(__xludf.DUMMYFUNCTION("""COMPUTED_VALUE"""),3678.3)</f>
        <v>3678.3</v>
      </c>
      <c r="C997" s="15">
        <f t="shared" ca="1" si="6"/>
        <v>-1.5944781829369425E-2</v>
      </c>
      <c r="D997" s="14">
        <f t="shared" ca="1" si="7"/>
        <v>3569.9399999999996</v>
      </c>
      <c r="E997" s="17"/>
      <c r="F997" s="17"/>
    </row>
    <row r="998" spans="1:6" ht="12.75" x14ac:dyDescent="0.2">
      <c r="A998" s="13">
        <f ca="1">IFERROR(__xludf.DUMMYFUNCTION("""COMPUTED_VALUE"""),45300.6458333333)</f>
        <v>45300.645833333299</v>
      </c>
      <c r="B998" s="14">
        <f ca="1">IFERROR(__xludf.DUMMYFUNCTION("""COMPUTED_VALUE"""),3689.9)</f>
        <v>3689.9</v>
      </c>
      <c r="C998" s="15">
        <f t="shared" ca="1" si="6"/>
        <v>3.1536307533370778E-3</v>
      </c>
      <c r="D998" s="14">
        <f t="shared" ca="1" si="7"/>
        <v>3577.0029999999992</v>
      </c>
      <c r="E998" s="17"/>
      <c r="F998" s="17"/>
    </row>
    <row r="999" spans="1:6" ht="12.75" x14ac:dyDescent="0.2">
      <c r="A999" s="13">
        <f ca="1">IFERROR(__xludf.DUMMYFUNCTION("""COMPUTED_VALUE"""),45301.6458333333)</f>
        <v>45301.645833333299</v>
      </c>
      <c r="B999" s="14">
        <f ca="1">IFERROR(__xludf.DUMMYFUNCTION("""COMPUTED_VALUE"""),3713.05)</f>
        <v>3713.05</v>
      </c>
      <c r="C999" s="15">
        <f t="shared" ca="1" si="6"/>
        <v>6.2738827610504533E-3</v>
      </c>
      <c r="D999" s="14">
        <f t="shared" ca="1" si="7"/>
        <v>3584.2449999999994</v>
      </c>
      <c r="E999" s="17"/>
      <c r="F999" s="17"/>
    </row>
    <row r="1000" spans="1:6" ht="12.75" x14ac:dyDescent="0.2">
      <c r="A1000" s="13">
        <f ca="1">IFERROR(__xludf.DUMMYFUNCTION("""COMPUTED_VALUE"""),45302.6458333333)</f>
        <v>45302.645833333299</v>
      </c>
      <c r="B1000" s="14">
        <f ca="1">IFERROR(__xludf.DUMMYFUNCTION("""COMPUTED_VALUE"""),3735.55)</f>
        <v>3735.55</v>
      </c>
      <c r="C1000" s="15">
        <f t="shared" ca="1" si="6"/>
        <v>6.0597083260391926E-3</v>
      </c>
      <c r="D1000" s="14">
        <f t="shared" ca="1" si="7"/>
        <v>3591.3849999999989</v>
      </c>
      <c r="E1000" s="17"/>
      <c r="F1000" s="17"/>
    </row>
    <row r="1001" spans="1:6" ht="12.75" x14ac:dyDescent="0.2">
      <c r="A1001" s="13">
        <f ca="1">IFERROR(__xludf.DUMMYFUNCTION("""COMPUTED_VALUE"""),45303.6458333333)</f>
        <v>45303.645833333299</v>
      </c>
      <c r="B1001" s="14">
        <f ca="1">IFERROR(__xludf.DUMMYFUNCTION("""COMPUTED_VALUE"""),3882.8)</f>
        <v>3882.8</v>
      </c>
      <c r="C1001" s="15">
        <f t="shared" ca="1" si="6"/>
        <v>3.9418559516001705E-2</v>
      </c>
      <c r="D1001" s="14">
        <f t="shared" ca="1" si="7"/>
        <v>3601.6659999999988</v>
      </c>
      <c r="E1001" s="17"/>
      <c r="F1001" s="17"/>
    </row>
    <row r="1002" spans="1:6" ht="12.75" x14ac:dyDescent="0.2">
      <c r="A1002" s="13">
        <f ca="1">IFERROR(__xludf.DUMMYFUNCTION("""COMPUTED_VALUE"""),45306.6458333333)</f>
        <v>45306.645833333299</v>
      </c>
      <c r="B1002" s="14">
        <f ca="1">IFERROR(__xludf.DUMMYFUNCTION("""COMPUTED_VALUE"""),3903.8)</f>
        <v>3903.8</v>
      </c>
      <c r="C1002" s="15">
        <f t="shared" ca="1" si="6"/>
        <v>5.4084681157926529E-3</v>
      </c>
      <c r="D1002" s="14">
        <f t="shared" ca="1" si="7"/>
        <v>3613.1289999999985</v>
      </c>
      <c r="E1002" s="17"/>
      <c r="F1002" s="17"/>
    </row>
    <row r="1003" spans="1:6" ht="12.75" x14ac:dyDescent="0.2">
      <c r="A1003" s="13">
        <f ca="1">IFERROR(__xludf.DUMMYFUNCTION("""COMPUTED_VALUE"""),45307.6458333333)</f>
        <v>45307.645833333299</v>
      </c>
      <c r="B1003" s="14">
        <f ca="1">IFERROR(__xludf.DUMMYFUNCTION("""COMPUTED_VALUE"""),3861.3)</f>
        <v>3861.3</v>
      </c>
      <c r="C1003" s="15">
        <f t="shared" ca="1" si="6"/>
        <v>-1.0886828218658717E-2</v>
      </c>
      <c r="D1003" s="14">
        <f t="shared" ca="1" si="7"/>
        <v>3623.152999999998</v>
      </c>
      <c r="E1003" s="17"/>
      <c r="F1003" s="17"/>
    </row>
    <row r="1004" spans="1:6" ht="12.75" x14ac:dyDescent="0.2">
      <c r="A1004" s="13">
        <f ca="1">IFERROR(__xludf.DUMMYFUNCTION("""COMPUTED_VALUE"""),45308.6458333333)</f>
        <v>45308.645833333299</v>
      </c>
      <c r="B1004" s="14">
        <f ca="1">IFERROR(__xludf.DUMMYFUNCTION("""COMPUTED_VALUE"""),3884.6)</f>
        <v>3884.6</v>
      </c>
      <c r="C1004" s="15">
        <f t="shared" ca="1" si="6"/>
        <v>6.0342371740087497E-3</v>
      </c>
      <c r="D1004" s="14">
        <f t="shared" ca="1" si="7"/>
        <v>3633.8269999999984</v>
      </c>
      <c r="E1004" s="17"/>
      <c r="F1004" s="17"/>
    </row>
    <row r="1005" spans="1:6" ht="12.75" x14ac:dyDescent="0.2">
      <c r="A1005" s="13">
        <f ca="1">IFERROR(__xludf.DUMMYFUNCTION("""COMPUTED_VALUE"""),45309.6458333333)</f>
        <v>45309.645833333299</v>
      </c>
      <c r="B1005" s="14">
        <f ca="1">IFERROR(__xludf.DUMMYFUNCTION("""COMPUTED_VALUE"""),3902.6)</f>
        <v>3902.6</v>
      </c>
      <c r="C1005" s="15">
        <f t="shared" ca="1" si="6"/>
        <v>4.6336817175514078E-3</v>
      </c>
      <c r="D1005" s="14">
        <f t="shared" ca="1" si="7"/>
        <v>3644.2739999999985</v>
      </c>
      <c r="E1005" s="17"/>
      <c r="F1005" s="17"/>
    </row>
    <row r="1006" spans="1:6" ht="12.75" x14ac:dyDescent="0.2">
      <c r="A1006" s="13">
        <f ca="1">IFERROR(__xludf.DUMMYFUNCTION("""COMPUTED_VALUE"""),45310.6458333333)</f>
        <v>45310.645833333299</v>
      </c>
      <c r="B1006" s="14">
        <f ca="1">IFERROR(__xludf.DUMMYFUNCTION("""COMPUTED_VALUE"""),3943.05)</f>
        <v>3943.05</v>
      </c>
      <c r="C1006" s="15">
        <f t="shared" ca="1" si="6"/>
        <v>1.0364884948495856E-2</v>
      </c>
      <c r="D1006" s="14">
        <f t="shared" ca="1" si="7"/>
        <v>3655.7259999999978</v>
      </c>
      <c r="E1006" s="17"/>
      <c r="F1006" s="17"/>
    </row>
    <row r="1007" spans="1:6" ht="12.75" x14ac:dyDescent="0.2">
      <c r="A1007" s="13">
        <f ca="1">IFERROR(__xludf.DUMMYFUNCTION("""COMPUTED_VALUE"""),45314.6458333333)</f>
        <v>45314.645833333299</v>
      </c>
      <c r="B1007" s="14">
        <f ca="1">IFERROR(__xludf.DUMMYFUNCTION("""COMPUTED_VALUE"""),3858.25)</f>
        <v>3858.25</v>
      </c>
      <c r="C1007" s="15">
        <f t="shared" ca="1" si="6"/>
        <v>-2.1506194443387749E-2</v>
      </c>
      <c r="D1007" s="14">
        <f t="shared" ca="1" si="7"/>
        <v>3665.2599999999975</v>
      </c>
      <c r="E1007" s="17"/>
      <c r="F1007" s="17"/>
    </row>
    <row r="1008" spans="1:6" ht="12.75" x14ac:dyDescent="0.2">
      <c r="A1008" s="13">
        <f ca="1">IFERROR(__xludf.DUMMYFUNCTION("""COMPUTED_VALUE"""),45315.6458333333)</f>
        <v>45315.645833333299</v>
      </c>
      <c r="B1008" s="14">
        <f ca="1">IFERROR(__xludf.DUMMYFUNCTION("""COMPUTED_VALUE"""),3841.8)</f>
        <v>3841.8</v>
      </c>
      <c r="C1008" s="15">
        <f t="shared" ca="1" si="6"/>
        <v>-4.2635910062851501E-3</v>
      </c>
      <c r="D1008" s="14">
        <f t="shared" ca="1" si="7"/>
        <v>3675.1469999999977</v>
      </c>
      <c r="E1008" s="17"/>
      <c r="F1008" s="17"/>
    </row>
    <row r="1009" spans="1:6" ht="12.75" x14ac:dyDescent="0.2">
      <c r="A1009" s="13">
        <f ca="1">IFERROR(__xludf.DUMMYFUNCTION("""COMPUTED_VALUE"""),45316.6458333333)</f>
        <v>45316.645833333299</v>
      </c>
      <c r="B1009" s="14">
        <f ca="1">IFERROR(__xludf.DUMMYFUNCTION("""COMPUTED_VALUE"""),3810.3)</f>
        <v>3810.3</v>
      </c>
      <c r="C1009" s="15">
        <f t="shared" ca="1" si="6"/>
        <v>-8.1992815867562019E-3</v>
      </c>
      <c r="D1009" s="14">
        <f t="shared" ca="1" si="7"/>
        <v>3684.6839999999979</v>
      </c>
      <c r="E1009" s="17"/>
      <c r="F1009" s="17"/>
    </row>
    <row r="1010" spans="1:6" ht="12.75" x14ac:dyDescent="0.2">
      <c r="A1010" s="13">
        <f ca="1">IFERROR(__xludf.DUMMYFUNCTION("""COMPUTED_VALUE"""),45320.6458333333)</f>
        <v>45320.645833333299</v>
      </c>
      <c r="B1010" s="14">
        <f ca="1">IFERROR(__xludf.DUMMYFUNCTION("""COMPUTED_VALUE"""),3801)</f>
        <v>3801</v>
      </c>
      <c r="C1010" s="15">
        <f t="shared" ca="1" si="6"/>
        <v>-2.4407526966381266E-3</v>
      </c>
      <c r="D1010" s="14">
        <f t="shared" ca="1" si="7"/>
        <v>3694.072999999998</v>
      </c>
      <c r="E1010" s="17"/>
      <c r="F1010" s="17"/>
    </row>
    <row r="1011" spans="1:6" ht="12.75" x14ac:dyDescent="0.2">
      <c r="A1011" s="13">
        <f ca="1">IFERROR(__xludf.DUMMYFUNCTION("""COMPUTED_VALUE"""),45321.6458333333)</f>
        <v>45321.645833333299</v>
      </c>
      <c r="B1011" s="14">
        <f ca="1">IFERROR(__xludf.DUMMYFUNCTION("""COMPUTED_VALUE"""),3800.55)</f>
        <v>3800.55</v>
      </c>
      <c r="C1011" s="15">
        <f t="shared" ca="1" si="6"/>
        <v>-1.1838989739532124E-4</v>
      </c>
      <c r="D1011" s="14">
        <f t="shared" ca="1" si="7"/>
        <v>3701.9979999999978</v>
      </c>
      <c r="E1011" s="17"/>
      <c r="F1011" s="17"/>
    </row>
    <row r="1012" spans="1:6" ht="12.75" x14ac:dyDescent="0.2">
      <c r="A1012" s="13">
        <f ca="1">IFERROR(__xludf.DUMMYFUNCTION("""COMPUTED_VALUE"""),45322.6458333333)</f>
        <v>45322.645833333299</v>
      </c>
      <c r="B1012" s="14">
        <f ca="1">IFERROR(__xludf.DUMMYFUNCTION("""COMPUTED_VALUE"""),3815.95)</f>
        <v>3815.95</v>
      </c>
      <c r="C1012" s="15">
        <f t="shared" ca="1" si="6"/>
        <v>4.0520450987355794E-3</v>
      </c>
      <c r="D1012" s="14">
        <f t="shared" ca="1" si="7"/>
        <v>3708.3599999999983</v>
      </c>
      <c r="E1012" s="17"/>
      <c r="F1012" s="17"/>
    </row>
    <row r="1013" spans="1:6" ht="12.75" x14ac:dyDescent="0.2">
      <c r="A1013" s="13">
        <f ca="1">IFERROR(__xludf.DUMMYFUNCTION("""COMPUTED_VALUE"""),45323.6458333333)</f>
        <v>45323.645833333299</v>
      </c>
      <c r="B1013" s="14">
        <f ca="1">IFERROR(__xludf.DUMMYFUNCTION("""COMPUTED_VALUE"""),3854.15)</f>
        <v>3854.15</v>
      </c>
      <c r="C1013" s="15">
        <f t="shared" ca="1" si="6"/>
        <v>1.0010613346610908E-2</v>
      </c>
      <c r="D1013" s="14">
        <f t="shared" ca="1" si="7"/>
        <v>3715.393999999998</v>
      </c>
      <c r="E1013" s="17"/>
      <c r="F1013" s="17"/>
    </row>
    <row r="1014" spans="1:6" ht="12.75" x14ac:dyDescent="0.2">
      <c r="A1014" s="13">
        <f ca="1">IFERROR(__xludf.DUMMYFUNCTION("""COMPUTED_VALUE"""),45324.6458333333)</f>
        <v>45324.645833333299</v>
      </c>
      <c r="B1014" s="14">
        <f ca="1">IFERROR(__xludf.DUMMYFUNCTION("""COMPUTED_VALUE"""),3966.3)</f>
        <v>3966.3</v>
      </c>
      <c r="C1014" s="15">
        <f t="shared" ca="1" si="6"/>
        <v>2.9098504209748022E-2</v>
      </c>
      <c r="D1014" s="14">
        <f t="shared" ca="1" si="7"/>
        <v>3724.3279999999982</v>
      </c>
      <c r="E1014" s="17"/>
      <c r="F1014" s="17"/>
    </row>
    <row r="1015" spans="1:6" ht="12.75" x14ac:dyDescent="0.2">
      <c r="A1015" s="13">
        <f ca="1">IFERROR(__xludf.DUMMYFUNCTION("""COMPUTED_VALUE"""),45327.6458333333)</f>
        <v>45327.645833333299</v>
      </c>
      <c r="B1015" s="14">
        <f ca="1">IFERROR(__xludf.DUMMYFUNCTION("""COMPUTED_VALUE"""),3973.3)</f>
        <v>3973.3</v>
      </c>
      <c r="C1015" s="15">
        <f t="shared" ca="1" si="6"/>
        <v>1.764869021506188E-3</v>
      </c>
      <c r="D1015" s="14">
        <f t="shared" ca="1" si="7"/>
        <v>3733.5899999999983</v>
      </c>
      <c r="E1015" s="17"/>
      <c r="F1015" s="17"/>
    </row>
    <row r="1016" spans="1:6" ht="12.75" x14ac:dyDescent="0.2">
      <c r="A1016" s="13">
        <f ca="1">IFERROR(__xludf.DUMMYFUNCTION("""COMPUTED_VALUE"""),45328.6458333333)</f>
        <v>45328.645833333299</v>
      </c>
      <c r="B1016" s="14">
        <f ca="1">IFERROR(__xludf.DUMMYFUNCTION("""COMPUTED_VALUE"""),4136)</f>
        <v>4136</v>
      </c>
      <c r="C1016" s="15">
        <f t="shared" ca="1" si="6"/>
        <v>4.0948330103440345E-2</v>
      </c>
      <c r="D1016" s="14">
        <f t="shared" ca="1" si="7"/>
        <v>3745.7069999999985</v>
      </c>
      <c r="E1016" s="17"/>
      <c r="F1016" s="17"/>
    </row>
    <row r="1017" spans="1:6" ht="12.75" x14ac:dyDescent="0.2">
      <c r="A1017" s="13">
        <f ca="1">IFERROR(__xludf.DUMMYFUNCTION("""COMPUTED_VALUE"""),45329.6458333333)</f>
        <v>45329.645833333299</v>
      </c>
      <c r="B1017" s="14">
        <f ca="1">IFERROR(__xludf.DUMMYFUNCTION("""COMPUTED_VALUE"""),4083.4)</f>
        <v>4083.4</v>
      </c>
      <c r="C1017" s="15">
        <f t="shared" ca="1" si="6"/>
        <v>-1.2717601547388768E-2</v>
      </c>
      <c r="D1017" s="14">
        <f t="shared" ca="1" si="7"/>
        <v>3757.2099999999987</v>
      </c>
      <c r="E1017" s="17"/>
      <c r="F1017" s="17"/>
    </row>
    <row r="1018" spans="1:6" ht="12.75" x14ac:dyDescent="0.2">
      <c r="A1018" s="13">
        <f ca="1">IFERROR(__xludf.DUMMYFUNCTION("""COMPUTED_VALUE"""),45330.6458333333)</f>
        <v>45330.645833333299</v>
      </c>
      <c r="B1018" s="14">
        <f ca="1">IFERROR(__xludf.DUMMYFUNCTION("""COMPUTED_VALUE"""),4134.1)</f>
        <v>4134.1000000000004</v>
      </c>
      <c r="C1018" s="15">
        <f t="shared" ca="1" si="6"/>
        <v>1.2416123818386637E-2</v>
      </c>
      <c r="D1018" s="14">
        <f t="shared" ca="1" si="7"/>
        <v>3770.7499999999986</v>
      </c>
      <c r="E1018" s="17"/>
      <c r="F1018" s="17"/>
    </row>
    <row r="1019" spans="1:6" ht="12.75" x14ac:dyDescent="0.2">
      <c r="A1019" s="13">
        <f ca="1">IFERROR(__xludf.DUMMYFUNCTION("""COMPUTED_VALUE"""),45331.6458333333)</f>
        <v>45331.645833333299</v>
      </c>
      <c r="B1019" s="14">
        <f ca="1">IFERROR(__xludf.DUMMYFUNCTION("""COMPUTED_VALUE"""),4133.7)</f>
        <v>4133.7</v>
      </c>
      <c r="C1019" s="15">
        <f t="shared" ca="1" si="6"/>
        <v>-9.6756246825369097E-5</v>
      </c>
      <c r="D1019" s="14">
        <f t="shared" ca="1" si="7"/>
        <v>3784.0209999999993</v>
      </c>
      <c r="E1019" s="17"/>
      <c r="F1019" s="17"/>
    </row>
    <row r="1020" spans="1:6" ht="12.75" x14ac:dyDescent="0.2">
      <c r="A1020" s="13">
        <f ca="1">IFERROR(__xludf.DUMMYFUNCTION("""COMPUTED_VALUE"""),45334.6458333333)</f>
        <v>45334.645833333299</v>
      </c>
      <c r="B1020" s="14">
        <f ca="1">IFERROR(__xludf.DUMMYFUNCTION("""COMPUTED_VALUE"""),4120.7)</f>
        <v>4120.7</v>
      </c>
      <c r="C1020" s="15">
        <f t="shared" ca="1" si="6"/>
        <v>-3.1448823088274791E-3</v>
      </c>
      <c r="D1020" s="14">
        <f t="shared" ca="1" si="7"/>
        <v>3796.1599999999994</v>
      </c>
      <c r="E1020" s="17"/>
      <c r="F1020" s="17"/>
    </row>
    <row r="1021" spans="1:6" ht="12.75" x14ac:dyDescent="0.2">
      <c r="A1021" s="13">
        <f ca="1">IFERROR(__xludf.DUMMYFUNCTION("""COMPUTED_VALUE"""),45335.6458333333)</f>
        <v>45335.645833333299</v>
      </c>
      <c r="B1021" s="14">
        <f ca="1">IFERROR(__xludf.DUMMYFUNCTION("""COMPUTED_VALUE"""),4149.5)</f>
        <v>4149.5</v>
      </c>
      <c r="C1021" s="15">
        <f t="shared" ca="1" si="6"/>
        <v>6.9891037930449595E-3</v>
      </c>
      <c r="D1021" s="14">
        <f t="shared" ca="1" si="7"/>
        <v>3809.3979999999997</v>
      </c>
      <c r="E1021" s="17"/>
      <c r="F1021" s="17"/>
    </row>
    <row r="1022" spans="1:6" ht="12.75" x14ac:dyDescent="0.2">
      <c r="A1022" s="13">
        <f ca="1">IFERROR(__xludf.DUMMYFUNCTION("""COMPUTED_VALUE"""),45336.6458333333)</f>
        <v>45336.645833333299</v>
      </c>
      <c r="B1022" s="14">
        <f ca="1">IFERROR(__xludf.DUMMYFUNCTION("""COMPUTED_VALUE"""),4100.1)</f>
        <v>4100.1000000000004</v>
      </c>
      <c r="C1022" s="15">
        <f t="shared" ca="1" si="6"/>
        <v>-1.1905048801060247E-2</v>
      </c>
      <c r="D1022" s="14">
        <f t="shared" ca="1" si="7"/>
        <v>3821.1669999999995</v>
      </c>
      <c r="E1022" s="17"/>
      <c r="F1022" s="17"/>
    </row>
    <row r="1023" spans="1:6" ht="12.75" x14ac:dyDescent="0.2">
      <c r="A1023" s="13">
        <f ca="1">IFERROR(__xludf.DUMMYFUNCTION("""COMPUTED_VALUE"""),45337.6458333333)</f>
        <v>45337.645833333299</v>
      </c>
      <c r="B1023" s="14">
        <f ca="1">IFERROR(__xludf.DUMMYFUNCTION("""COMPUTED_VALUE"""),4103.2)</f>
        <v>4103.2</v>
      </c>
      <c r="C1023" s="15">
        <f t="shared" ref="C1023:C1277" ca="1" si="8">(B1023/B1022)-1</f>
        <v>7.5607912002140232E-4</v>
      </c>
      <c r="D1023" s="14">
        <f t="shared" ca="1" si="7"/>
        <v>3832.982</v>
      </c>
      <c r="E1023" s="17"/>
      <c r="F1023" s="17"/>
    </row>
    <row r="1024" spans="1:6" ht="12.75" x14ac:dyDescent="0.2">
      <c r="A1024" s="13">
        <f ca="1">IFERROR(__xludf.DUMMYFUNCTION("""COMPUTED_VALUE"""),45338.6458333333)</f>
        <v>45338.645833333299</v>
      </c>
      <c r="B1024" s="14">
        <f ca="1">IFERROR(__xludf.DUMMYFUNCTION("""COMPUTED_VALUE"""),4128.3)</f>
        <v>4128.3</v>
      </c>
      <c r="C1024" s="15">
        <f t="shared" ca="1" si="8"/>
        <v>6.1171768375902769E-3</v>
      </c>
      <c r="D1024" s="14">
        <f t="shared" ca="1" si="7"/>
        <v>3844.9160000000002</v>
      </c>
      <c r="E1024" s="17"/>
      <c r="F1024" s="17"/>
    </row>
    <row r="1025" spans="1:6" ht="12.75" x14ac:dyDescent="0.2">
      <c r="A1025" s="13">
        <f ca="1">IFERROR(__xludf.DUMMYFUNCTION("""COMPUTED_VALUE"""),45341.6458333333)</f>
        <v>45341.645833333299</v>
      </c>
      <c r="B1025" s="14">
        <f ca="1">IFERROR(__xludf.DUMMYFUNCTION("""COMPUTED_VALUE"""),4103.8)</f>
        <v>4103.8</v>
      </c>
      <c r="C1025" s="15">
        <f t="shared" ca="1" si="8"/>
        <v>-5.9346462224160179E-3</v>
      </c>
      <c r="D1025" s="14">
        <f t="shared" ca="1" si="7"/>
        <v>3854.9100000000008</v>
      </c>
      <c r="E1025" s="17"/>
      <c r="F1025" s="17"/>
    </row>
    <row r="1026" spans="1:6" ht="12.75" x14ac:dyDescent="0.2">
      <c r="A1026" s="13">
        <f ca="1">IFERROR(__xludf.DUMMYFUNCTION("""COMPUTED_VALUE"""),45342.6458333333)</f>
        <v>45342.645833333299</v>
      </c>
      <c r="B1026" s="14">
        <f ca="1">IFERROR(__xludf.DUMMYFUNCTION("""COMPUTED_VALUE"""),4030.65)</f>
        <v>4030.65</v>
      </c>
      <c r="C1026" s="15">
        <f t="shared" ca="1" si="8"/>
        <v>-1.7824942736000771E-2</v>
      </c>
      <c r="D1026" s="14">
        <f t="shared" ca="1" si="7"/>
        <v>3863.2250000000004</v>
      </c>
      <c r="E1026" s="17"/>
      <c r="F1026" s="17"/>
    </row>
    <row r="1027" spans="1:6" ht="12.75" x14ac:dyDescent="0.2">
      <c r="A1027" s="13">
        <f ca="1">IFERROR(__xludf.DUMMYFUNCTION("""COMPUTED_VALUE"""),45343.6458333333)</f>
        <v>45343.645833333299</v>
      </c>
      <c r="B1027" s="14">
        <f ca="1">IFERROR(__xludf.DUMMYFUNCTION("""COMPUTED_VALUE"""),3991.5)</f>
        <v>3991.5</v>
      </c>
      <c r="C1027" s="15">
        <f t="shared" ca="1" si="8"/>
        <v>-9.7130735737411822E-3</v>
      </c>
      <c r="D1027" s="14">
        <f t="shared" ca="1" si="7"/>
        <v>3870.5210000000002</v>
      </c>
      <c r="E1027" s="17"/>
      <c r="F1027" s="17"/>
    </row>
    <row r="1028" spans="1:6" ht="12.75" x14ac:dyDescent="0.2">
      <c r="A1028" s="13">
        <f ca="1">IFERROR(__xludf.DUMMYFUNCTION("""COMPUTED_VALUE"""),45344.6458333333)</f>
        <v>45344.645833333299</v>
      </c>
      <c r="B1028" s="14">
        <f ca="1">IFERROR(__xludf.DUMMYFUNCTION("""COMPUTED_VALUE"""),4087.1)</f>
        <v>4087.1</v>
      </c>
      <c r="C1028" s="15">
        <f t="shared" ca="1" si="8"/>
        <v>2.3950895653263249E-2</v>
      </c>
      <c r="D1028" s="14">
        <f t="shared" ca="1" si="7"/>
        <v>3879.4050000000007</v>
      </c>
      <c r="E1028" s="17"/>
      <c r="F1028" s="17"/>
    </row>
    <row r="1029" spans="1:6" ht="12.75" x14ac:dyDescent="0.2">
      <c r="A1029" s="13">
        <f ca="1">IFERROR(__xludf.DUMMYFUNCTION("""COMPUTED_VALUE"""),45345.6458333333)</f>
        <v>45345.645833333299</v>
      </c>
      <c r="B1029" s="14">
        <f ca="1">IFERROR(__xludf.DUMMYFUNCTION("""COMPUTED_VALUE"""),4052.1)</f>
        <v>4052.1</v>
      </c>
      <c r="C1029" s="15">
        <f t="shared" ca="1" si="8"/>
        <v>-8.5635291526999779E-3</v>
      </c>
      <c r="D1029" s="14">
        <f t="shared" ca="1" si="7"/>
        <v>3887.0050000000006</v>
      </c>
      <c r="E1029" s="17"/>
      <c r="F1029" s="17"/>
    </row>
    <row r="1030" spans="1:6" ht="12.75" x14ac:dyDescent="0.2">
      <c r="A1030" s="13">
        <f ca="1">IFERROR(__xludf.DUMMYFUNCTION("""COMPUTED_VALUE"""),45348.6458333333)</f>
        <v>45348.645833333299</v>
      </c>
      <c r="B1030" s="14">
        <f ca="1">IFERROR(__xludf.DUMMYFUNCTION("""COMPUTED_VALUE"""),4001.05)</f>
        <v>4001.05</v>
      </c>
      <c r="C1030" s="15">
        <f t="shared" ca="1" si="8"/>
        <v>-1.2598405764912002E-2</v>
      </c>
      <c r="D1030" s="14">
        <f t="shared" ca="1" si="7"/>
        <v>3895.1550000000007</v>
      </c>
      <c r="E1030" s="17"/>
      <c r="F1030" s="17"/>
    </row>
    <row r="1031" spans="1:6" ht="12.75" x14ac:dyDescent="0.2">
      <c r="A1031" s="13">
        <f ca="1">IFERROR(__xludf.DUMMYFUNCTION("""COMPUTED_VALUE"""),45349.6458333333)</f>
        <v>45349.645833333299</v>
      </c>
      <c r="B1031" s="14">
        <f ca="1">IFERROR(__xludf.DUMMYFUNCTION("""COMPUTED_VALUE"""),4104.4)</f>
        <v>4104.3999999999996</v>
      </c>
      <c r="C1031" s="15">
        <f t="shared" ca="1" si="8"/>
        <v>2.5830719436147787E-2</v>
      </c>
      <c r="D1031" s="14">
        <f t="shared" ca="1" si="7"/>
        <v>3903.898000000001</v>
      </c>
      <c r="E1031" s="17"/>
      <c r="F1031" s="17"/>
    </row>
    <row r="1032" spans="1:6" ht="12.75" x14ac:dyDescent="0.2">
      <c r="A1032" s="13">
        <f ca="1">IFERROR(__xludf.DUMMYFUNCTION("""COMPUTED_VALUE"""),45350.6458333333)</f>
        <v>45350.645833333299</v>
      </c>
      <c r="B1032" s="14">
        <f ca="1">IFERROR(__xludf.DUMMYFUNCTION("""COMPUTED_VALUE"""),4118.95)</f>
        <v>4118.95</v>
      </c>
      <c r="C1032" s="15">
        <f t="shared" ca="1" si="8"/>
        <v>3.5449761231849397E-3</v>
      </c>
      <c r="D1032" s="14">
        <f t="shared" ca="1" si="7"/>
        <v>3909.0570000000012</v>
      </c>
      <c r="E1032" s="17"/>
      <c r="F1032" s="17"/>
    </row>
    <row r="1033" spans="1:6" ht="12.75" x14ac:dyDescent="0.2">
      <c r="A1033" s="13">
        <f ca="1">IFERROR(__xludf.DUMMYFUNCTION("""COMPUTED_VALUE"""),45351.6458333333)</f>
        <v>45351.645833333299</v>
      </c>
      <c r="B1033" s="14">
        <f ca="1">IFERROR(__xludf.DUMMYFUNCTION("""COMPUTED_VALUE"""),4095.1)</f>
        <v>4095.1</v>
      </c>
      <c r="C1033" s="15">
        <f t="shared" ca="1" si="8"/>
        <v>-5.7903106374197488E-3</v>
      </c>
      <c r="D1033" s="14">
        <f t="shared" ca="1" si="7"/>
        <v>3913.775000000001</v>
      </c>
      <c r="E1033" s="17"/>
      <c r="F1033" s="17"/>
    </row>
    <row r="1034" spans="1:6" ht="12.75" x14ac:dyDescent="0.2">
      <c r="A1034" s="13">
        <f ca="1">IFERROR(__xludf.DUMMYFUNCTION("""COMPUTED_VALUE"""),45352.6458333333)</f>
        <v>45352.645833333299</v>
      </c>
      <c r="B1034" s="14">
        <f ca="1">IFERROR(__xludf.DUMMYFUNCTION("""COMPUTED_VALUE"""),4094.35)</f>
        <v>4094.35</v>
      </c>
      <c r="C1034" s="15">
        <f t="shared" ca="1" si="8"/>
        <v>-1.8314571072741703E-4</v>
      </c>
      <c r="D1034" s="14">
        <f t="shared" ca="1" si="7"/>
        <v>3919.3380000000011</v>
      </c>
      <c r="E1034" s="17"/>
      <c r="F1034" s="17"/>
    </row>
    <row r="1035" spans="1:6" ht="12.75" x14ac:dyDescent="0.2">
      <c r="A1035" s="13">
        <f ca="1">IFERROR(__xludf.DUMMYFUNCTION("""COMPUTED_VALUE"""),45355.6458333333)</f>
        <v>45355.645833333299</v>
      </c>
      <c r="B1035" s="14">
        <f ca="1">IFERROR(__xludf.DUMMYFUNCTION("""COMPUTED_VALUE"""),4080.7)</f>
        <v>4080.7</v>
      </c>
      <c r="C1035" s="15">
        <f t="shared" ca="1" si="8"/>
        <v>-3.3338625178600534E-3</v>
      </c>
      <c r="D1035" s="14">
        <f t="shared" ca="1" si="7"/>
        <v>3925.3510000000015</v>
      </c>
      <c r="E1035" s="17"/>
      <c r="F1035" s="17"/>
    </row>
    <row r="1036" spans="1:6" ht="12.75" x14ac:dyDescent="0.2">
      <c r="A1036" s="13">
        <f ca="1">IFERROR(__xludf.DUMMYFUNCTION("""COMPUTED_VALUE"""),45356.6458333333)</f>
        <v>45356.645833333299</v>
      </c>
      <c r="B1036" s="14">
        <f ca="1">IFERROR(__xludf.DUMMYFUNCTION("""COMPUTED_VALUE"""),4012.1)</f>
        <v>4012.1</v>
      </c>
      <c r="C1036" s="15">
        <f t="shared" ca="1" si="8"/>
        <v>-1.6810841277231869E-2</v>
      </c>
      <c r="D1036" s="14">
        <f t="shared" ca="1" si="7"/>
        <v>3929.8430000000012</v>
      </c>
      <c r="E1036" s="17"/>
      <c r="F1036" s="17"/>
    </row>
    <row r="1037" spans="1:6" ht="12.75" x14ac:dyDescent="0.2">
      <c r="A1037" s="13">
        <f ca="1">IFERROR(__xludf.DUMMYFUNCTION("""COMPUTED_VALUE"""),45357.6458333333)</f>
        <v>45357.645833333299</v>
      </c>
      <c r="B1037" s="14">
        <f ca="1">IFERROR(__xludf.DUMMYFUNCTION("""COMPUTED_VALUE"""),4064.3)</f>
        <v>4064.3</v>
      </c>
      <c r="C1037" s="15">
        <f t="shared" ca="1" si="8"/>
        <v>1.301064280551345E-2</v>
      </c>
      <c r="D1037" s="14">
        <f t="shared" ca="1" si="7"/>
        <v>3934.6490000000003</v>
      </c>
      <c r="E1037" s="17"/>
      <c r="F1037" s="17"/>
    </row>
    <row r="1038" spans="1:6" ht="12.75" x14ac:dyDescent="0.2">
      <c r="A1038" s="13">
        <f ca="1">IFERROR(__xludf.DUMMYFUNCTION("""COMPUTED_VALUE"""),45358.6458333333)</f>
        <v>45358.645833333299</v>
      </c>
      <c r="B1038" s="14">
        <f ca="1">IFERROR(__xludf.DUMMYFUNCTION("""COMPUTED_VALUE"""),4108.6)</f>
        <v>4108.6000000000004</v>
      </c>
      <c r="C1038" s="15">
        <f t="shared" ca="1" si="8"/>
        <v>1.0899785940998497E-2</v>
      </c>
      <c r="D1038" s="14">
        <f t="shared" ca="1" si="7"/>
        <v>3940.9100000000008</v>
      </c>
      <c r="E1038" s="17"/>
      <c r="F1038" s="17"/>
    </row>
    <row r="1039" spans="1:6" ht="12.75" x14ac:dyDescent="0.2">
      <c r="A1039" s="13">
        <f ca="1">IFERROR(__xludf.DUMMYFUNCTION("""COMPUTED_VALUE"""),45362.6458333333)</f>
        <v>45362.645833333299</v>
      </c>
      <c r="B1039" s="14">
        <f ca="1">IFERROR(__xludf.DUMMYFUNCTION("""COMPUTED_VALUE"""),4122.35)</f>
        <v>4122.3500000000004</v>
      </c>
      <c r="C1039" s="15">
        <f t="shared" ca="1" si="8"/>
        <v>3.3466387577276713E-3</v>
      </c>
      <c r="D1039" s="14">
        <f t="shared" ca="1" si="7"/>
        <v>3947.1330000000003</v>
      </c>
      <c r="E1039" s="17"/>
      <c r="F1039" s="17"/>
    </row>
    <row r="1040" spans="1:6" ht="12.75" x14ac:dyDescent="0.2">
      <c r="A1040" s="13">
        <f ca="1">IFERROR(__xludf.DUMMYFUNCTION("""COMPUTED_VALUE"""),45363.6458333333)</f>
        <v>45363.645833333299</v>
      </c>
      <c r="B1040" s="14">
        <f ca="1">IFERROR(__xludf.DUMMYFUNCTION("""COMPUTED_VALUE"""),4192.25)</f>
        <v>4192.25</v>
      </c>
      <c r="C1040" s="15">
        <f t="shared" ca="1" si="8"/>
        <v>1.6956347714289111E-2</v>
      </c>
      <c r="D1040" s="14">
        <f t="shared" ca="1" si="7"/>
        <v>3954.9800000000005</v>
      </c>
      <c r="E1040" s="17"/>
      <c r="F1040" s="17"/>
    </row>
    <row r="1041" spans="1:6" ht="12.75" x14ac:dyDescent="0.2">
      <c r="A1041" s="13">
        <f ca="1">IFERROR(__xludf.DUMMYFUNCTION("""COMPUTED_VALUE"""),45364.6458333333)</f>
        <v>45364.645833333299</v>
      </c>
      <c r="B1041" s="14">
        <f ca="1">IFERROR(__xludf.DUMMYFUNCTION("""COMPUTED_VALUE"""),4149)</f>
        <v>4149</v>
      </c>
      <c r="C1041" s="15">
        <f t="shared" ca="1" si="8"/>
        <v>-1.0316655733794478E-2</v>
      </c>
      <c r="D1041" s="14">
        <f t="shared" ca="1" si="7"/>
        <v>3962.0920000000006</v>
      </c>
      <c r="E1041" s="17"/>
      <c r="F1041" s="17"/>
    </row>
    <row r="1042" spans="1:6" ht="12.75" x14ac:dyDescent="0.2">
      <c r="A1042" s="13">
        <f ca="1">IFERROR(__xludf.DUMMYFUNCTION("""COMPUTED_VALUE"""),45365.6458333333)</f>
        <v>45365.645833333299</v>
      </c>
      <c r="B1042" s="14">
        <f ca="1">IFERROR(__xludf.DUMMYFUNCTION("""COMPUTED_VALUE"""),4207.6)</f>
        <v>4207.6000000000004</v>
      </c>
      <c r="C1042" s="15">
        <f t="shared" ca="1" si="8"/>
        <v>1.41238852735599E-2</v>
      </c>
      <c r="D1042" s="14">
        <f t="shared" ca="1" si="7"/>
        <v>3970.0220000000013</v>
      </c>
      <c r="E1042" s="17"/>
      <c r="F1042" s="17"/>
    </row>
    <row r="1043" spans="1:6" ht="12.75" x14ac:dyDescent="0.2">
      <c r="A1043" s="13">
        <f ca="1">IFERROR(__xludf.DUMMYFUNCTION("""COMPUTED_VALUE"""),45366.6458333333)</f>
        <v>45366.645833333299</v>
      </c>
      <c r="B1043" s="14">
        <f ca="1">IFERROR(__xludf.DUMMYFUNCTION("""COMPUTED_VALUE"""),4219.25)</f>
        <v>4219.25</v>
      </c>
      <c r="C1043" s="15">
        <f t="shared" ca="1" si="8"/>
        <v>2.7687993155240953E-3</v>
      </c>
      <c r="D1043" s="14">
        <f t="shared" ca="1" si="7"/>
        <v>3978.7430000000008</v>
      </c>
      <c r="E1043" s="17"/>
      <c r="F1043" s="17"/>
    </row>
    <row r="1044" spans="1:6" ht="12.75" x14ac:dyDescent="0.2">
      <c r="A1044" s="13">
        <f ca="1">IFERROR(__xludf.DUMMYFUNCTION("""COMPUTED_VALUE"""),45369.6458333333)</f>
        <v>45369.645833333299</v>
      </c>
      <c r="B1044" s="14">
        <f ca="1">IFERROR(__xludf.DUMMYFUNCTION("""COMPUTED_VALUE"""),4152.5)</f>
        <v>4152.5</v>
      </c>
      <c r="C1044" s="15">
        <f t="shared" ca="1" si="8"/>
        <v>-1.5820347218107433E-2</v>
      </c>
      <c r="D1044" s="14">
        <f t="shared" ca="1" si="7"/>
        <v>3987.958000000001</v>
      </c>
      <c r="E1044" s="17"/>
      <c r="F1044" s="17"/>
    </row>
    <row r="1045" spans="1:6" ht="12.75" x14ac:dyDescent="0.2">
      <c r="A1045" s="13">
        <f ca="1">IFERROR(__xludf.DUMMYFUNCTION("""COMPUTED_VALUE"""),45370.6458333333)</f>
        <v>45370.645833333299</v>
      </c>
      <c r="B1045" s="14">
        <f ca="1">IFERROR(__xludf.DUMMYFUNCTION("""COMPUTED_VALUE"""),3977.3)</f>
        <v>3977.3</v>
      </c>
      <c r="C1045" s="15">
        <f t="shared" ca="1" si="8"/>
        <v>-4.2191450933172781E-2</v>
      </c>
      <c r="D1045" s="14">
        <f t="shared" ca="1" si="7"/>
        <v>3994.1680000000006</v>
      </c>
      <c r="E1045" s="17"/>
      <c r="F1045" s="17"/>
    </row>
    <row r="1046" spans="1:6" ht="12.75" x14ac:dyDescent="0.2">
      <c r="A1046" s="13">
        <f ca="1">IFERROR(__xludf.DUMMYFUNCTION("""COMPUTED_VALUE"""),45371.6458333333)</f>
        <v>45371.645833333299</v>
      </c>
      <c r="B1046" s="14">
        <f ca="1">IFERROR(__xludf.DUMMYFUNCTION("""COMPUTED_VALUE"""),3970.9)</f>
        <v>3970.9</v>
      </c>
      <c r="C1046" s="15">
        <f t="shared" ca="1" si="8"/>
        <v>-1.6091318230960772E-3</v>
      </c>
      <c r="D1046" s="14">
        <f t="shared" ca="1" si="7"/>
        <v>3998.8280000000004</v>
      </c>
      <c r="E1046" s="17"/>
      <c r="F1046" s="17"/>
    </row>
    <row r="1047" spans="1:6" ht="12.75" x14ac:dyDescent="0.2">
      <c r="A1047" s="13">
        <f ca="1">IFERROR(__xludf.DUMMYFUNCTION("""COMPUTED_VALUE"""),45372.6458333333)</f>
        <v>45372.645833333299</v>
      </c>
      <c r="B1047" s="14">
        <f ca="1">IFERROR(__xludf.DUMMYFUNCTION("""COMPUTED_VALUE"""),3972.95)</f>
        <v>3972.95</v>
      </c>
      <c r="C1047" s="15">
        <f t="shared" ca="1" si="8"/>
        <v>5.1625576065883472E-4</v>
      </c>
      <c r="D1047" s="14">
        <f t="shared" ca="1" si="7"/>
        <v>4004.7210000000009</v>
      </c>
      <c r="E1047" s="17"/>
      <c r="F1047" s="17"/>
    </row>
    <row r="1048" spans="1:6" ht="12.75" x14ac:dyDescent="0.2">
      <c r="A1048" s="13">
        <f ca="1">IFERROR(__xludf.DUMMYFUNCTION("""COMPUTED_VALUE"""),45373.6458333333)</f>
        <v>45373.645833333299</v>
      </c>
      <c r="B1048" s="14">
        <f ca="1">IFERROR(__xludf.DUMMYFUNCTION("""COMPUTED_VALUE"""),3910.9)</f>
        <v>3910.9</v>
      </c>
      <c r="C1048" s="15">
        <f t="shared" ca="1" si="8"/>
        <v>-1.5618117519727082E-2</v>
      </c>
      <c r="D1048" s="14">
        <f t="shared" ca="1" si="7"/>
        <v>4009.141000000001</v>
      </c>
      <c r="E1048" s="17"/>
      <c r="F1048" s="17"/>
    </row>
    <row r="1049" spans="1:6" ht="12.75" x14ac:dyDescent="0.2">
      <c r="A1049" s="13">
        <f ca="1">IFERROR(__xludf.DUMMYFUNCTION("""COMPUTED_VALUE"""),45377.6458333333)</f>
        <v>45377.645833333299</v>
      </c>
      <c r="B1049" s="14">
        <f ca="1">IFERROR(__xludf.DUMMYFUNCTION("""COMPUTED_VALUE"""),3877.5)</f>
        <v>3877.5</v>
      </c>
      <c r="C1049" s="15">
        <f t="shared" ca="1" si="8"/>
        <v>-8.540233705796596E-3</v>
      </c>
      <c r="D1049" s="14">
        <f t="shared" ca="1" si="7"/>
        <v>4012.4300000000012</v>
      </c>
      <c r="E1049" s="17"/>
      <c r="F1049" s="17"/>
    </row>
    <row r="1050" spans="1:6" ht="12.75" x14ac:dyDescent="0.2">
      <c r="A1050" s="13">
        <f ca="1">IFERROR(__xludf.DUMMYFUNCTION("""COMPUTED_VALUE"""),45378.6458333333)</f>
        <v>45378.645833333299</v>
      </c>
      <c r="B1050" s="14">
        <f ca="1">IFERROR(__xludf.DUMMYFUNCTION("""COMPUTED_VALUE"""),3840.9)</f>
        <v>3840.9</v>
      </c>
      <c r="C1050" s="15">
        <f t="shared" ca="1" si="8"/>
        <v>-9.4390715667310721E-3</v>
      </c>
      <c r="D1050" s="14">
        <f t="shared" ca="1" si="7"/>
        <v>4014.5370000000007</v>
      </c>
      <c r="E1050" s="17"/>
      <c r="F1050" s="17"/>
    </row>
    <row r="1051" spans="1:6" ht="12.75" x14ac:dyDescent="0.2">
      <c r="A1051" s="13">
        <f ca="1">IFERROR(__xludf.DUMMYFUNCTION("""COMPUTED_VALUE"""),45379.6458333333)</f>
        <v>45379.645833333299</v>
      </c>
      <c r="B1051" s="14">
        <f ca="1">IFERROR(__xludf.DUMMYFUNCTION("""COMPUTED_VALUE"""),3876.3)</f>
        <v>3876.3</v>
      </c>
      <c r="C1051" s="15">
        <f t="shared" ca="1" si="8"/>
        <v>9.2165898617511122E-3</v>
      </c>
      <c r="D1051" s="14">
        <f t="shared" ca="1" si="7"/>
        <v>4014.4070000000002</v>
      </c>
      <c r="E1051" s="17"/>
      <c r="F1051" s="17"/>
    </row>
    <row r="1052" spans="1:6" ht="12.75" x14ac:dyDescent="0.2">
      <c r="A1052" s="13">
        <f ca="1">IFERROR(__xludf.DUMMYFUNCTION("""COMPUTED_VALUE"""),45383.6458333333)</f>
        <v>45383.645833333299</v>
      </c>
      <c r="B1052" s="14">
        <f ca="1">IFERROR(__xludf.DUMMYFUNCTION("""COMPUTED_VALUE"""),3916.75)</f>
        <v>3916.75</v>
      </c>
      <c r="C1052" s="15">
        <f t="shared" ca="1" si="8"/>
        <v>1.0435208833165621E-2</v>
      </c>
      <c r="D1052" s="14">
        <f t="shared" ca="1" si="7"/>
        <v>4014.6660000000002</v>
      </c>
      <c r="E1052" s="17"/>
      <c r="F1052" s="17"/>
    </row>
    <row r="1053" spans="1:6" ht="12.75" x14ac:dyDescent="0.2">
      <c r="A1053" s="13">
        <f ca="1">IFERROR(__xludf.DUMMYFUNCTION("""COMPUTED_VALUE"""),45384.6458333333)</f>
        <v>45384.645833333299</v>
      </c>
      <c r="B1053" s="14">
        <f ca="1">IFERROR(__xludf.DUMMYFUNCTION("""COMPUTED_VALUE"""),3883.8)</f>
        <v>3883.8</v>
      </c>
      <c r="C1053" s="15">
        <f t="shared" ca="1" si="8"/>
        <v>-8.412586966234703E-3</v>
      </c>
      <c r="D1053" s="14">
        <f t="shared" ca="1" si="7"/>
        <v>4015.116</v>
      </c>
      <c r="E1053" s="17"/>
      <c r="F1053" s="17"/>
    </row>
    <row r="1054" spans="1:6" ht="12.75" x14ac:dyDescent="0.2">
      <c r="A1054" s="13">
        <f ca="1">IFERROR(__xludf.DUMMYFUNCTION("""COMPUTED_VALUE"""),45385.6458333333)</f>
        <v>45385.645833333299</v>
      </c>
      <c r="B1054" s="14">
        <f ca="1">IFERROR(__xludf.DUMMYFUNCTION("""COMPUTED_VALUE"""),3947.3)</f>
        <v>3947.3</v>
      </c>
      <c r="C1054" s="15">
        <f t="shared" ca="1" si="8"/>
        <v>1.6349966527627657E-2</v>
      </c>
      <c r="D1054" s="14">
        <f t="shared" ca="1" si="7"/>
        <v>4016.3699999999994</v>
      </c>
      <c r="E1054" s="17"/>
      <c r="F1054" s="17"/>
    </row>
    <row r="1055" spans="1:6" ht="12.75" x14ac:dyDescent="0.2">
      <c r="A1055" s="13">
        <f ca="1">IFERROR(__xludf.DUMMYFUNCTION("""COMPUTED_VALUE"""),45386.6458333333)</f>
        <v>45386.645833333299</v>
      </c>
      <c r="B1055" s="14">
        <f ca="1">IFERROR(__xludf.DUMMYFUNCTION("""COMPUTED_VALUE"""),4003.3)</f>
        <v>4003.3</v>
      </c>
      <c r="C1055" s="15">
        <f t="shared" ca="1" si="8"/>
        <v>1.41869125731513E-2</v>
      </c>
      <c r="D1055" s="14">
        <f t="shared" ca="1" si="7"/>
        <v>4018.3839999999996</v>
      </c>
      <c r="E1055" s="17"/>
      <c r="F1055" s="17"/>
    </row>
    <row r="1056" spans="1:6" ht="12.75" x14ac:dyDescent="0.2">
      <c r="A1056" s="13">
        <f ca="1">IFERROR(__xludf.DUMMYFUNCTION("""COMPUTED_VALUE"""),45387.6458333333)</f>
        <v>45387.645833333299</v>
      </c>
      <c r="B1056" s="14">
        <f ca="1">IFERROR(__xludf.DUMMYFUNCTION("""COMPUTED_VALUE"""),3979.25)</f>
        <v>3979.25</v>
      </c>
      <c r="C1056" s="15">
        <f t="shared" ca="1" si="8"/>
        <v>-6.0075437763845718E-3</v>
      </c>
      <c r="D1056" s="14">
        <f t="shared" ca="1" si="7"/>
        <v>4019.1079999999993</v>
      </c>
      <c r="E1056" s="17"/>
      <c r="F1056" s="17"/>
    </row>
    <row r="1057" spans="1:6" ht="12.75" x14ac:dyDescent="0.2">
      <c r="A1057" s="13">
        <f ca="1">IFERROR(__xludf.DUMMYFUNCTION("""COMPUTED_VALUE"""),45390.6458333333)</f>
        <v>45390.645833333299</v>
      </c>
      <c r="B1057" s="14">
        <f ca="1">IFERROR(__xludf.DUMMYFUNCTION("""COMPUTED_VALUE"""),3972.55)</f>
        <v>3972.55</v>
      </c>
      <c r="C1057" s="15">
        <f t="shared" ca="1" si="8"/>
        <v>-1.6837343720549347E-3</v>
      </c>
      <c r="D1057" s="14">
        <f t="shared" ca="1" si="7"/>
        <v>4021.3939999999989</v>
      </c>
      <c r="E1057" s="17"/>
      <c r="F1057" s="17"/>
    </row>
    <row r="1058" spans="1:6" ht="12.75" x14ac:dyDescent="0.2">
      <c r="A1058" s="13">
        <f ca="1">IFERROR(__xludf.DUMMYFUNCTION("""COMPUTED_VALUE"""),45391.6458333333)</f>
        <v>45391.645833333299</v>
      </c>
      <c r="B1058" s="14">
        <f ca="1">IFERROR(__xludf.DUMMYFUNCTION("""COMPUTED_VALUE"""),3946.55)</f>
        <v>3946.55</v>
      </c>
      <c r="C1058" s="15">
        <f t="shared" ca="1" si="8"/>
        <v>-6.5449144755886923E-3</v>
      </c>
      <c r="D1058" s="14">
        <f t="shared" ca="1" si="7"/>
        <v>4023.4889999999991</v>
      </c>
      <c r="E1058" s="17"/>
      <c r="F1058" s="17"/>
    </row>
    <row r="1059" spans="1:6" ht="12.75" x14ac:dyDescent="0.2">
      <c r="A1059" s="13">
        <f ca="1">IFERROR(__xludf.DUMMYFUNCTION("""COMPUTED_VALUE"""),45392.6458333333)</f>
        <v>45392.645833333299</v>
      </c>
      <c r="B1059" s="14">
        <f ca="1">IFERROR(__xludf.DUMMYFUNCTION("""COMPUTED_VALUE"""),3984.65)</f>
        <v>3984.65</v>
      </c>
      <c r="C1059" s="15">
        <f t="shared" ca="1" si="8"/>
        <v>9.6540015963308967E-3</v>
      </c>
      <c r="D1059" s="14">
        <f t="shared" ca="1" si="7"/>
        <v>4026.9759999999987</v>
      </c>
      <c r="E1059" s="17"/>
      <c r="F1059" s="17"/>
    </row>
    <row r="1060" spans="1:6" ht="12.75" x14ac:dyDescent="0.2">
      <c r="A1060" s="13">
        <f ca="1">IFERROR(__xludf.DUMMYFUNCTION("""COMPUTED_VALUE"""),45394.6458333333)</f>
        <v>45394.645833333299</v>
      </c>
      <c r="B1060" s="14">
        <f ca="1">IFERROR(__xludf.DUMMYFUNCTION("""COMPUTED_VALUE"""),4001.4)</f>
        <v>4001.4</v>
      </c>
      <c r="C1060" s="15">
        <f t="shared" ca="1" si="8"/>
        <v>4.2036314356341808E-3</v>
      </c>
      <c r="D1060" s="14">
        <f t="shared" ca="1" si="7"/>
        <v>4030.9839999999986</v>
      </c>
      <c r="E1060" s="17"/>
      <c r="F1060" s="17"/>
    </row>
    <row r="1061" spans="1:6" ht="12.75" x14ac:dyDescent="0.2">
      <c r="A1061" s="13">
        <f ca="1">IFERROR(__xludf.DUMMYFUNCTION("""COMPUTED_VALUE"""),45397.6458333333)</f>
        <v>45397.645833333299</v>
      </c>
      <c r="B1061" s="14">
        <f ca="1">IFERROR(__xludf.DUMMYFUNCTION("""COMPUTED_VALUE"""),3941.2)</f>
        <v>3941.2</v>
      </c>
      <c r="C1061" s="15">
        <f t="shared" ca="1" si="8"/>
        <v>-1.5044734342980037E-2</v>
      </c>
      <c r="D1061" s="14">
        <f t="shared" ca="1" si="7"/>
        <v>4033.7969999999991</v>
      </c>
      <c r="E1061" s="17"/>
      <c r="F1061" s="17"/>
    </row>
    <row r="1062" spans="1:6" ht="12.75" x14ac:dyDescent="0.2">
      <c r="A1062" s="13">
        <f ca="1">IFERROR(__xludf.DUMMYFUNCTION("""COMPUTED_VALUE"""),45398.6458333333)</f>
        <v>45398.645833333299</v>
      </c>
      <c r="B1062" s="14">
        <f ca="1">IFERROR(__xludf.DUMMYFUNCTION("""COMPUTED_VALUE"""),3872.8)</f>
        <v>3872.8</v>
      </c>
      <c r="C1062" s="15">
        <f t="shared" ca="1" si="8"/>
        <v>-1.7355120267938617E-2</v>
      </c>
      <c r="D1062" s="14">
        <f t="shared" ca="1" si="7"/>
        <v>4034.9339999999993</v>
      </c>
      <c r="E1062" s="17"/>
      <c r="F1062" s="17"/>
    </row>
    <row r="1063" spans="1:6" ht="12.75" x14ac:dyDescent="0.2">
      <c r="A1063" s="13">
        <f ca="1">IFERROR(__xludf.DUMMYFUNCTION("""COMPUTED_VALUE"""),45400.6458333333)</f>
        <v>45400.645833333299</v>
      </c>
      <c r="B1063" s="14">
        <f ca="1">IFERROR(__xludf.DUMMYFUNCTION("""COMPUTED_VALUE"""),3862)</f>
        <v>3862</v>
      </c>
      <c r="C1063" s="15">
        <f t="shared" ca="1" si="8"/>
        <v>-2.7886800247882704E-3</v>
      </c>
      <c r="D1063" s="14">
        <f t="shared" ca="1" si="7"/>
        <v>4035.090999999999</v>
      </c>
      <c r="E1063" s="17"/>
      <c r="F1063" s="17"/>
    </row>
    <row r="1064" spans="1:6" ht="12.75" x14ac:dyDescent="0.2">
      <c r="A1064" s="13">
        <f ca="1">IFERROR(__xludf.DUMMYFUNCTION("""COMPUTED_VALUE"""),45401.6458333333)</f>
        <v>45401.645833333299</v>
      </c>
      <c r="B1064" s="14">
        <f ca="1">IFERROR(__xludf.DUMMYFUNCTION("""COMPUTED_VALUE"""),3826.2)</f>
        <v>3826.2</v>
      </c>
      <c r="C1064" s="15">
        <f t="shared" ca="1" si="8"/>
        <v>-9.2698083894355854E-3</v>
      </c>
      <c r="D1064" s="14">
        <f t="shared" ca="1" si="7"/>
        <v>4032.2889999999989</v>
      </c>
      <c r="E1064" s="17"/>
      <c r="F1064" s="17"/>
    </row>
    <row r="1065" spans="1:6" ht="12.75" x14ac:dyDescent="0.2">
      <c r="A1065" s="13">
        <f ca="1">IFERROR(__xludf.DUMMYFUNCTION("""COMPUTED_VALUE"""),45404.6458333333)</f>
        <v>45404.645833333299</v>
      </c>
      <c r="B1065" s="14">
        <f ca="1">IFERROR(__xludf.DUMMYFUNCTION("""COMPUTED_VALUE"""),3864.6)</f>
        <v>3864.6</v>
      </c>
      <c r="C1065" s="15">
        <f t="shared" ca="1" si="8"/>
        <v>1.0036067116198755E-2</v>
      </c>
      <c r="D1065" s="14">
        <f t="shared" ca="1" si="7"/>
        <v>4030.1149999999993</v>
      </c>
      <c r="E1065" s="17"/>
      <c r="F1065" s="17"/>
    </row>
    <row r="1066" spans="1:6" ht="12.75" x14ac:dyDescent="0.2">
      <c r="A1066" s="13">
        <f ca="1">IFERROR(__xludf.DUMMYFUNCTION("""COMPUTED_VALUE"""),45405.6458333333)</f>
        <v>45405.645833333299</v>
      </c>
      <c r="B1066" s="14">
        <f ca="1">IFERROR(__xludf.DUMMYFUNCTION("""COMPUTED_VALUE"""),3874.7)</f>
        <v>3874.7</v>
      </c>
      <c r="C1066" s="15">
        <f t="shared" ca="1" si="8"/>
        <v>2.6134658179370884E-3</v>
      </c>
      <c r="D1066" s="14">
        <f t="shared" ca="1" si="7"/>
        <v>4024.8889999999992</v>
      </c>
      <c r="E1066" s="17"/>
      <c r="F1066" s="17"/>
    </row>
    <row r="1067" spans="1:6" ht="12.75" x14ac:dyDescent="0.2">
      <c r="A1067" s="13">
        <f ca="1">IFERROR(__xludf.DUMMYFUNCTION("""COMPUTED_VALUE"""),45406.6458333333)</f>
        <v>45406.645833333299</v>
      </c>
      <c r="B1067" s="14">
        <f ca="1">IFERROR(__xludf.DUMMYFUNCTION("""COMPUTED_VALUE"""),3831.05)</f>
        <v>3831.05</v>
      </c>
      <c r="C1067" s="15">
        <f t="shared" ca="1" si="8"/>
        <v>-1.12653882881254E-2</v>
      </c>
      <c r="D1067" s="14">
        <f t="shared" ca="1" si="7"/>
        <v>4019.8419999999987</v>
      </c>
      <c r="E1067" s="17"/>
      <c r="F1067" s="17"/>
    </row>
    <row r="1068" spans="1:6" ht="12.75" x14ac:dyDescent="0.2">
      <c r="A1068" s="13">
        <f ca="1">IFERROR(__xludf.DUMMYFUNCTION("""COMPUTED_VALUE"""),45407.6458333333)</f>
        <v>45407.645833333299</v>
      </c>
      <c r="B1068" s="14">
        <f ca="1">IFERROR(__xludf.DUMMYFUNCTION("""COMPUTED_VALUE"""),3852.2)</f>
        <v>3852.2</v>
      </c>
      <c r="C1068" s="15">
        <f t="shared" ca="1" si="8"/>
        <v>5.5206797092179904E-3</v>
      </c>
      <c r="D1068" s="14">
        <f t="shared" ca="1" si="7"/>
        <v>4014.2039999999993</v>
      </c>
      <c r="E1068" s="17"/>
      <c r="F1068" s="17"/>
    </row>
    <row r="1069" spans="1:6" ht="12.75" x14ac:dyDescent="0.2">
      <c r="A1069" s="13">
        <f ca="1">IFERROR(__xludf.DUMMYFUNCTION("""COMPUTED_VALUE"""),45408.6458333333)</f>
        <v>45408.645833333299</v>
      </c>
      <c r="B1069" s="14">
        <f ca="1">IFERROR(__xludf.DUMMYFUNCTION("""COMPUTED_VALUE"""),3821.35)</f>
        <v>3821.35</v>
      </c>
      <c r="C1069" s="15">
        <f t="shared" ca="1" si="8"/>
        <v>-8.0084107782565361E-3</v>
      </c>
      <c r="D1069" s="14">
        <f t="shared" ca="1" si="7"/>
        <v>4007.9569999999994</v>
      </c>
      <c r="E1069" s="17"/>
      <c r="F1069" s="17"/>
    </row>
    <row r="1070" spans="1:6" ht="12.75" x14ac:dyDescent="0.2">
      <c r="A1070" s="13">
        <f ca="1">IFERROR(__xludf.DUMMYFUNCTION("""COMPUTED_VALUE"""),45411.6458333333)</f>
        <v>45411.645833333299</v>
      </c>
      <c r="B1070" s="14">
        <f ca="1">IFERROR(__xludf.DUMMYFUNCTION("""COMPUTED_VALUE"""),3870.2)</f>
        <v>3870.2</v>
      </c>
      <c r="C1070" s="15">
        <f t="shared" ca="1" si="8"/>
        <v>1.278344040718582E-2</v>
      </c>
      <c r="D1070" s="14">
        <f t="shared" ca="1" si="7"/>
        <v>4002.9469999999997</v>
      </c>
      <c r="E1070" s="17"/>
      <c r="F1070" s="17"/>
    </row>
    <row r="1071" spans="1:6" ht="12.75" x14ac:dyDescent="0.2">
      <c r="A1071" s="13">
        <f ca="1">IFERROR(__xludf.DUMMYFUNCTION("""COMPUTED_VALUE"""),45412.6458333333)</f>
        <v>45412.645833333299</v>
      </c>
      <c r="B1071" s="14">
        <f ca="1">IFERROR(__xludf.DUMMYFUNCTION("""COMPUTED_VALUE"""),3820.65)</f>
        <v>3820.65</v>
      </c>
      <c r="C1071" s="15">
        <f t="shared" ca="1" si="8"/>
        <v>-1.2802955919590686E-2</v>
      </c>
      <c r="D1071" s="14">
        <f t="shared" ref="D1071:D1325" ca="1" si="9">AVERAGE(B1022:B1071)</f>
        <v>3996.3699999999994</v>
      </c>
      <c r="E1071" s="17"/>
      <c r="F1071" s="17"/>
    </row>
    <row r="1072" spans="1:6" ht="12.75" x14ac:dyDescent="0.2">
      <c r="A1072" s="13">
        <f ca="1">IFERROR(__xludf.DUMMYFUNCTION("""COMPUTED_VALUE"""),45414.6458333333)</f>
        <v>45414.645833333299</v>
      </c>
      <c r="B1072" s="14">
        <f ca="1">IFERROR(__xludf.DUMMYFUNCTION("""COMPUTED_VALUE"""),3863.3)</f>
        <v>3863.3</v>
      </c>
      <c r="C1072" s="15">
        <f t="shared" ca="1" si="8"/>
        <v>1.1163021998874534E-2</v>
      </c>
      <c r="D1072" s="14">
        <f t="shared" ca="1" si="9"/>
        <v>3991.6339999999996</v>
      </c>
      <c r="E1072" s="17"/>
      <c r="F1072" s="17"/>
    </row>
    <row r="1073" spans="1:6" ht="12.75" x14ac:dyDescent="0.2">
      <c r="A1073" s="13">
        <f ca="1">IFERROR(__xludf.DUMMYFUNCTION("""COMPUTED_VALUE"""),45415.6458333333)</f>
        <v>45415.645833333299</v>
      </c>
      <c r="B1073" s="14">
        <f ca="1">IFERROR(__xludf.DUMMYFUNCTION("""COMPUTED_VALUE"""),3843.4)</f>
        <v>3843.4</v>
      </c>
      <c r="C1073" s="15">
        <f t="shared" ca="1" si="8"/>
        <v>-5.1510366784873751E-3</v>
      </c>
      <c r="D1073" s="14">
        <f t="shared" ca="1" si="9"/>
        <v>3986.4379999999992</v>
      </c>
      <c r="E1073" s="17"/>
      <c r="F1073" s="17"/>
    </row>
    <row r="1074" spans="1:6" ht="12.75" x14ac:dyDescent="0.2">
      <c r="A1074" s="13">
        <f ca="1">IFERROR(__xludf.DUMMYFUNCTION("""COMPUTED_VALUE"""),45418.6458333333)</f>
        <v>45418.645833333299</v>
      </c>
      <c r="B1074" s="14">
        <f ca="1">IFERROR(__xludf.DUMMYFUNCTION("""COMPUTED_VALUE"""),3921.05)</f>
        <v>3921.05</v>
      </c>
      <c r="C1074" s="15">
        <f t="shared" ca="1" si="8"/>
        <v>2.0203465681427835E-2</v>
      </c>
      <c r="D1074" s="14">
        <f t="shared" ca="1" si="9"/>
        <v>3982.2929999999992</v>
      </c>
      <c r="E1074" s="17"/>
      <c r="F1074" s="17"/>
    </row>
    <row r="1075" spans="1:6" ht="12.75" x14ac:dyDescent="0.2">
      <c r="A1075" s="13">
        <f ca="1">IFERROR(__xludf.DUMMYFUNCTION("""COMPUTED_VALUE"""),45419.6458333333)</f>
        <v>45419.645833333299</v>
      </c>
      <c r="B1075" s="14">
        <f ca="1">IFERROR(__xludf.DUMMYFUNCTION("""COMPUTED_VALUE"""),3978.95)</f>
        <v>3978.95</v>
      </c>
      <c r="C1075" s="15">
        <f t="shared" ca="1" si="8"/>
        <v>1.4766452863391066E-2</v>
      </c>
      <c r="D1075" s="14">
        <f t="shared" ca="1" si="9"/>
        <v>3979.7960000000003</v>
      </c>
      <c r="E1075" s="17"/>
      <c r="F1075" s="17"/>
    </row>
    <row r="1076" spans="1:6" ht="12.75" x14ac:dyDescent="0.2">
      <c r="A1076" s="13">
        <f ca="1">IFERROR(__xludf.DUMMYFUNCTION("""COMPUTED_VALUE"""),45420.6458333333)</f>
        <v>45420.645833333299</v>
      </c>
      <c r="B1076" s="14">
        <f ca="1">IFERROR(__xludf.DUMMYFUNCTION("""COMPUTED_VALUE"""),3976.95)</f>
        <v>3976.95</v>
      </c>
      <c r="C1076" s="15">
        <f t="shared" ca="1" si="8"/>
        <v>-5.0264517020826016E-4</v>
      </c>
      <c r="D1076" s="14">
        <f t="shared" ca="1" si="9"/>
        <v>3978.7220000000007</v>
      </c>
      <c r="E1076" s="17"/>
      <c r="F1076" s="17"/>
    </row>
    <row r="1077" spans="1:6" ht="12.75" x14ac:dyDescent="0.2">
      <c r="A1077" s="13">
        <f ca="1">IFERROR(__xludf.DUMMYFUNCTION("""COMPUTED_VALUE"""),45421.6458333333)</f>
        <v>45421.645833333299</v>
      </c>
      <c r="B1077" s="14">
        <f ca="1">IFERROR(__xludf.DUMMYFUNCTION("""COMPUTED_VALUE"""),3960.2)</f>
        <v>3960.2</v>
      </c>
      <c r="C1077" s="15">
        <f t="shared" ca="1" si="8"/>
        <v>-4.2117703265065476E-3</v>
      </c>
      <c r="D1077" s="14">
        <f t="shared" ca="1" si="9"/>
        <v>3978.0960000000009</v>
      </c>
      <c r="E1077" s="17"/>
      <c r="F1077" s="17"/>
    </row>
    <row r="1078" spans="1:6" ht="12.75" x14ac:dyDescent="0.2">
      <c r="A1078" s="13">
        <f ca="1">IFERROR(__xludf.DUMMYFUNCTION("""COMPUTED_VALUE"""),45422.6458333333)</f>
        <v>45422.645833333299</v>
      </c>
      <c r="B1078" s="14">
        <f ca="1">IFERROR(__xludf.DUMMYFUNCTION("""COMPUTED_VALUE"""),3893.9)</f>
        <v>3893.9</v>
      </c>
      <c r="C1078" s="15">
        <f t="shared" ca="1" si="8"/>
        <v>-1.6741578708145965E-2</v>
      </c>
      <c r="D1078" s="14">
        <f t="shared" ca="1" si="9"/>
        <v>3974.232</v>
      </c>
      <c r="E1078" s="17"/>
      <c r="F1078" s="17"/>
    </row>
    <row r="1079" spans="1:6" ht="12.75" x14ac:dyDescent="0.2">
      <c r="A1079" s="13">
        <f ca="1">IFERROR(__xludf.DUMMYFUNCTION("""COMPUTED_VALUE"""),45425.6458333333)</f>
        <v>45425.645833333299</v>
      </c>
      <c r="B1079" s="14">
        <f ca="1">IFERROR(__xludf.DUMMYFUNCTION("""COMPUTED_VALUE"""),3947.8)</f>
        <v>3947.8</v>
      </c>
      <c r="C1079" s="15">
        <f t="shared" ca="1" si="8"/>
        <v>1.3842163383753991E-2</v>
      </c>
      <c r="D1079" s="14">
        <f t="shared" ca="1" si="9"/>
        <v>3972.1459999999997</v>
      </c>
      <c r="E1079" s="17"/>
      <c r="F1079" s="17"/>
    </row>
    <row r="1080" spans="1:6" ht="12.75" x14ac:dyDescent="0.2">
      <c r="A1080" s="13">
        <f ca="1">IFERROR(__xludf.DUMMYFUNCTION("""COMPUTED_VALUE"""),45426.6458333333)</f>
        <v>45426.645833333299</v>
      </c>
      <c r="B1080" s="14">
        <f ca="1">IFERROR(__xludf.DUMMYFUNCTION("""COMPUTED_VALUE"""),3901.2)</f>
        <v>3901.2</v>
      </c>
      <c r="C1080" s="15">
        <f t="shared" ca="1" si="8"/>
        <v>-1.1804042757991851E-2</v>
      </c>
      <c r="D1080" s="14">
        <f t="shared" ca="1" si="9"/>
        <v>3970.1490000000008</v>
      </c>
      <c r="E1080" s="17"/>
      <c r="F1080" s="17"/>
    </row>
    <row r="1081" spans="1:6" ht="12.75" x14ac:dyDescent="0.2">
      <c r="A1081" s="13">
        <f ca="1">IFERROR(__xludf.DUMMYFUNCTION("""COMPUTED_VALUE"""),45427.6458333333)</f>
        <v>45427.645833333299</v>
      </c>
      <c r="B1081" s="14">
        <f ca="1">IFERROR(__xludf.DUMMYFUNCTION("""COMPUTED_VALUE"""),3880.4)</f>
        <v>3880.4</v>
      </c>
      <c r="C1081" s="15">
        <f t="shared" ca="1" si="8"/>
        <v>-5.3316928124679253E-3</v>
      </c>
      <c r="D1081" s="14">
        <f t="shared" ca="1" si="9"/>
        <v>3965.6690000000003</v>
      </c>
      <c r="E1081" s="17"/>
      <c r="F1081" s="17"/>
    </row>
    <row r="1082" spans="1:6" ht="12.75" x14ac:dyDescent="0.2">
      <c r="A1082" s="13">
        <f ca="1">IFERROR(__xludf.DUMMYFUNCTION("""COMPUTED_VALUE"""),45428.6458333333)</f>
        <v>45428.645833333299</v>
      </c>
      <c r="B1082" s="14">
        <f ca="1">IFERROR(__xludf.DUMMYFUNCTION("""COMPUTED_VALUE"""),3900.95)</f>
        <v>3900.95</v>
      </c>
      <c r="C1082" s="15">
        <f t="shared" ca="1" si="8"/>
        <v>5.2958457890939226E-3</v>
      </c>
      <c r="D1082" s="14">
        <f t="shared" ca="1" si="9"/>
        <v>3961.3090000000002</v>
      </c>
      <c r="E1082" s="17"/>
      <c r="F1082" s="17"/>
    </row>
    <row r="1083" spans="1:6" ht="12.75" x14ac:dyDescent="0.2">
      <c r="A1083" s="13">
        <f ca="1">IFERROR(__xludf.DUMMYFUNCTION("""COMPUTED_VALUE"""),45429.6458333333)</f>
        <v>45429.645833333299</v>
      </c>
      <c r="B1083" s="14">
        <f ca="1">IFERROR(__xludf.DUMMYFUNCTION("""COMPUTED_VALUE"""),3834.1)</f>
        <v>3834.1</v>
      </c>
      <c r="C1083" s="15">
        <f t="shared" ca="1" si="8"/>
        <v>-1.7136851279816456E-2</v>
      </c>
      <c r="D1083" s="14">
        <f t="shared" ca="1" si="9"/>
        <v>3956.0890000000009</v>
      </c>
      <c r="E1083" s="17"/>
      <c r="F1083" s="17"/>
    </row>
    <row r="1084" spans="1:6" ht="12.75" x14ac:dyDescent="0.2">
      <c r="A1084" s="13">
        <f ca="1">IFERROR(__xludf.DUMMYFUNCTION("""COMPUTED_VALUE"""),45433.6458333333)</f>
        <v>45433.645833333299</v>
      </c>
      <c r="B1084" s="14">
        <f ca="1">IFERROR(__xludf.DUMMYFUNCTION("""COMPUTED_VALUE"""),3820.2)</f>
        <v>3820.2</v>
      </c>
      <c r="C1084" s="15">
        <f t="shared" ca="1" si="8"/>
        <v>-3.6253618841449731E-3</v>
      </c>
      <c r="D1084" s="14">
        <f t="shared" ca="1" si="9"/>
        <v>3950.6060000000011</v>
      </c>
      <c r="E1084" s="17"/>
      <c r="F1084" s="17"/>
    </row>
    <row r="1085" spans="1:6" ht="12.75" x14ac:dyDescent="0.2">
      <c r="A1085" s="13">
        <f ca="1">IFERROR(__xludf.DUMMYFUNCTION("""COMPUTED_VALUE"""),45434.6458333333)</f>
        <v>45434.645833333299</v>
      </c>
      <c r="B1085" s="14">
        <f ca="1">IFERROR(__xludf.DUMMYFUNCTION("""COMPUTED_VALUE"""),3832)</f>
        <v>3832</v>
      </c>
      <c r="C1085" s="15">
        <f t="shared" ca="1" si="8"/>
        <v>3.0888435160463246E-3</v>
      </c>
      <c r="D1085" s="14">
        <f t="shared" ca="1" si="9"/>
        <v>3945.6320000000014</v>
      </c>
      <c r="E1085" s="17"/>
      <c r="F1085" s="17"/>
    </row>
    <row r="1086" spans="1:6" ht="12.75" x14ac:dyDescent="0.2">
      <c r="A1086" s="13">
        <f ca="1">IFERROR(__xludf.DUMMYFUNCTION("""COMPUTED_VALUE"""),45435.6458333333)</f>
        <v>45435.645833333299</v>
      </c>
      <c r="B1086" s="14">
        <f ca="1">IFERROR(__xludf.DUMMYFUNCTION("""COMPUTED_VALUE"""),3893.45)</f>
        <v>3893.45</v>
      </c>
      <c r="C1086" s="15">
        <f t="shared" ca="1" si="8"/>
        <v>1.6036012526095877E-2</v>
      </c>
      <c r="D1086" s="14">
        <f t="shared" ca="1" si="9"/>
        <v>3943.2590000000009</v>
      </c>
      <c r="E1086" s="17"/>
      <c r="F1086" s="17"/>
    </row>
    <row r="1087" spans="1:6" ht="12.75" x14ac:dyDescent="0.2">
      <c r="A1087" s="13">
        <f ca="1">IFERROR(__xludf.DUMMYFUNCTION("""COMPUTED_VALUE"""),45436.6458333333)</f>
        <v>45436.645833333299</v>
      </c>
      <c r="B1087" s="14">
        <f ca="1">IFERROR(__xludf.DUMMYFUNCTION("""COMPUTED_VALUE"""),3849.5)</f>
        <v>3849.5</v>
      </c>
      <c r="C1087" s="15">
        <f t="shared" ca="1" si="8"/>
        <v>-1.128818913816787E-2</v>
      </c>
      <c r="D1087" s="14">
        <f t="shared" ca="1" si="9"/>
        <v>3938.9630000000011</v>
      </c>
      <c r="E1087" s="17"/>
      <c r="F1087" s="17"/>
    </row>
    <row r="1088" spans="1:6" ht="12.75" x14ac:dyDescent="0.2">
      <c r="A1088" s="13">
        <f ca="1">IFERROR(__xludf.DUMMYFUNCTION("""COMPUTED_VALUE"""),45439.6458333333)</f>
        <v>45439.645833333299</v>
      </c>
      <c r="B1088" s="14">
        <f ca="1">IFERROR(__xludf.DUMMYFUNCTION("""COMPUTED_VALUE"""),3847.05)</f>
        <v>3847.05</v>
      </c>
      <c r="C1088" s="15">
        <f t="shared" ca="1" si="8"/>
        <v>-6.3644629172610045E-4</v>
      </c>
      <c r="D1088" s="14">
        <f t="shared" ca="1" si="9"/>
        <v>3933.7320000000009</v>
      </c>
      <c r="E1088" s="17"/>
      <c r="F1088" s="17"/>
    </row>
    <row r="1089" spans="1:6" ht="12.75" x14ac:dyDescent="0.2">
      <c r="A1089" s="13">
        <f ca="1">IFERROR(__xludf.DUMMYFUNCTION("""COMPUTED_VALUE"""),45440.6458333333)</f>
        <v>45440.645833333299</v>
      </c>
      <c r="B1089" s="14">
        <f ca="1">IFERROR(__xludf.DUMMYFUNCTION("""COMPUTED_VALUE"""),3839.9)</f>
        <v>3839.9</v>
      </c>
      <c r="C1089" s="15">
        <f t="shared" ca="1" si="8"/>
        <v>-1.8585669538997429E-3</v>
      </c>
      <c r="D1089" s="14">
        <f t="shared" ca="1" si="9"/>
        <v>3928.083000000001</v>
      </c>
      <c r="E1089" s="17"/>
      <c r="F1089" s="17"/>
    </row>
    <row r="1090" spans="1:6" ht="12.75" x14ac:dyDescent="0.2">
      <c r="A1090" s="13">
        <f ca="1">IFERROR(__xludf.DUMMYFUNCTION("""COMPUTED_VALUE"""),45441.6458333333)</f>
        <v>45441.645833333299</v>
      </c>
      <c r="B1090" s="14">
        <f ca="1">IFERROR(__xludf.DUMMYFUNCTION("""COMPUTED_VALUE"""),3803.65)</f>
        <v>3803.65</v>
      </c>
      <c r="C1090" s="15">
        <f t="shared" ca="1" si="8"/>
        <v>-9.4403500091148063E-3</v>
      </c>
      <c r="D1090" s="14">
        <f t="shared" ca="1" si="9"/>
        <v>3920.3110000000011</v>
      </c>
      <c r="E1090" s="17"/>
      <c r="F1090" s="17"/>
    </row>
    <row r="1091" spans="1:6" ht="12.75" x14ac:dyDescent="0.2">
      <c r="A1091" s="13">
        <f ca="1">IFERROR(__xludf.DUMMYFUNCTION("""COMPUTED_VALUE"""),45442.6458333333)</f>
        <v>45442.645833333299</v>
      </c>
      <c r="B1091" s="14">
        <f ca="1">IFERROR(__xludf.DUMMYFUNCTION("""COMPUTED_VALUE"""),3736.1)</f>
        <v>3736.1</v>
      </c>
      <c r="C1091" s="15">
        <f t="shared" ca="1" si="8"/>
        <v>-1.7759257555242991E-2</v>
      </c>
      <c r="D1091" s="14">
        <f t="shared" ca="1" si="9"/>
        <v>3912.0530000000012</v>
      </c>
      <c r="E1091" s="17"/>
      <c r="F1091" s="17"/>
    </row>
    <row r="1092" spans="1:6" ht="12.75" x14ac:dyDescent="0.2">
      <c r="A1092" s="13">
        <f ca="1">IFERROR(__xludf.DUMMYFUNCTION("""COMPUTED_VALUE"""),45443.6458333333)</f>
        <v>45443.645833333299</v>
      </c>
      <c r="B1092" s="14">
        <f ca="1">IFERROR(__xludf.DUMMYFUNCTION("""COMPUTED_VALUE"""),3670.95)</f>
        <v>3670.95</v>
      </c>
      <c r="C1092" s="15">
        <f t="shared" ca="1" si="8"/>
        <v>-1.7437970075747433E-2</v>
      </c>
      <c r="D1092" s="14">
        <f t="shared" ca="1" si="9"/>
        <v>3901.3200000000006</v>
      </c>
      <c r="E1092" s="17"/>
      <c r="F1092" s="17"/>
    </row>
    <row r="1093" spans="1:6" ht="12.75" x14ac:dyDescent="0.2">
      <c r="A1093" s="13">
        <f ca="1">IFERROR(__xludf.DUMMYFUNCTION("""COMPUTED_VALUE"""),45446.6458333333)</f>
        <v>45446.645833333299</v>
      </c>
      <c r="B1093" s="14">
        <f ca="1">IFERROR(__xludf.DUMMYFUNCTION("""COMPUTED_VALUE"""),3702.85)</f>
        <v>3702.85</v>
      </c>
      <c r="C1093" s="15">
        <f t="shared" ca="1" si="8"/>
        <v>8.6898486767730265E-3</v>
      </c>
      <c r="D1093" s="14">
        <f t="shared" ca="1" si="9"/>
        <v>3890.9920000000006</v>
      </c>
      <c r="E1093" s="17"/>
      <c r="F1093" s="17"/>
    </row>
    <row r="1094" spans="1:6" ht="12.75" x14ac:dyDescent="0.2">
      <c r="A1094" s="13">
        <f ca="1">IFERROR(__xludf.DUMMYFUNCTION("""COMPUTED_VALUE"""),45447.6458333333)</f>
        <v>45447.645833333299</v>
      </c>
      <c r="B1094" s="14">
        <f ca="1">IFERROR(__xludf.DUMMYFUNCTION("""COMPUTED_VALUE"""),3715)</f>
        <v>3715</v>
      </c>
      <c r="C1094" s="15">
        <f t="shared" ca="1" si="8"/>
        <v>3.2812563295840924E-3</v>
      </c>
      <c r="D1094" s="14">
        <f t="shared" ca="1" si="9"/>
        <v>3882.2420000000006</v>
      </c>
      <c r="E1094" s="17"/>
      <c r="F1094" s="17"/>
    </row>
    <row r="1095" spans="1:6" ht="12.75" x14ac:dyDescent="0.2">
      <c r="A1095" s="13">
        <f ca="1">IFERROR(__xludf.DUMMYFUNCTION("""COMPUTED_VALUE"""),45448.6458333333)</f>
        <v>45448.645833333299</v>
      </c>
      <c r="B1095" s="14">
        <f ca="1">IFERROR(__xludf.DUMMYFUNCTION("""COMPUTED_VALUE"""),3746.45)</f>
        <v>3746.45</v>
      </c>
      <c r="C1095" s="15">
        <f t="shared" ca="1" si="8"/>
        <v>8.4656796769850828E-3</v>
      </c>
      <c r="D1095" s="14">
        <f t="shared" ca="1" si="9"/>
        <v>3877.6250000000014</v>
      </c>
      <c r="E1095" s="17"/>
      <c r="F1095" s="17"/>
    </row>
    <row r="1096" spans="1:6" ht="12.75" x14ac:dyDescent="0.2">
      <c r="A1096" s="13">
        <f ca="1">IFERROR(__xludf.DUMMYFUNCTION("""COMPUTED_VALUE"""),45449.6458333333)</f>
        <v>45449.645833333299</v>
      </c>
      <c r="B1096" s="14">
        <f ca="1">IFERROR(__xludf.DUMMYFUNCTION("""COMPUTED_VALUE"""),3830.4)</f>
        <v>3830.4</v>
      </c>
      <c r="C1096" s="15">
        <f t="shared" ca="1" si="8"/>
        <v>2.2407879459221514E-2</v>
      </c>
      <c r="D1096" s="14">
        <f t="shared" ca="1" si="9"/>
        <v>3874.8150000000005</v>
      </c>
      <c r="E1096" s="17"/>
      <c r="F1096" s="17"/>
    </row>
    <row r="1097" spans="1:6" ht="12.75" x14ac:dyDescent="0.2">
      <c r="A1097" s="13">
        <f ca="1">IFERROR(__xludf.DUMMYFUNCTION("""COMPUTED_VALUE"""),45450.6458333333)</f>
        <v>45450.645833333299</v>
      </c>
      <c r="B1097" s="14">
        <f ca="1">IFERROR(__xludf.DUMMYFUNCTION("""COMPUTED_VALUE"""),3893.95)</f>
        <v>3893.95</v>
      </c>
      <c r="C1097" s="15">
        <f t="shared" ca="1" si="8"/>
        <v>1.6590956558061754E-2</v>
      </c>
      <c r="D1097" s="14">
        <f t="shared" ca="1" si="9"/>
        <v>3873.235000000001</v>
      </c>
      <c r="E1097" s="17"/>
      <c r="F1097" s="17"/>
    </row>
    <row r="1098" spans="1:6" ht="12.75" x14ac:dyDescent="0.2">
      <c r="A1098" s="13">
        <f ca="1">IFERROR(__xludf.DUMMYFUNCTION("""COMPUTED_VALUE"""),45453.6458333333)</f>
        <v>45453.645833333299</v>
      </c>
      <c r="B1098" s="14">
        <f ca="1">IFERROR(__xludf.DUMMYFUNCTION("""COMPUTED_VALUE"""),3858.7)</f>
        <v>3858.7</v>
      </c>
      <c r="C1098" s="15">
        <f t="shared" ca="1" si="8"/>
        <v>-9.0525045262522807E-3</v>
      </c>
      <c r="D1098" s="14">
        <f t="shared" ca="1" si="9"/>
        <v>3872.1910000000007</v>
      </c>
      <c r="E1098" s="17"/>
      <c r="F1098" s="17"/>
    </row>
    <row r="1099" spans="1:6" ht="12.75" x14ac:dyDescent="0.2">
      <c r="A1099" s="13">
        <f ca="1">IFERROR(__xludf.DUMMYFUNCTION("""COMPUTED_VALUE"""),45454.6458333333)</f>
        <v>45454.645833333299</v>
      </c>
      <c r="B1099" s="14">
        <f ca="1">IFERROR(__xludf.DUMMYFUNCTION("""COMPUTED_VALUE"""),3852.1)</f>
        <v>3852.1</v>
      </c>
      <c r="C1099" s="15">
        <f t="shared" ca="1" si="8"/>
        <v>-1.7104206079767703E-3</v>
      </c>
      <c r="D1099" s="14">
        <f t="shared" ca="1" si="9"/>
        <v>3871.6830000000004</v>
      </c>
      <c r="E1099" s="17"/>
      <c r="F1099" s="17"/>
    </row>
    <row r="1100" spans="1:6" ht="12.75" x14ac:dyDescent="0.2">
      <c r="A1100" s="13">
        <f ca="1">IFERROR(__xludf.DUMMYFUNCTION("""COMPUTED_VALUE"""),45455.6458333333)</f>
        <v>45455.645833333299</v>
      </c>
      <c r="B1100" s="14">
        <f ca="1">IFERROR(__xludf.DUMMYFUNCTION("""COMPUTED_VALUE"""),3831.65)</f>
        <v>3831.65</v>
      </c>
      <c r="C1100" s="15">
        <f t="shared" ca="1" si="8"/>
        <v>-5.3087926066300861E-3</v>
      </c>
      <c r="D1100" s="14">
        <f t="shared" ca="1" si="9"/>
        <v>3871.4980000000005</v>
      </c>
      <c r="E1100" s="17"/>
      <c r="F1100" s="17"/>
    </row>
    <row r="1101" spans="1:6" ht="12.75" x14ac:dyDescent="0.2">
      <c r="A1101" s="13">
        <f ca="1">IFERROR(__xludf.DUMMYFUNCTION("""COMPUTED_VALUE"""),45456.6458333333)</f>
        <v>45456.645833333299</v>
      </c>
      <c r="B1101" s="14">
        <f ca="1">IFERROR(__xludf.DUMMYFUNCTION("""COMPUTED_VALUE"""),3878.15)</f>
        <v>3878.15</v>
      </c>
      <c r="C1101" s="15">
        <f t="shared" ca="1" si="8"/>
        <v>1.2135763965915425E-2</v>
      </c>
      <c r="D1101" s="14">
        <f t="shared" ca="1" si="9"/>
        <v>3871.5349999999999</v>
      </c>
      <c r="E1101" s="17"/>
      <c r="F1101" s="17"/>
    </row>
    <row r="1102" spans="1:6" ht="12.75" x14ac:dyDescent="0.2">
      <c r="A1102" s="13">
        <f ca="1">IFERROR(__xludf.DUMMYFUNCTION("""COMPUTED_VALUE"""),45457.6458333333)</f>
        <v>45457.645833333299</v>
      </c>
      <c r="B1102" s="14">
        <f ca="1">IFERROR(__xludf.DUMMYFUNCTION("""COMPUTED_VALUE"""),3832.05)</f>
        <v>3832.05</v>
      </c>
      <c r="C1102" s="15">
        <f t="shared" ca="1" si="8"/>
        <v>-1.1887111122571348E-2</v>
      </c>
      <c r="D1102" s="14">
        <f t="shared" ca="1" si="9"/>
        <v>3869.8409999999999</v>
      </c>
      <c r="E1102" s="17"/>
      <c r="F1102" s="17"/>
    </row>
    <row r="1103" spans="1:6" ht="12.75" x14ac:dyDescent="0.2">
      <c r="A1103" s="13">
        <f ca="1">IFERROR(__xludf.DUMMYFUNCTION("""COMPUTED_VALUE"""),45461.6458333333)</f>
        <v>45461.645833333299</v>
      </c>
      <c r="B1103" s="14">
        <f ca="1">IFERROR(__xludf.DUMMYFUNCTION("""COMPUTED_VALUE"""),3815.1)</f>
        <v>3815.1</v>
      </c>
      <c r="C1103" s="15">
        <f t="shared" ca="1" si="8"/>
        <v>-4.4232199475476852E-3</v>
      </c>
      <c r="D1103" s="14">
        <f t="shared" ca="1" si="9"/>
        <v>3868.4670000000001</v>
      </c>
      <c r="E1103" s="17"/>
      <c r="F1103" s="17"/>
    </row>
    <row r="1104" spans="1:6" ht="12.75" x14ac:dyDescent="0.2">
      <c r="A1104" s="13">
        <f ca="1">IFERROR(__xludf.DUMMYFUNCTION("""COMPUTED_VALUE"""),45462.6458333333)</f>
        <v>45462.645833333299</v>
      </c>
      <c r="B1104" s="14">
        <f ca="1">IFERROR(__xludf.DUMMYFUNCTION("""COMPUTED_VALUE"""),3801.7)</f>
        <v>3801.7</v>
      </c>
      <c r="C1104" s="15">
        <f t="shared" ca="1" si="8"/>
        <v>-3.5123587848286952E-3</v>
      </c>
      <c r="D1104" s="14">
        <f t="shared" ca="1" si="9"/>
        <v>3865.5549999999998</v>
      </c>
      <c r="E1104" s="17"/>
      <c r="F1104" s="17"/>
    </row>
    <row r="1105" spans="1:6" ht="12.75" x14ac:dyDescent="0.2">
      <c r="A1105" s="13">
        <f ca="1">IFERROR(__xludf.DUMMYFUNCTION("""COMPUTED_VALUE"""),45463.6458333333)</f>
        <v>45463.645833333299</v>
      </c>
      <c r="B1105" s="14">
        <f ca="1">IFERROR(__xludf.DUMMYFUNCTION("""COMPUTED_VALUE"""),3787.25)</f>
        <v>3787.25</v>
      </c>
      <c r="C1105" s="15">
        <f t="shared" ca="1" si="8"/>
        <v>-3.8009311623746767E-3</v>
      </c>
      <c r="D1105" s="14">
        <f t="shared" ca="1" si="9"/>
        <v>3861.2340000000004</v>
      </c>
      <c r="E1105" s="17"/>
      <c r="F1105" s="17"/>
    </row>
    <row r="1106" spans="1:6" ht="12.75" x14ac:dyDescent="0.2">
      <c r="A1106" s="13">
        <f ca="1">IFERROR(__xludf.DUMMYFUNCTION("""COMPUTED_VALUE"""),45464.6458333333)</f>
        <v>45464.645833333299</v>
      </c>
      <c r="B1106" s="14">
        <f ca="1">IFERROR(__xludf.DUMMYFUNCTION("""COMPUTED_VALUE"""),3810.75)</f>
        <v>3810.75</v>
      </c>
      <c r="C1106" s="15">
        <f t="shared" ca="1" si="8"/>
        <v>6.2050300349858478E-3</v>
      </c>
      <c r="D1106" s="14">
        <f t="shared" ca="1" si="9"/>
        <v>3857.864</v>
      </c>
      <c r="E1106" s="17"/>
      <c r="F1106" s="17"/>
    </row>
    <row r="1107" spans="1:6" ht="12.75" x14ac:dyDescent="0.2">
      <c r="A1107" s="13">
        <f ca="1">IFERROR(__xludf.DUMMYFUNCTION("""COMPUTED_VALUE"""),45467.6458333333)</f>
        <v>45467.645833333299</v>
      </c>
      <c r="B1107" s="14">
        <f ca="1">IFERROR(__xludf.DUMMYFUNCTION("""COMPUTED_VALUE"""),3816.8)</f>
        <v>3816.8</v>
      </c>
      <c r="C1107" s="15">
        <f t="shared" ca="1" si="8"/>
        <v>1.5876139867481154E-3</v>
      </c>
      <c r="D1107" s="14">
        <f t="shared" ca="1" si="9"/>
        <v>3854.7490000000003</v>
      </c>
      <c r="E1107" s="17"/>
      <c r="F1107" s="17"/>
    </row>
    <row r="1108" spans="1:6" ht="12.75" x14ac:dyDescent="0.2">
      <c r="A1108" s="13">
        <f ca="1">IFERROR(__xludf.DUMMYFUNCTION("""COMPUTED_VALUE"""),45468.6458333333)</f>
        <v>45468.645833333299</v>
      </c>
      <c r="B1108" s="14">
        <f ca="1">IFERROR(__xludf.DUMMYFUNCTION("""COMPUTED_VALUE"""),3838.45)</f>
        <v>3838.45</v>
      </c>
      <c r="C1108" s="15">
        <f t="shared" ca="1" si="8"/>
        <v>5.6722909243345221E-3</v>
      </c>
      <c r="D1108" s="14">
        <f t="shared" ca="1" si="9"/>
        <v>3852.587</v>
      </c>
      <c r="E1108" s="17"/>
      <c r="F1108" s="17"/>
    </row>
    <row r="1109" spans="1:6" ht="12.75" x14ac:dyDescent="0.2">
      <c r="A1109" s="13">
        <f ca="1">IFERROR(__xludf.DUMMYFUNCTION("""COMPUTED_VALUE"""),45469.6458333333)</f>
        <v>45469.645833333299</v>
      </c>
      <c r="B1109" s="14">
        <f ca="1">IFERROR(__xludf.DUMMYFUNCTION("""COMPUTED_VALUE"""),3855.85)</f>
        <v>3855.85</v>
      </c>
      <c r="C1109" s="15">
        <f t="shared" ca="1" si="8"/>
        <v>4.5330797587568306E-3</v>
      </c>
      <c r="D1109" s="14">
        <f t="shared" ca="1" si="9"/>
        <v>3850.0110000000004</v>
      </c>
      <c r="E1109" s="17"/>
      <c r="F1109" s="17"/>
    </row>
    <row r="1110" spans="1:6" ht="12.75" x14ac:dyDescent="0.2">
      <c r="A1110" s="13">
        <f ca="1">IFERROR(__xludf.DUMMYFUNCTION("""COMPUTED_VALUE"""),45470.6458333333)</f>
        <v>45470.645833333299</v>
      </c>
      <c r="B1110" s="14">
        <f ca="1">IFERROR(__xludf.DUMMYFUNCTION("""COMPUTED_VALUE"""),3934.15)</f>
        <v>3934.15</v>
      </c>
      <c r="C1110" s="15">
        <f t="shared" ca="1" si="8"/>
        <v>2.030680654071082E-2</v>
      </c>
      <c r="D1110" s="14">
        <f t="shared" ca="1" si="9"/>
        <v>3848.6660000000002</v>
      </c>
      <c r="E1110" s="17"/>
      <c r="F1110" s="17"/>
    </row>
    <row r="1111" spans="1:6" ht="12.75" x14ac:dyDescent="0.2">
      <c r="A1111" s="13">
        <f ca="1">IFERROR(__xludf.DUMMYFUNCTION("""COMPUTED_VALUE"""),45471.6458333333)</f>
        <v>45471.645833333299</v>
      </c>
      <c r="B1111" s="14">
        <f ca="1">IFERROR(__xludf.DUMMYFUNCTION("""COMPUTED_VALUE"""),3904.15)</f>
        <v>3904.15</v>
      </c>
      <c r="C1111" s="15">
        <f t="shared" ca="1" si="8"/>
        <v>-7.625535376129533E-3</v>
      </c>
      <c r="D1111" s="14">
        <f t="shared" ca="1" si="9"/>
        <v>3847.9250000000002</v>
      </c>
      <c r="E1111" s="17"/>
      <c r="F1111" s="17"/>
    </row>
    <row r="1112" spans="1:6" ht="12.75" x14ac:dyDescent="0.2">
      <c r="A1112" s="13">
        <f ca="1">IFERROR(__xludf.DUMMYFUNCTION("""COMPUTED_VALUE"""),45474.6458333333)</f>
        <v>45474.645833333299</v>
      </c>
      <c r="B1112" s="14">
        <f ca="1">IFERROR(__xludf.DUMMYFUNCTION("""COMPUTED_VALUE"""),3978.2)</f>
        <v>3978.2</v>
      </c>
      <c r="C1112" s="15">
        <f t="shared" ca="1" si="8"/>
        <v>1.8966996657402868E-2</v>
      </c>
      <c r="D1112" s="14">
        <f t="shared" ca="1" si="9"/>
        <v>3850.0329999999999</v>
      </c>
      <c r="E1112" s="17"/>
      <c r="F1112" s="17"/>
    </row>
    <row r="1113" spans="1:6" ht="12.75" x14ac:dyDescent="0.2">
      <c r="A1113" s="13">
        <f ca="1">IFERROR(__xludf.DUMMYFUNCTION("""COMPUTED_VALUE"""),45475.6458333333)</f>
        <v>45475.645833333299</v>
      </c>
      <c r="B1113" s="14">
        <f ca="1">IFERROR(__xludf.DUMMYFUNCTION("""COMPUTED_VALUE"""),4017.4)</f>
        <v>4017.4</v>
      </c>
      <c r="C1113" s="15">
        <f t="shared" ca="1" si="8"/>
        <v>9.8537026796039484E-3</v>
      </c>
      <c r="D1113" s="14">
        <f t="shared" ca="1" si="9"/>
        <v>3853.1409999999996</v>
      </c>
      <c r="E1113" s="17"/>
      <c r="F1113" s="17"/>
    </row>
    <row r="1114" spans="1:6" ht="12.75" x14ac:dyDescent="0.2">
      <c r="A1114" s="13">
        <f ca="1">IFERROR(__xludf.DUMMYFUNCTION("""COMPUTED_VALUE"""),45476.6458333333)</f>
        <v>45476.645833333299</v>
      </c>
      <c r="B1114" s="14">
        <f ca="1">IFERROR(__xludf.DUMMYFUNCTION("""COMPUTED_VALUE"""),3965.25)</f>
        <v>3965.25</v>
      </c>
      <c r="C1114" s="15">
        <f t="shared" ca="1" si="8"/>
        <v>-1.298103250858762E-2</v>
      </c>
      <c r="D1114" s="14">
        <f t="shared" ca="1" si="9"/>
        <v>3855.9219999999996</v>
      </c>
      <c r="E1114" s="17"/>
      <c r="F1114" s="17"/>
    </row>
    <row r="1115" spans="1:6" ht="12.75" x14ac:dyDescent="0.2">
      <c r="A1115" s="13">
        <f ca="1">IFERROR(__xludf.DUMMYFUNCTION("""COMPUTED_VALUE"""),45477.6458333333)</f>
        <v>45477.645833333299</v>
      </c>
      <c r="B1115" s="14">
        <f ca="1">IFERROR(__xludf.DUMMYFUNCTION("""COMPUTED_VALUE"""),4020.95)</f>
        <v>4020.95</v>
      </c>
      <c r="C1115" s="15">
        <f t="shared" ca="1" si="8"/>
        <v>1.4047033604438486E-2</v>
      </c>
      <c r="D1115" s="14">
        <f t="shared" ca="1" si="9"/>
        <v>3859.0490000000004</v>
      </c>
      <c r="E1115" s="17"/>
      <c r="F1115" s="17"/>
    </row>
    <row r="1116" spans="1:6" ht="12.75" x14ac:dyDescent="0.2">
      <c r="A1116" s="13">
        <f ca="1">IFERROR(__xludf.DUMMYFUNCTION("""COMPUTED_VALUE"""),45478.6458333333)</f>
        <v>45478.645833333299</v>
      </c>
      <c r="B1116" s="14">
        <f ca="1">IFERROR(__xludf.DUMMYFUNCTION("""COMPUTED_VALUE"""),4011.8)</f>
        <v>4011.8</v>
      </c>
      <c r="C1116" s="15">
        <f t="shared" ca="1" si="8"/>
        <v>-2.2755816411543783E-3</v>
      </c>
      <c r="D1116" s="14">
        <f t="shared" ca="1" si="9"/>
        <v>3861.7909999999997</v>
      </c>
      <c r="E1116" s="17"/>
      <c r="F1116" s="17"/>
    </row>
    <row r="1117" spans="1:6" ht="12.75" x14ac:dyDescent="0.2">
      <c r="A1117" s="13">
        <f ca="1">IFERROR(__xludf.DUMMYFUNCTION("""COMPUTED_VALUE"""),45481.6458333333)</f>
        <v>45481.645833333299</v>
      </c>
      <c r="B1117" s="14">
        <f ca="1">IFERROR(__xludf.DUMMYFUNCTION("""COMPUTED_VALUE"""),3993.2)</f>
        <v>3993.2</v>
      </c>
      <c r="C1117" s="15">
        <f t="shared" ca="1" si="8"/>
        <v>-4.6363228475996277E-3</v>
      </c>
      <c r="D1117" s="14">
        <f t="shared" ca="1" si="9"/>
        <v>3865.0340000000001</v>
      </c>
      <c r="E1117" s="17"/>
      <c r="F1117" s="17"/>
    </row>
    <row r="1118" spans="1:6" ht="12.75" x14ac:dyDescent="0.2">
      <c r="A1118" s="13">
        <f ca="1">IFERROR(__xludf.DUMMYFUNCTION("""COMPUTED_VALUE"""),45482.6458333333)</f>
        <v>45482.645833333299</v>
      </c>
      <c r="B1118" s="14">
        <f ca="1">IFERROR(__xludf.DUMMYFUNCTION("""COMPUTED_VALUE"""),3985.5)</f>
        <v>3985.5</v>
      </c>
      <c r="C1118" s="15">
        <f t="shared" ca="1" si="8"/>
        <v>-1.9282780727235549E-3</v>
      </c>
      <c r="D1118" s="14">
        <f t="shared" ca="1" si="9"/>
        <v>3867.7</v>
      </c>
      <c r="E1118" s="17"/>
      <c r="F1118" s="17"/>
    </row>
    <row r="1119" spans="1:6" ht="12.75" x14ac:dyDescent="0.2">
      <c r="A1119" s="13">
        <f ca="1">IFERROR(__xludf.DUMMYFUNCTION("""COMPUTED_VALUE"""),45483.6458333333)</f>
        <v>45483.645833333299</v>
      </c>
      <c r="B1119" s="14">
        <f ca="1">IFERROR(__xludf.DUMMYFUNCTION("""COMPUTED_VALUE"""),3909.15)</f>
        <v>3909.15</v>
      </c>
      <c r="C1119" s="15">
        <f t="shared" ca="1" si="8"/>
        <v>-1.9156943921716185E-2</v>
      </c>
      <c r="D1119" s="14">
        <f t="shared" ca="1" si="9"/>
        <v>3869.4559999999997</v>
      </c>
      <c r="E1119" s="17"/>
      <c r="F1119" s="17"/>
    </row>
    <row r="1120" spans="1:6" ht="12.75" x14ac:dyDescent="0.2">
      <c r="A1120" s="13">
        <f ca="1">IFERROR(__xludf.DUMMYFUNCTION("""COMPUTED_VALUE"""),45484.6458333333)</f>
        <v>45484.645833333299</v>
      </c>
      <c r="B1120" s="14">
        <f ca="1">IFERROR(__xludf.DUMMYFUNCTION("""COMPUTED_VALUE"""),3923.7)</f>
        <v>3923.7</v>
      </c>
      <c r="C1120" s="15">
        <f t="shared" ca="1" si="8"/>
        <v>3.7220367599093418E-3</v>
      </c>
      <c r="D1120" s="14">
        <f t="shared" ca="1" si="9"/>
        <v>3870.5260000000003</v>
      </c>
      <c r="E1120" s="17"/>
      <c r="F1120" s="17"/>
    </row>
    <row r="1121" spans="1:6" ht="12.75" x14ac:dyDescent="0.2">
      <c r="A1121" s="13">
        <f ca="1">IFERROR(__xludf.DUMMYFUNCTION("""COMPUTED_VALUE"""),45485.6458333333)</f>
        <v>45485.645833333299</v>
      </c>
      <c r="B1121" s="14">
        <f ca="1">IFERROR(__xludf.DUMMYFUNCTION("""COMPUTED_VALUE"""),4183.95)</f>
        <v>4183.95</v>
      </c>
      <c r="C1121" s="15">
        <f t="shared" ca="1" si="8"/>
        <v>6.6327700894563746E-2</v>
      </c>
      <c r="D1121" s="14">
        <f t="shared" ca="1" si="9"/>
        <v>3877.7919999999999</v>
      </c>
      <c r="E1121" s="17"/>
      <c r="F1121" s="17"/>
    </row>
    <row r="1122" spans="1:6" ht="12.75" x14ac:dyDescent="0.2">
      <c r="A1122" s="13">
        <f ca="1">IFERROR(__xludf.DUMMYFUNCTION("""COMPUTED_VALUE"""),45488.6458333333)</f>
        <v>45488.645833333299</v>
      </c>
      <c r="B1122" s="14">
        <f ca="1">IFERROR(__xludf.DUMMYFUNCTION("""COMPUTED_VALUE"""),4169.2)</f>
        <v>4169.2</v>
      </c>
      <c r="C1122" s="15">
        <f t="shared" ca="1" si="8"/>
        <v>-3.5253767372936951E-3</v>
      </c>
      <c r="D1122" s="14">
        <f t="shared" ca="1" si="9"/>
        <v>3883.9100000000008</v>
      </c>
      <c r="E1122" s="17"/>
      <c r="F1122" s="17"/>
    </row>
    <row r="1123" spans="1:6" ht="12.75" x14ac:dyDescent="0.2">
      <c r="A1123" s="13">
        <f ca="1">IFERROR(__xludf.DUMMYFUNCTION("""COMPUTED_VALUE"""),45489.6458333333)</f>
        <v>45489.645833333299</v>
      </c>
      <c r="B1123" s="14">
        <f ca="1">IFERROR(__xludf.DUMMYFUNCTION("""COMPUTED_VALUE"""),4178.45)</f>
        <v>4178.45</v>
      </c>
      <c r="C1123" s="15">
        <f t="shared" ca="1" si="8"/>
        <v>2.2186510601553966E-3</v>
      </c>
      <c r="D1123" s="14">
        <f t="shared" ca="1" si="9"/>
        <v>3890.6110000000008</v>
      </c>
      <c r="E1123" s="17"/>
      <c r="F1123" s="17"/>
    </row>
    <row r="1124" spans="1:6" ht="12.75" x14ac:dyDescent="0.2">
      <c r="A1124" s="13">
        <f ca="1">IFERROR(__xludf.DUMMYFUNCTION("""COMPUTED_VALUE"""),45491.6458333333)</f>
        <v>45491.645833333299</v>
      </c>
      <c r="B1124" s="14">
        <f ca="1">IFERROR(__xludf.DUMMYFUNCTION("""COMPUTED_VALUE"""),4315.55)</f>
        <v>4315.55</v>
      </c>
      <c r="C1124" s="15">
        <f t="shared" ca="1" si="8"/>
        <v>3.2811209898407467E-2</v>
      </c>
      <c r="D1124" s="14">
        <f t="shared" ca="1" si="9"/>
        <v>3898.5010000000002</v>
      </c>
      <c r="E1124" s="17"/>
      <c r="F1124" s="17"/>
    </row>
    <row r="1125" spans="1:6" ht="12.75" x14ac:dyDescent="0.2">
      <c r="A1125" s="13">
        <f ca="1">IFERROR(__xludf.DUMMYFUNCTION("""COMPUTED_VALUE"""),45492.6458333333)</f>
        <v>45492.645833333299</v>
      </c>
      <c r="B1125" s="14">
        <f ca="1">IFERROR(__xludf.DUMMYFUNCTION("""COMPUTED_VALUE"""),4302.4)</f>
        <v>4302.3999999999996</v>
      </c>
      <c r="C1125" s="15">
        <f t="shared" ca="1" si="8"/>
        <v>-3.0471202975288492E-3</v>
      </c>
      <c r="D1125" s="14">
        <f t="shared" ca="1" si="9"/>
        <v>3904.9700000000007</v>
      </c>
      <c r="E1125" s="17"/>
      <c r="F1125" s="17"/>
    </row>
    <row r="1126" spans="1:6" ht="12.75" x14ac:dyDescent="0.2">
      <c r="A1126" s="13">
        <f ca="1">IFERROR(__xludf.DUMMYFUNCTION("""COMPUTED_VALUE"""),45495.6458333333)</f>
        <v>45495.645833333299</v>
      </c>
      <c r="B1126" s="14">
        <f ca="1">IFERROR(__xludf.DUMMYFUNCTION("""COMPUTED_VALUE"""),4287.35)</f>
        <v>4287.3500000000004</v>
      </c>
      <c r="C1126" s="15">
        <f t="shared" ca="1" si="8"/>
        <v>-3.4980476013386497E-3</v>
      </c>
      <c r="D1126" s="14">
        <f t="shared" ca="1" si="9"/>
        <v>3911.1780000000003</v>
      </c>
      <c r="E1126" s="17"/>
      <c r="F1126" s="17"/>
    </row>
    <row r="1127" spans="1:6" ht="12.75" x14ac:dyDescent="0.2">
      <c r="A1127" s="13">
        <f ca="1">IFERROR(__xludf.DUMMYFUNCTION("""COMPUTED_VALUE"""),45496.6458333333)</f>
        <v>45496.645833333299</v>
      </c>
      <c r="B1127" s="14">
        <f ca="1">IFERROR(__xludf.DUMMYFUNCTION("""COMPUTED_VALUE"""),4302.35)</f>
        <v>4302.3500000000004</v>
      </c>
      <c r="C1127" s="15">
        <f t="shared" ca="1" si="8"/>
        <v>3.4986646763150997E-3</v>
      </c>
      <c r="D1127" s="14">
        <f t="shared" ca="1" si="9"/>
        <v>3918.0210000000002</v>
      </c>
      <c r="E1127" s="17"/>
      <c r="F1127" s="17"/>
    </row>
    <row r="1128" spans="1:6" ht="12.75" x14ac:dyDescent="0.2">
      <c r="A1128" s="13">
        <f ca="1">IFERROR(__xludf.DUMMYFUNCTION("""COMPUTED_VALUE"""),45497.6458333333)</f>
        <v>45497.645833333299</v>
      </c>
      <c r="B1128" s="14">
        <f ca="1">IFERROR(__xludf.DUMMYFUNCTION("""COMPUTED_VALUE"""),4306.25)</f>
        <v>4306.25</v>
      </c>
      <c r="C1128" s="15">
        <f t="shared" ca="1" si="8"/>
        <v>9.064813415922135E-4</v>
      </c>
      <c r="D1128" s="14">
        <f t="shared" ca="1" si="9"/>
        <v>3926.2680000000005</v>
      </c>
      <c r="E1128" s="17"/>
      <c r="F1128" s="17"/>
    </row>
    <row r="1129" spans="1:6" ht="12.75" x14ac:dyDescent="0.2">
      <c r="A1129" s="13">
        <f ca="1">IFERROR(__xludf.DUMMYFUNCTION("""COMPUTED_VALUE"""),45498.6458333333)</f>
        <v>45498.645833333299</v>
      </c>
      <c r="B1129" s="14">
        <f ca="1">IFERROR(__xludf.DUMMYFUNCTION("""COMPUTED_VALUE"""),4322.5)</f>
        <v>4322.5</v>
      </c>
      <c r="C1129" s="15">
        <f t="shared" ca="1" si="8"/>
        <v>3.7735849056603765E-3</v>
      </c>
      <c r="D1129" s="14">
        <f t="shared" ca="1" si="9"/>
        <v>3933.7620000000006</v>
      </c>
      <c r="E1129" s="17"/>
      <c r="F1129" s="17"/>
    </row>
    <row r="1130" spans="1:6" ht="12.75" x14ac:dyDescent="0.2">
      <c r="A1130" s="13">
        <f ca="1">IFERROR(__xludf.DUMMYFUNCTION("""COMPUTED_VALUE"""),45499.6458333333)</f>
        <v>45499.645833333299</v>
      </c>
      <c r="B1130" s="14">
        <f ca="1">IFERROR(__xludf.DUMMYFUNCTION("""COMPUTED_VALUE"""),4387.85)</f>
        <v>4387.8500000000004</v>
      </c>
      <c r="C1130" s="15">
        <f t="shared" ca="1" si="8"/>
        <v>1.5118565644881565E-2</v>
      </c>
      <c r="D1130" s="14">
        <f t="shared" ca="1" si="9"/>
        <v>3943.4950000000008</v>
      </c>
      <c r="E1130" s="17"/>
      <c r="F1130" s="17"/>
    </row>
    <row r="1131" spans="1:6" ht="12.75" x14ac:dyDescent="0.2">
      <c r="A1131" s="13">
        <f ca="1">IFERROR(__xludf.DUMMYFUNCTION("""COMPUTED_VALUE"""),45502.6458333333)</f>
        <v>45502.645833333299</v>
      </c>
      <c r="B1131" s="14">
        <f ca="1">IFERROR(__xludf.DUMMYFUNCTION("""COMPUTED_VALUE"""),4381.1)</f>
        <v>4381.1000000000004</v>
      </c>
      <c r="C1131" s="15">
        <f t="shared" ca="1" si="8"/>
        <v>-1.5383388219742944E-3</v>
      </c>
      <c r="D1131" s="14">
        <f t="shared" ca="1" si="9"/>
        <v>3953.509</v>
      </c>
      <c r="E1131" s="17"/>
      <c r="F1131" s="17"/>
    </row>
    <row r="1132" spans="1:6" ht="12.75" x14ac:dyDescent="0.2">
      <c r="A1132" s="13">
        <f ca="1">IFERROR(__xludf.DUMMYFUNCTION("""COMPUTED_VALUE"""),45503.6458333333)</f>
        <v>45503.645833333299</v>
      </c>
      <c r="B1132" s="14">
        <f ca="1">IFERROR(__xludf.DUMMYFUNCTION("""COMPUTED_VALUE"""),4365.35)</f>
        <v>4365.3500000000004</v>
      </c>
      <c r="C1132" s="15">
        <f t="shared" ca="1" si="8"/>
        <v>-3.5949875602018233E-3</v>
      </c>
      <c r="D1132" s="14">
        <f t="shared" ca="1" si="9"/>
        <v>3962.7970000000005</v>
      </c>
      <c r="E1132" s="17"/>
      <c r="F1132" s="17"/>
    </row>
    <row r="1133" spans="1:6" ht="12.75" x14ac:dyDescent="0.2">
      <c r="A1133" s="13">
        <f ca="1">IFERROR(__xludf.DUMMYFUNCTION("""COMPUTED_VALUE"""),45504.6458333333)</f>
        <v>45504.645833333299</v>
      </c>
      <c r="B1133" s="14">
        <f ca="1">IFERROR(__xludf.DUMMYFUNCTION("""COMPUTED_VALUE"""),4385.35)</f>
        <v>4385.3500000000004</v>
      </c>
      <c r="C1133" s="15">
        <f t="shared" ca="1" si="8"/>
        <v>4.581534126702369E-3</v>
      </c>
      <c r="D1133" s="14">
        <f t="shared" ca="1" si="9"/>
        <v>3973.8220000000006</v>
      </c>
      <c r="E1133" s="17"/>
      <c r="F1133" s="17"/>
    </row>
    <row r="1134" spans="1:6" ht="12.75" x14ac:dyDescent="0.2">
      <c r="A1134" s="13">
        <f ca="1">IFERROR(__xludf.DUMMYFUNCTION("""COMPUTED_VALUE"""),45505.6458333333)</f>
        <v>45505.645833333299</v>
      </c>
      <c r="B1134" s="14">
        <f ca="1">IFERROR(__xludf.DUMMYFUNCTION("""COMPUTED_VALUE"""),4397.1)</f>
        <v>4397.1000000000004</v>
      </c>
      <c r="C1134" s="15">
        <f t="shared" ca="1" si="8"/>
        <v>2.679375648465987E-3</v>
      </c>
      <c r="D1134" s="14">
        <f t="shared" ca="1" si="9"/>
        <v>3985.3600000000006</v>
      </c>
      <c r="E1134" s="17"/>
      <c r="F1134" s="17"/>
    </row>
    <row r="1135" spans="1:6" ht="12.75" x14ac:dyDescent="0.2">
      <c r="A1135" s="13">
        <f ca="1">IFERROR(__xludf.DUMMYFUNCTION("""COMPUTED_VALUE"""),45506.6458333333)</f>
        <v>45506.645833333299</v>
      </c>
      <c r="B1135" s="14">
        <f ca="1">IFERROR(__xludf.DUMMYFUNCTION("""COMPUTED_VALUE"""),4283.05)</f>
        <v>4283.05</v>
      </c>
      <c r="C1135" s="15">
        <f t="shared" ca="1" si="8"/>
        <v>-2.5937549748697997E-2</v>
      </c>
      <c r="D1135" s="14">
        <f t="shared" ca="1" si="9"/>
        <v>3994.3810000000008</v>
      </c>
      <c r="E1135" s="17"/>
      <c r="F1135" s="17"/>
    </row>
    <row r="1136" spans="1:6" ht="12.75" x14ac:dyDescent="0.2">
      <c r="A1136" s="13">
        <f ca="1">IFERROR(__xludf.DUMMYFUNCTION("""COMPUTED_VALUE"""),45509.6458333333)</f>
        <v>45509.645833333299</v>
      </c>
      <c r="B1136" s="14">
        <f ca="1">IFERROR(__xludf.DUMMYFUNCTION("""COMPUTED_VALUE"""),4155.05)</f>
        <v>4155.05</v>
      </c>
      <c r="C1136" s="15">
        <f t="shared" ca="1" si="8"/>
        <v>-2.9885245327511911E-2</v>
      </c>
      <c r="D1136" s="14">
        <f t="shared" ca="1" si="9"/>
        <v>3999.6130000000003</v>
      </c>
      <c r="E1136" s="17"/>
      <c r="F1136" s="17"/>
    </row>
    <row r="1137" spans="1:6" ht="12.75" x14ac:dyDescent="0.2">
      <c r="A1137" s="13">
        <f ca="1">IFERROR(__xludf.DUMMYFUNCTION("""COMPUTED_VALUE"""),45510.6458333333)</f>
        <v>45510.645833333299</v>
      </c>
      <c r="B1137" s="14">
        <f ca="1">IFERROR(__xludf.DUMMYFUNCTION("""COMPUTED_VALUE"""),4171.2)</f>
        <v>4171.2</v>
      </c>
      <c r="C1137" s="15">
        <f t="shared" ca="1" si="8"/>
        <v>3.8868365001623051E-3</v>
      </c>
      <c r="D1137" s="14">
        <f t="shared" ca="1" si="9"/>
        <v>4006.047</v>
      </c>
      <c r="E1137" s="17"/>
      <c r="F1137" s="17"/>
    </row>
    <row r="1138" spans="1:6" ht="12.75" x14ac:dyDescent="0.2">
      <c r="A1138" s="13">
        <f ca="1">IFERROR(__xludf.DUMMYFUNCTION("""COMPUTED_VALUE"""),45511.6458333333)</f>
        <v>45511.645833333299</v>
      </c>
      <c r="B1138" s="14">
        <f ca="1">IFERROR(__xludf.DUMMYFUNCTION("""COMPUTED_VALUE"""),4200.45)</f>
        <v>4200.45</v>
      </c>
      <c r="C1138" s="15">
        <f t="shared" ca="1" si="8"/>
        <v>7.0123705408515757E-3</v>
      </c>
      <c r="D1138" s="14">
        <f t="shared" ca="1" si="9"/>
        <v>4013.1149999999998</v>
      </c>
      <c r="E1138" s="17"/>
      <c r="F1138" s="17"/>
    </row>
    <row r="1139" spans="1:6" ht="12.75" x14ac:dyDescent="0.2">
      <c r="A1139" s="13">
        <f ca="1">IFERROR(__xludf.DUMMYFUNCTION("""COMPUTED_VALUE"""),45512.6458333333)</f>
        <v>45512.645833333299</v>
      </c>
      <c r="B1139" s="14">
        <f ca="1">IFERROR(__xludf.DUMMYFUNCTION("""COMPUTED_VALUE"""),4172.55)</f>
        <v>4172.55</v>
      </c>
      <c r="C1139" s="15">
        <f t="shared" ca="1" si="8"/>
        <v>-6.6421454844123318E-3</v>
      </c>
      <c r="D1139" s="14">
        <f t="shared" ca="1" si="9"/>
        <v>4019.768</v>
      </c>
      <c r="E1139" s="17"/>
      <c r="F1139" s="17"/>
    </row>
    <row r="1140" spans="1:6" ht="12.75" x14ac:dyDescent="0.2">
      <c r="A1140" s="13">
        <f ca="1">IFERROR(__xludf.DUMMYFUNCTION("""COMPUTED_VALUE"""),45513.6458333333)</f>
        <v>45513.645833333299</v>
      </c>
      <c r="B1140" s="14">
        <f ca="1">IFERROR(__xludf.DUMMYFUNCTION("""COMPUTED_VALUE"""),4228.75)</f>
        <v>4228.75</v>
      </c>
      <c r="C1140" s="15">
        <f t="shared" ca="1" si="8"/>
        <v>1.3468981797701618E-2</v>
      </c>
      <c r="D1140" s="14">
        <f t="shared" ca="1" si="9"/>
        <v>4028.27</v>
      </c>
      <c r="E1140" s="17"/>
      <c r="F1140" s="17"/>
    </row>
    <row r="1141" spans="1:6" ht="12.75" x14ac:dyDescent="0.2">
      <c r="A1141" s="13">
        <f ca="1">IFERROR(__xludf.DUMMYFUNCTION("""COMPUTED_VALUE"""),45516.6458333333)</f>
        <v>45516.645833333299</v>
      </c>
      <c r="B1141" s="14">
        <f ca="1">IFERROR(__xludf.DUMMYFUNCTION("""COMPUTED_VALUE"""),4195.65)</f>
        <v>4195.6499999999996</v>
      </c>
      <c r="C1141" s="15">
        <f t="shared" ca="1" si="8"/>
        <v>-7.8273721548921538E-3</v>
      </c>
      <c r="D1141" s="14">
        <f t="shared" ca="1" si="9"/>
        <v>4037.4609999999998</v>
      </c>
      <c r="E1141" s="17"/>
      <c r="F1141" s="17"/>
    </row>
    <row r="1142" spans="1:6" ht="12.75" x14ac:dyDescent="0.2">
      <c r="A1142" s="13">
        <f ca="1">IFERROR(__xludf.DUMMYFUNCTION("""COMPUTED_VALUE"""),45517.6458333333)</f>
        <v>45517.645833333299</v>
      </c>
      <c r="B1142" s="14">
        <f ca="1">IFERROR(__xludf.DUMMYFUNCTION("""COMPUTED_VALUE"""),4196.95)</f>
        <v>4196.95</v>
      </c>
      <c r="C1142" s="15">
        <f t="shared" ca="1" si="8"/>
        <v>3.098447201268506E-4</v>
      </c>
      <c r="D1142" s="14">
        <f t="shared" ca="1" si="9"/>
        <v>4047.9809999999998</v>
      </c>
      <c r="E1142" s="17"/>
      <c r="F1142" s="17"/>
    </row>
    <row r="1143" spans="1:6" ht="12.75" x14ac:dyDescent="0.2">
      <c r="A1143" s="13">
        <f ca="1">IFERROR(__xludf.DUMMYFUNCTION("""COMPUTED_VALUE"""),45518.6458333333)</f>
        <v>45518.645833333299</v>
      </c>
      <c r="B1143" s="14">
        <f ca="1">IFERROR(__xludf.DUMMYFUNCTION("""COMPUTED_VALUE"""),4295.25)</f>
        <v>4295.25</v>
      </c>
      <c r="C1143" s="15">
        <f t="shared" ca="1" si="8"/>
        <v>2.3421770571486533E-2</v>
      </c>
      <c r="D1143" s="14">
        <f t="shared" ca="1" si="9"/>
        <v>4059.8289999999997</v>
      </c>
      <c r="E1143" s="17"/>
      <c r="F1143" s="17"/>
    </row>
    <row r="1144" spans="1:6" ht="12.75" x14ac:dyDescent="0.2">
      <c r="A1144" s="13">
        <f ca="1">IFERROR(__xludf.DUMMYFUNCTION("""COMPUTED_VALUE"""),45520.6458333333)</f>
        <v>45520.645833333299</v>
      </c>
      <c r="B1144" s="14">
        <f ca="1">IFERROR(__xludf.DUMMYFUNCTION("""COMPUTED_VALUE"""),4416.05)</f>
        <v>4416.05</v>
      </c>
      <c r="C1144" s="15">
        <f t="shared" ca="1" si="8"/>
        <v>2.8124090565159188E-2</v>
      </c>
      <c r="D1144" s="14">
        <f t="shared" ca="1" si="9"/>
        <v>4073.85</v>
      </c>
      <c r="E1144" s="17"/>
      <c r="F1144" s="17"/>
    </row>
    <row r="1145" spans="1:6" ht="12.75" x14ac:dyDescent="0.2">
      <c r="A1145" s="13">
        <f ca="1">IFERROR(__xludf.DUMMYFUNCTION("""COMPUTED_VALUE"""),45523.6458333333)</f>
        <v>45523.645833333299</v>
      </c>
      <c r="B1145" s="14">
        <f ca="1">IFERROR(__xludf.DUMMYFUNCTION("""COMPUTED_VALUE"""),4490)</f>
        <v>4490</v>
      </c>
      <c r="C1145" s="15">
        <f t="shared" ca="1" si="8"/>
        <v>1.6745734310073424E-2</v>
      </c>
      <c r="D1145" s="14">
        <f t="shared" ca="1" si="9"/>
        <v>4088.7209999999995</v>
      </c>
      <c r="E1145" s="17"/>
      <c r="F1145" s="17"/>
    </row>
    <row r="1146" spans="1:6" ht="12.75" x14ac:dyDescent="0.2">
      <c r="A1146" s="13">
        <f ca="1">IFERROR(__xludf.DUMMYFUNCTION("""COMPUTED_VALUE"""),45524.6458333333)</f>
        <v>45524.645833333299</v>
      </c>
      <c r="B1146" s="14">
        <f ca="1">IFERROR(__xludf.DUMMYFUNCTION("""COMPUTED_VALUE"""),4523.3)</f>
        <v>4523.3</v>
      </c>
      <c r="C1146" s="15">
        <f t="shared" ca="1" si="8"/>
        <v>7.4164810690422467E-3</v>
      </c>
      <c r="D1146" s="14">
        <f t="shared" ca="1" si="9"/>
        <v>4102.5789999999997</v>
      </c>
      <c r="E1146" s="17"/>
      <c r="F1146" s="17"/>
    </row>
    <row r="1147" spans="1:6" ht="12.75" x14ac:dyDescent="0.2">
      <c r="A1147" s="13">
        <f ca="1">IFERROR(__xludf.DUMMYFUNCTION("""COMPUTED_VALUE"""),45525.6458333333)</f>
        <v>45525.645833333299</v>
      </c>
      <c r="B1147" s="14">
        <f ca="1">IFERROR(__xludf.DUMMYFUNCTION("""COMPUTED_VALUE"""),4551.5)</f>
        <v>4551.5</v>
      </c>
      <c r="C1147" s="15">
        <f t="shared" ca="1" si="8"/>
        <v>6.2343863993101767E-3</v>
      </c>
      <c r="D1147" s="14">
        <f t="shared" ca="1" si="9"/>
        <v>4115.7299999999996</v>
      </c>
      <c r="E1147" s="17"/>
      <c r="F1147" s="17"/>
    </row>
    <row r="1148" spans="1:6" ht="12.75" x14ac:dyDescent="0.2">
      <c r="A1148" s="13">
        <f ca="1">IFERROR(__xludf.DUMMYFUNCTION("""COMPUTED_VALUE"""),45526.6458333333)</f>
        <v>45526.645833333299</v>
      </c>
      <c r="B1148" s="14">
        <f ca="1">IFERROR(__xludf.DUMMYFUNCTION("""COMPUTED_VALUE"""),4502)</f>
        <v>4502</v>
      </c>
      <c r="C1148" s="15">
        <f t="shared" ca="1" si="8"/>
        <v>-1.0875535537734793E-2</v>
      </c>
      <c r="D1148" s="14">
        <f t="shared" ca="1" si="9"/>
        <v>4128.5959999999995</v>
      </c>
      <c r="E1148" s="17"/>
      <c r="F1148" s="17"/>
    </row>
    <row r="1149" spans="1:6" ht="12.75" x14ac:dyDescent="0.2">
      <c r="A1149" s="13">
        <f ca="1">IFERROR(__xludf.DUMMYFUNCTION("""COMPUTED_VALUE"""),45527.6458333333)</f>
        <v>45527.645833333299</v>
      </c>
      <c r="B1149" s="14">
        <f ca="1">IFERROR(__xludf.DUMMYFUNCTION("""COMPUTED_VALUE"""),4463.9)</f>
        <v>4463.8999999999996</v>
      </c>
      <c r="C1149" s="15">
        <f t="shared" ca="1" si="8"/>
        <v>-8.4629053753888517E-3</v>
      </c>
      <c r="D1149" s="14">
        <f t="shared" ca="1" si="9"/>
        <v>4140.8319999999994</v>
      </c>
      <c r="E1149" s="17"/>
      <c r="F1149" s="17"/>
    </row>
    <row r="1150" spans="1:6" ht="12.75" x14ac:dyDescent="0.2">
      <c r="A1150" s="13">
        <f ca="1">IFERROR(__xludf.DUMMYFUNCTION("""COMPUTED_VALUE"""),45530.6458333333)</f>
        <v>45530.645833333299</v>
      </c>
      <c r="B1150" s="14">
        <f ca="1">IFERROR(__xludf.DUMMYFUNCTION("""COMPUTED_VALUE"""),4502.45)</f>
        <v>4502.45</v>
      </c>
      <c r="C1150" s="15">
        <f t="shared" ca="1" si="8"/>
        <v>8.635946145747031E-3</v>
      </c>
      <c r="D1150" s="14">
        <f t="shared" ca="1" si="9"/>
        <v>4154.2479999999996</v>
      </c>
      <c r="E1150" s="17"/>
      <c r="F1150" s="17"/>
    </row>
    <row r="1151" spans="1:6" ht="12.75" x14ac:dyDescent="0.2">
      <c r="A1151" s="13">
        <f ca="1">IFERROR(__xludf.DUMMYFUNCTION("""COMPUTED_VALUE"""),45531.6458333333)</f>
        <v>45531.645833333299</v>
      </c>
      <c r="B1151" s="14">
        <f ca="1">IFERROR(__xludf.DUMMYFUNCTION("""COMPUTED_VALUE"""),4497.15)</f>
        <v>4497.1499999999996</v>
      </c>
      <c r="C1151" s="15">
        <f t="shared" ca="1" si="8"/>
        <v>-1.1771368921364989E-3</v>
      </c>
      <c r="D1151" s="14">
        <f t="shared" ca="1" si="9"/>
        <v>4166.6279999999997</v>
      </c>
      <c r="E1151" s="17"/>
      <c r="F1151" s="17"/>
    </row>
    <row r="1152" spans="1:6" ht="12.75" x14ac:dyDescent="0.2">
      <c r="A1152" s="13">
        <f ca="1">IFERROR(__xludf.DUMMYFUNCTION("""COMPUTED_VALUE"""),45532.6458333333)</f>
        <v>45532.645833333299</v>
      </c>
      <c r="B1152" s="14">
        <f ca="1">IFERROR(__xludf.DUMMYFUNCTION("""COMPUTED_VALUE"""),4506.05)</f>
        <v>4506.05</v>
      </c>
      <c r="C1152" s="15">
        <f t="shared" ca="1" si="8"/>
        <v>1.9790311641818548E-3</v>
      </c>
      <c r="D1152" s="14">
        <f t="shared" ca="1" si="9"/>
        <v>4180.1080000000002</v>
      </c>
      <c r="E1152" s="17"/>
      <c r="F1152" s="17"/>
    </row>
    <row r="1153" spans="1:6" ht="12.75" x14ac:dyDescent="0.2">
      <c r="A1153" s="13">
        <f ca="1">IFERROR(__xludf.DUMMYFUNCTION("""COMPUTED_VALUE"""),45533.6458333333)</f>
        <v>45533.645833333299</v>
      </c>
      <c r="B1153" s="14">
        <f ca="1">IFERROR(__xludf.DUMMYFUNCTION("""COMPUTED_VALUE"""),4511.8)</f>
        <v>4511.8</v>
      </c>
      <c r="C1153" s="15">
        <f t="shared" ca="1" si="8"/>
        <v>1.2760621830649743E-3</v>
      </c>
      <c r="D1153" s="14">
        <f t="shared" ca="1" si="9"/>
        <v>4194.0419999999995</v>
      </c>
      <c r="E1153" s="17"/>
      <c r="F1153" s="17"/>
    </row>
    <row r="1154" spans="1:6" ht="12.75" x14ac:dyDescent="0.2">
      <c r="A1154" s="13">
        <f ca="1">IFERROR(__xludf.DUMMYFUNCTION("""COMPUTED_VALUE"""),45534.6458333333)</f>
        <v>45534.645833333299</v>
      </c>
      <c r="B1154" s="14">
        <f ca="1">IFERROR(__xludf.DUMMYFUNCTION("""COMPUTED_VALUE"""),4553.75)</f>
        <v>4553.75</v>
      </c>
      <c r="C1154" s="15">
        <f t="shared" ca="1" si="8"/>
        <v>9.2978412163660096E-3</v>
      </c>
      <c r="D1154" s="14">
        <f t="shared" ca="1" si="9"/>
        <v>4209.0829999999996</v>
      </c>
      <c r="E1154" s="17"/>
      <c r="F1154" s="17"/>
    </row>
    <row r="1155" spans="1:6" ht="12.75" x14ac:dyDescent="0.2">
      <c r="A1155" s="13">
        <f ca="1">IFERROR(__xludf.DUMMYFUNCTION("""COMPUTED_VALUE"""),45537.6458333333)</f>
        <v>45537.645833333299</v>
      </c>
      <c r="B1155" s="14">
        <f ca="1">IFERROR(__xludf.DUMMYFUNCTION("""COMPUTED_VALUE"""),4521.05)</f>
        <v>4521.05</v>
      </c>
      <c r="C1155" s="15">
        <f t="shared" ca="1" si="8"/>
        <v>-7.180894866867904E-3</v>
      </c>
      <c r="D1155" s="14">
        <f t="shared" ca="1" si="9"/>
        <v>4223.759</v>
      </c>
      <c r="E1155" s="17"/>
      <c r="F1155" s="17"/>
    </row>
    <row r="1156" spans="1:6" ht="12.75" x14ac:dyDescent="0.2">
      <c r="A1156" s="13">
        <f ca="1">IFERROR(__xludf.DUMMYFUNCTION("""COMPUTED_VALUE"""),45538.6458333333)</f>
        <v>45538.645833333299</v>
      </c>
      <c r="B1156" s="14">
        <f ca="1">IFERROR(__xludf.DUMMYFUNCTION("""COMPUTED_VALUE"""),4512.35)</f>
        <v>4512.3500000000004</v>
      </c>
      <c r="C1156" s="15">
        <f t="shared" ca="1" si="8"/>
        <v>-1.9243317370963853E-3</v>
      </c>
      <c r="D1156" s="14">
        <f t="shared" ca="1" si="9"/>
        <v>4237.7910000000002</v>
      </c>
      <c r="E1156" s="17"/>
      <c r="F1156" s="17"/>
    </row>
    <row r="1157" spans="1:6" ht="12.75" x14ac:dyDescent="0.2">
      <c r="A1157" s="13">
        <f ca="1">IFERROR(__xludf.DUMMYFUNCTION("""COMPUTED_VALUE"""),45539.6458333333)</f>
        <v>45539.645833333299</v>
      </c>
      <c r="B1157" s="14">
        <f ca="1">IFERROR(__xludf.DUMMYFUNCTION("""COMPUTED_VALUE"""),4479.25)</f>
        <v>4479.25</v>
      </c>
      <c r="C1157" s="15">
        <f t="shared" ca="1" si="8"/>
        <v>-7.3354238922069825E-3</v>
      </c>
      <c r="D1157" s="14">
        <f t="shared" ca="1" si="9"/>
        <v>4251.0399999999991</v>
      </c>
      <c r="E1157" s="17"/>
      <c r="F1157" s="17"/>
    </row>
    <row r="1158" spans="1:6" ht="12.75" x14ac:dyDescent="0.2">
      <c r="A1158" s="13">
        <f ca="1">IFERROR(__xludf.DUMMYFUNCTION("""COMPUTED_VALUE"""),45540.6458333333)</f>
        <v>45540.645833333299</v>
      </c>
      <c r="B1158" s="14">
        <f ca="1">IFERROR(__xludf.DUMMYFUNCTION("""COMPUTED_VALUE"""),4475.95)</f>
        <v>4475.95</v>
      </c>
      <c r="C1158" s="15">
        <f t="shared" ca="1" si="8"/>
        <v>-7.3673047943301206E-4</v>
      </c>
      <c r="D1158" s="14">
        <f t="shared" ca="1" si="9"/>
        <v>4263.79</v>
      </c>
      <c r="E1158" s="17"/>
      <c r="F1158" s="17"/>
    </row>
    <row r="1159" spans="1:6" ht="12.75" x14ac:dyDescent="0.2">
      <c r="A1159" s="13">
        <f ca="1">IFERROR(__xludf.DUMMYFUNCTION("""COMPUTED_VALUE"""),45541.6458333333)</f>
        <v>45541.645833333299</v>
      </c>
      <c r="B1159" s="14">
        <f ca="1">IFERROR(__xludf.DUMMYFUNCTION("""COMPUTED_VALUE"""),4456.75)</f>
        <v>4456.75</v>
      </c>
      <c r="C1159" s="15">
        <f t="shared" ca="1" si="8"/>
        <v>-4.2895921536210135E-3</v>
      </c>
      <c r="D1159" s="14">
        <f t="shared" ca="1" si="9"/>
        <v>4275.8080000000009</v>
      </c>
      <c r="E1159" s="17"/>
      <c r="F1159" s="17"/>
    </row>
    <row r="1160" spans="1:6" ht="12.75" x14ac:dyDescent="0.2">
      <c r="A1160" s="13">
        <f ca="1">IFERROR(__xludf.DUMMYFUNCTION("""COMPUTED_VALUE"""),45544.6458333333)</f>
        <v>45544.645833333299</v>
      </c>
      <c r="B1160" s="14">
        <f ca="1">IFERROR(__xludf.DUMMYFUNCTION("""COMPUTED_VALUE"""),4449.55)</f>
        <v>4449.55</v>
      </c>
      <c r="C1160" s="15">
        <f t="shared" ca="1" si="8"/>
        <v>-1.6155270095921104E-3</v>
      </c>
      <c r="D1160" s="14">
        <f t="shared" ca="1" si="9"/>
        <v>4286.1159999999991</v>
      </c>
      <c r="E1160" s="17"/>
      <c r="F1160" s="17"/>
    </row>
    <row r="1161" spans="1:6" ht="12.75" x14ac:dyDescent="0.2">
      <c r="A1161" s="13">
        <f ca="1">IFERROR(__xludf.DUMMYFUNCTION("""COMPUTED_VALUE"""),45545.6458333333)</f>
        <v>45545.645833333299</v>
      </c>
      <c r="B1161" s="14">
        <f ca="1">IFERROR(__xludf.DUMMYFUNCTION("""COMPUTED_VALUE"""),4507.85)</f>
        <v>4507.8500000000004</v>
      </c>
      <c r="C1161" s="15">
        <f t="shared" ca="1" si="8"/>
        <v>1.3102448562214208E-2</v>
      </c>
      <c r="D1161" s="14">
        <f t="shared" ca="1" si="9"/>
        <v>4298.1899999999996</v>
      </c>
      <c r="E1161" s="17"/>
      <c r="F1161" s="17"/>
    </row>
    <row r="1162" spans="1:6" ht="12.75" x14ac:dyDescent="0.2">
      <c r="A1162" s="13">
        <f ca="1">IFERROR(__xludf.DUMMYFUNCTION("""COMPUTED_VALUE"""),45546.6458333333)</f>
        <v>45546.645833333299</v>
      </c>
      <c r="B1162" s="14">
        <f ca="1">IFERROR(__xludf.DUMMYFUNCTION("""COMPUTED_VALUE"""),4479.35)</f>
        <v>4479.3500000000004</v>
      </c>
      <c r="C1162" s="15">
        <f t="shared" ca="1" si="8"/>
        <v>-6.3223044245038773E-3</v>
      </c>
      <c r="D1162" s="14">
        <f t="shared" ca="1" si="9"/>
        <v>4308.2129999999997</v>
      </c>
      <c r="E1162" s="17"/>
      <c r="F1162" s="17"/>
    </row>
    <row r="1163" spans="1:6" ht="12.75" x14ac:dyDescent="0.2">
      <c r="A1163" s="13">
        <f ca="1">IFERROR(__xludf.DUMMYFUNCTION("""COMPUTED_VALUE"""),45547.6458333333)</f>
        <v>45547.645833333299</v>
      </c>
      <c r="B1163" s="14">
        <f ca="1">IFERROR(__xludf.DUMMYFUNCTION("""COMPUTED_VALUE"""),4517.7)</f>
        <v>4517.7</v>
      </c>
      <c r="C1163" s="15">
        <f t="shared" ca="1" si="8"/>
        <v>8.5615100405191935E-3</v>
      </c>
      <c r="D1163" s="14">
        <f t="shared" ca="1" si="9"/>
        <v>4318.2190000000001</v>
      </c>
      <c r="E1163" s="17"/>
      <c r="F1163" s="17"/>
    </row>
    <row r="1164" spans="1:6" ht="12.75" x14ac:dyDescent="0.2">
      <c r="A1164" s="13">
        <f ca="1">IFERROR(__xludf.DUMMYFUNCTION("""COMPUTED_VALUE"""),45548.6458333333)</f>
        <v>45548.645833333299</v>
      </c>
      <c r="B1164" s="14">
        <f ca="1">IFERROR(__xludf.DUMMYFUNCTION("""COMPUTED_VALUE"""),4522.6)</f>
        <v>4522.6000000000004</v>
      </c>
      <c r="C1164" s="15">
        <f t="shared" ca="1" si="8"/>
        <v>1.0846227062444314E-3</v>
      </c>
      <c r="D1164" s="14">
        <f t="shared" ca="1" si="9"/>
        <v>4329.366</v>
      </c>
      <c r="E1164" s="17"/>
      <c r="F1164" s="17"/>
    </row>
    <row r="1165" spans="1:6" ht="12.75" x14ac:dyDescent="0.2">
      <c r="A1165" s="13">
        <f ca="1">IFERROR(__xludf.DUMMYFUNCTION("""COMPUTED_VALUE"""),45551.6458333333)</f>
        <v>45551.645833333299</v>
      </c>
      <c r="B1165" s="14">
        <f ca="1">IFERROR(__xludf.DUMMYFUNCTION("""COMPUTED_VALUE"""),4513.25)</f>
        <v>4513.25</v>
      </c>
      <c r="C1165" s="15">
        <f t="shared" ca="1" si="8"/>
        <v>-2.0673948613629811E-3</v>
      </c>
      <c r="D1165" s="14">
        <f t="shared" ca="1" si="9"/>
        <v>4339.2120000000004</v>
      </c>
      <c r="E1165" s="17"/>
      <c r="F1165" s="17"/>
    </row>
    <row r="1166" spans="1:6" ht="12.75" x14ac:dyDescent="0.2">
      <c r="A1166" s="13">
        <f ca="1">IFERROR(__xludf.DUMMYFUNCTION("""COMPUTED_VALUE"""),45552.6458333333)</f>
        <v>45552.645833333299</v>
      </c>
      <c r="B1166" s="14">
        <f ca="1">IFERROR(__xludf.DUMMYFUNCTION("""COMPUTED_VALUE"""),4505.65)</f>
        <v>4505.6499999999996</v>
      </c>
      <c r="C1166" s="15">
        <f t="shared" ca="1" si="8"/>
        <v>-1.6839306486456929E-3</v>
      </c>
      <c r="D1166" s="14">
        <f t="shared" ca="1" si="9"/>
        <v>4349.0889999999999</v>
      </c>
      <c r="E1166" s="17"/>
      <c r="F1166" s="17"/>
    </row>
    <row r="1167" spans="1:6" ht="12.75" x14ac:dyDescent="0.2">
      <c r="A1167" s="13">
        <f ca="1">IFERROR(__xludf.DUMMYFUNCTION("""COMPUTED_VALUE"""),45553.6458333333)</f>
        <v>45553.645833333299</v>
      </c>
      <c r="B1167" s="14">
        <f ca="1">IFERROR(__xludf.DUMMYFUNCTION("""COMPUTED_VALUE"""),4346.15)</f>
        <v>4346.1499999999996</v>
      </c>
      <c r="C1167" s="15">
        <f t="shared" ca="1" si="8"/>
        <v>-3.5399997780564352E-2</v>
      </c>
      <c r="D1167" s="14">
        <f t="shared" ca="1" si="9"/>
        <v>4356.1480000000001</v>
      </c>
      <c r="E1167" s="17"/>
      <c r="F1167" s="17"/>
    </row>
    <row r="1168" spans="1:6" ht="12.75" x14ac:dyDescent="0.2">
      <c r="A1168" s="13">
        <f ca="1">IFERROR(__xludf.DUMMYFUNCTION("""COMPUTED_VALUE"""),45554.6458333333)</f>
        <v>45554.645833333299</v>
      </c>
      <c r="B1168" s="14">
        <f ca="1">IFERROR(__xludf.DUMMYFUNCTION("""COMPUTED_VALUE"""),4296.15)</f>
        <v>4296.1499999999996</v>
      </c>
      <c r="C1168" s="15">
        <f t="shared" ca="1" si="8"/>
        <v>-1.1504434959676901E-2</v>
      </c>
      <c r="D1168" s="14">
        <f t="shared" ca="1" si="9"/>
        <v>4362.3609999999999</v>
      </c>
      <c r="E1168" s="17"/>
      <c r="F1168" s="17"/>
    </row>
    <row r="1169" spans="1:6" ht="12.75" x14ac:dyDescent="0.2">
      <c r="A1169" s="13">
        <f ca="1">IFERROR(__xludf.DUMMYFUNCTION("""COMPUTED_VALUE"""),45555.6458333333)</f>
        <v>45555.645833333299</v>
      </c>
      <c r="B1169" s="14">
        <f ca="1">IFERROR(__xludf.DUMMYFUNCTION("""COMPUTED_VALUE"""),4284.9)</f>
        <v>4284.8999999999996</v>
      </c>
      <c r="C1169" s="15">
        <f t="shared" ca="1" si="8"/>
        <v>-2.6186236514088579E-3</v>
      </c>
      <c r="D1169" s="14">
        <f t="shared" ca="1" si="9"/>
        <v>4369.8759999999993</v>
      </c>
      <c r="E1169" s="17"/>
      <c r="F1169" s="17"/>
    </row>
    <row r="1170" spans="1:6" ht="12.75" x14ac:dyDescent="0.2">
      <c r="A1170" s="13">
        <f ca="1">IFERROR(__xludf.DUMMYFUNCTION("""COMPUTED_VALUE"""),45558.6458333333)</f>
        <v>45558.645833333299</v>
      </c>
      <c r="B1170" s="14">
        <f ca="1">IFERROR(__xludf.DUMMYFUNCTION("""COMPUTED_VALUE"""),4268.5)</f>
        <v>4268.5</v>
      </c>
      <c r="C1170" s="15">
        <f t="shared" ca="1" si="8"/>
        <v>-3.827393871502216E-3</v>
      </c>
      <c r="D1170" s="14">
        <f t="shared" ca="1" si="9"/>
        <v>4376.771999999999</v>
      </c>
      <c r="E1170" s="17"/>
      <c r="F1170" s="17"/>
    </row>
    <row r="1171" spans="1:6" ht="12.75" x14ac:dyDescent="0.2">
      <c r="A1171" s="13">
        <f ca="1">IFERROR(__xludf.DUMMYFUNCTION("""COMPUTED_VALUE"""),45559.6458333333)</f>
        <v>45559.645833333299</v>
      </c>
      <c r="B1171" s="14">
        <f ca="1">IFERROR(__xludf.DUMMYFUNCTION("""COMPUTED_VALUE"""),4271.3)</f>
        <v>4271.3</v>
      </c>
      <c r="C1171" s="15">
        <f t="shared" ca="1" si="8"/>
        <v>6.5596813869039927E-4</v>
      </c>
      <c r="D1171" s="14">
        <f t="shared" ca="1" si="9"/>
        <v>4378.5189999999993</v>
      </c>
      <c r="E1171" s="17"/>
      <c r="F1171" s="17"/>
    </row>
    <row r="1172" spans="1:6" ht="12.75" x14ac:dyDescent="0.2">
      <c r="A1172" s="13">
        <f ca="1">IFERROR(__xludf.DUMMYFUNCTION("""COMPUTED_VALUE"""),45560.6458333333)</f>
        <v>45560.645833333299</v>
      </c>
      <c r="B1172" s="14">
        <f ca="1">IFERROR(__xludf.DUMMYFUNCTION("""COMPUTED_VALUE"""),4274.75)</f>
        <v>4274.75</v>
      </c>
      <c r="C1172" s="15">
        <f t="shared" ca="1" si="8"/>
        <v>8.077166202327124E-4</v>
      </c>
      <c r="D1172" s="14">
        <f t="shared" ca="1" si="9"/>
        <v>4380.6299999999992</v>
      </c>
      <c r="E1172" s="17"/>
      <c r="F1172" s="17"/>
    </row>
    <row r="1173" spans="1:6" ht="12.75" x14ac:dyDescent="0.2">
      <c r="A1173" s="13">
        <f ca="1">IFERROR(__xludf.DUMMYFUNCTION("""COMPUTED_VALUE"""),45561.6458333333)</f>
        <v>45561.645833333299</v>
      </c>
      <c r="B1173" s="14">
        <f ca="1">IFERROR(__xludf.DUMMYFUNCTION("""COMPUTED_VALUE"""),4292.5)</f>
        <v>4292.5</v>
      </c>
      <c r="C1173" s="15">
        <f t="shared" ca="1" si="8"/>
        <v>4.1522896075794069E-3</v>
      </c>
      <c r="D1173" s="14">
        <f t="shared" ca="1" si="9"/>
        <v>4382.9110000000001</v>
      </c>
      <c r="E1173" s="17"/>
      <c r="F1173" s="17"/>
    </row>
    <row r="1174" spans="1:6" ht="12.75" x14ac:dyDescent="0.2">
      <c r="A1174" s="13">
        <f ca="1">IFERROR(__xludf.DUMMYFUNCTION("""COMPUTED_VALUE"""),45562.6458333333)</f>
        <v>45562.645833333299</v>
      </c>
      <c r="B1174" s="14">
        <f ca="1">IFERROR(__xludf.DUMMYFUNCTION("""COMPUTED_VALUE"""),4308.7)</f>
        <v>4308.7</v>
      </c>
      <c r="C1174" s="15">
        <f t="shared" ca="1" si="8"/>
        <v>3.7740244612696205E-3</v>
      </c>
      <c r="D1174" s="14">
        <f t="shared" ca="1" si="9"/>
        <v>4382.7739999999994</v>
      </c>
      <c r="E1174" s="17"/>
      <c r="F1174" s="17"/>
    </row>
    <row r="1175" spans="1:6" ht="12.75" x14ac:dyDescent="0.2">
      <c r="A1175" s="13">
        <f ca="1">IFERROR(__xludf.DUMMYFUNCTION("""COMPUTED_VALUE"""),45565.6458333333)</f>
        <v>45565.645833333299</v>
      </c>
      <c r="B1175" s="14">
        <f ca="1">IFERROR(__xludf.DUMMYFUNCTION("""COMPUTED_VALUE"""),4268.5)</f>
        <v>4268.5</v>
      </c>
      <c r="C1175" s="15">
        <f t="shared" ca="1" si="8"/>
        <v>-9.3299603128553787E-3</v>
      </c>
      <c r="D1175" s="14">
        <f t="shared" ca="1" si="9"/>
        <v>4382.0959999999995</v>
      </c>
      <c r="E1175" s="17"/>
      <c r="F1175" s="17"/>
    </row>
    <row r="1176" spans="1:6" ht="12.75" x14ac:dyDescent="0.2">
      <c r="A1176" s="13">
        <f ca="1">IFERROR(__xludf.DUMMYFUNCTION("""COMPUTED_VALUE"""),45566.6458333333)</f>
        <v>45566.645833333299</v>
      </c>
      <c r="B1176" s="14">
        <f ca="1">IFERROR(__xludf.DUMMYFUNCTION("""COMPUTED_VALUE"""),4287.9)</f>
        <v>4287.8999999999996</v>
      </c>
      <c r="C1176" s="15">
        <f t="shared" ca="1" si="8"/>
        <v>4.5449221037834331E-3</v>
      </c>
      <c r="D1176" s="14">
        <f t="shared" ca="1" si="9"/>
        <v>4382.107</v>
      </c>
      <c r="E1176" s="17"/>
      <c r="F1176" s="17"/>
    </row>
    <row r="1177" spans="1:6" ht="12.75" x14ac:dyDescent="0.2">
      <c r="A1177" s="13">
        <f ca="1">IFERROR(__xludf.DUMMYFUNCTION("""COMPUTED_VALUE"""),45568.6458333333)</f>
        <v>45568.645833333299</v>
      </c>
      <c r="B1177" s="14">
        <f ca="1">IFERROR(__xludf.DUMMYFUNCTION("""COMPUTED_VALUE"""),4232.75)</f>
        <v>4232.75</v>
      </c>
      <c r="C1177" s="15">
        <f t="shared" ca="1" si="8"/>
        <v>-1.2861773828680589E-2</v>
      </c>
      <c r="D1177" s="14">
        <f t="shared" ca="1" si="9"/>
        <v>4380.7150000000001</v>
      </c>
      <c r="E1177" s="17"/>
      <c r="F1177" s="17"/>
    </row>
    <row r="1178" spans="1:6" ht="12.75" x14ac:dyDescent="0.2">
      <c r="A1178" s="13">
        <f ca="1">IFERROR(__xludf.DUMMYFUNCTION("""COMPUTED_VALUE"""),45569.6458333333)</f>
        <v>45569.645833333299</v>
      </c>
      <c r="B1178" s="14">
        <f ca="1">IFERROR(__xludf.DUMMYFUNCTION("""COMPUTED_VALUE"""),4252.25)</f>
        <v>4252.25</v>
      </c>
      <c r="C1178" s="15">
        <f t="shared" ca="1" si="8"/>
        <v>4.6069340263421577E-3</v>
      </c>
      <c r="D1178" s="14">
        <f t="shared" ca="1" si="9"/>
        <v>4379.6350000000002</v>
      </c>
      <c r="E1178" s="17"/>
      <c r="F1178" s="17"/>
    </row>
    <row r="1179" spans="1:6" ht="12.75" x14ac:dyDescent="0.2">
      <c r="A1179" s="13">
        <f ca="1">IFERROR(__xludf.DUMMYFUNCTION("""COMPUTED_VALUE"""),45572.6458333333)</f>
        <v>45572.645833333299</v>
      </c>
      <c r="B1179" s="14">
        <f ca="1">IFERROR(__xludf.DUMMYFUNCTION("""COMPUTED_VALUE"""),4272.85)</f>
        <v>4272.8500000000004</v>
      </c>
      <c r="C1179" s="15">
        <f t="shared" ca="1" si="8"/>
        <v>4.8444940913634493E-3</v>
      </c>
      <c r="D1179" s="14">
        <f t="shared" ca="1" si="9"/>
        <v>4378.6419999999998</v>
      </c>
      <c r="E1179" s="17"/>
      <c r="F1179" s="17"/>
    </row>
    <row r="1180" spans="1:6" ht="12.75" x14ac:dyDescent="0.2">
      <c r="A1180" s="13">
        <f ca="1">IFERROR(__xludf.DUMMYFUNCTION("""COMPUTED_VALUE"""),45573.6458333333)</f>
        <v>45573.645833333299</v>
      </c>
      <c r="B1180" s="14">
        <f ca="1">IFERROR(__xludf.DUMMYFUNCTION("""COMPUTED_VALUE"""),4253.25)</f>
        <v>4253.25</v>
      </c>
      <c r="C1180" s="15">
        <f t="shared" ca="1" si="8"/>
        <v>-4.5871022853599674E-3</v>
      </c>
      <c r="D1180" s="14">
        <f t="shared" ca="1" si="9"/>
        <v>4375.95</v>
      </c>
      <c r="E1180" s="17"/>
      <c r="F1180" s="17"/>
    </row>
    <row r="1181" spans="1:6" ht="12.75" x14ac:dyDescent="0.2">
      <c r="A1181" s="13">
        <f ca="1">IFERROR(__xludf.DUMMYFUNCTION("""COMPUTED_VALUE"""),45574.6458333333)</f>
        <v>45574.645833333299</v>
      </c>
      <c r="B1181" s="14">
        <f ca="1">IFERROR(__xludf.DUMMYFUNCTION("""COMPUTED_VALUE"""),4252.95)</f>
        <v>4252.95</v>
      </c>
      <c r="C1181" s="15">
        <f t="shared" ca="1" si="8"/>
        <v>-7.0534297302082827E-5</v>
      </c>
      <c r="D1181" s="14">
        <f t="shared" ca="1" si="9"/>
        <v>4373.3870000000006</v>
      </c>
      <c r="E1181" s="17"/>
      <c r="F1181" s="17"/>
    </row>
    <row r="1182" spans="1:6" ht="12.75" x14ac:dyDescent="0.2">
      <c r="A1182" s="13">
        <f ca="1">IFERROR(__xludf.DUMMYFUNCTION("""COMPUTED_VALUE"""),45575.6458333333)</f>
        <v>45575.645833333299</v>
      </c>
      <c r="B1182" s="14">
        <f ca="1">IFERROR(__xludf.DUMMYFUNCTION("""COMPUTED_VALUE"""),4227.4)</f>
        <v>4227.3999999999996</v>
      </c>
      <c r="C1182" s="15">
        <f t="shared" ca="1" si="8"/>
        <v>-6.0075947283650954E-3</v>
      </c>
      <c r="D1182" s="14">
        <f t="shared" ca="1" si="9"/>
        <v>4370.6280000000006</v>
      </c>
      <c r="E1182" s="17"/>
      <c r="F1182" s="17"/>
    </row>
    <row r="1183" spans="1:6" ht="12.75" x14ac:dyDescent="0.2">
      <c r="A1183" s="13">
        <f ca="1">IFERROR(__xludf.DUMMYFUNCTION("""COMPUTED_VALUE"""),45576.6458333333)</f>
        <v>45576.645833333299</v>
      </c>
      <c r="B1183" s="14">
        <f ca="1">IFERROR(__xludf.DUMMYFUNCTION("""COMPUTED_VALUE"""),4149.2)</f>
        <v>4149.2</v>
      </c>
      <c r="C1183" s="15">
        <f t="shared" ca="1" si="8"/>
        <v>-1.8498367791077164E-2</v>
      </c>
      <c r="D1183" s="14">
        <f t="shared" ca="1" si="9"/>
        <v>4365.9050000000007</v>
      </c>
      <c r="E1183" s="17"/>
      <c r="F1183" s="17"/>
    </row>
    <row r="1184" spans="1:6" ht="12.75" x14ac:dyDescent="0.2">
      <c r="A1184" s="13">
        <f ca="1">IFERROR(__xludf.DUMMYFUNCTION("""COMPUTED_VALUE"""),45579.6458333333)</f>
        <v>45579.645833333299</v>
      </c>
      <c r="B1184" s="14">
        <f ca="1">IFERROR(__xludf.DUMMYFUNCTION("""COMPUTED_VALUE"""),4136.65)</f>
        <v>4136.6499999999996</v>
      </c>
      <c r="C1184" s="15">
        <f t="shared" ca="1" si="8"/>
        <v>-3.024679456280821E-3</v>
      </c>
      <c r="D1184" s="14">
        <f t="shared" ca="1" si="9"/>
        <v>4360.6959999999999</v>
      </c>
      <c r="E1184" s="17"/>
      <c r="F1184" s="17"/>
    </row>
    <row r="1185" spans="1:6" ht="12.75" x14ac:dyDescent="0.2">
      <c r="A1185" s="13">
        <f ca="1">IFERROR(__xludf.DUMMYFUNCTION("""COMPUTED_VALUE"""),45580.6458333333)</f>
        <v>45580.645833333299</v>
      </c>
      <c r="B1185" s="14">
        <f ca="1">IFERROR(__xludf.DUMMYFUNCTION("""COMPUTED_VALUE"""),4116.8)</f>
        <v>4116.8</v>
      </c>
      <c r="C1185" s="15">
        <f t="shared" ca="1" si="8"/>
        <v>-4.798568890285515E-3</v>
      </c>
      <c r="D1185" s="14">
        <f t="shared" ca="1" si="9"/>
        <v>4357.3710000000001</v>
      </c>
      <c r="E1185" s="17"/>
      <c r="F1185" s="17"/>
    </row>
    <row r="1186" spans="1:6" ht="12.75" x14ac:dyDescent="0.2">
      <c r="A1186" s="13">
        <f ca="1">IFERROR(__xludf.DUMMYFUNCTION("""COMPUTED_VALUE"""),45581.6458333333)</f>
        <v>45581.645833333299</v>
      </c>
      <c r="B1186" s="14">
        <f ca="1">IFERROR(__xludf.DUMMYFUNCTION("""COMPUTED_VALUE"""),4094.95)</f>
        <v>4094.95</v>
      </c>
      <c r="C1186" s="15">
        <f t="shared" ca="1" si="8"/>
        <v>-5.3075204041975743E-3</v>
      </c>
      <c r="D1186" s="14">
        <f t="shared" ca="1" si="9"/>
        <v>4356.1689999999999</v>
      </c>
      <c r="E1186" s="17"/>
      <c r="F1186" s="17"/>
    </row>
    <row r="1187" spans="1:6" ht="12.75" x14ac:dyDescent="0.2">
      <c r="A1187" s="13">
        <f ca="1">IFERROR(__xludf.DUMMYFUNCTION("""COMPUTED_VALUE"""),45582.6458333333)</f>
        <v>45582.645833333299</v>
      </c>
      <c r="B1187" s="14">
        <f ca="1">IFERROR(__xludf.DUMMYFUNCTION("""COMPUTED_VALUE"""),4109)</f>
        <v>4109</v>
      </c>
      <c r="C1187" s="15">
        <f t="shared" ca="1" si="8"/>
        <v>3.4310553242409281E-3</v>
      </c>
      <c r="D1187" s="14">
        <f t="shared" ca="1" si="9"/>
        <v>4354.9250000000002</v>
      </c>
      <c r="E1187" s="17"/>
      <c r="F1187" s="17"/>
    </row>
    <row r="1188" spans="1:6" ht="12.75" x14ac:dyDescent="0.2">
      <c r="A1188" s="13">
        <f ca="1">IFERROR(__xludf.DUMMYFUNCTION("""COMPUTED_VALUE"""),45583.6458333333)</f>
        <v>45583.645833333299</v>
      </c>
      <c r="B1188" s="14">
        <f ca="1">IFERROR(__xludf.DUMMYFUNCTION("""COMPUTED_VALUE"""),4123.05)</f>
        <v>4123.05</v>
      </c>
      <c r="C1188" s="15">
        <f t="shared" ca="1" si="8"/>
        <v>3.4193234363593117E-3</v>
      </c>
      <c r="D1188" s="14">
        <f t="shared" ca="1" si="9"/>
        <v>4353.3770000000004</v>
      </c>
      <c r="E1188" s="17"/>
      <c r="F1188" s="17"/>
    </row>
    <row r="1189" spans="1:6" ht="12.75" x14ac:dyDescent="0.2">
      <c r="A1189" s="13">
        <f ca="1">IFERROR(__xludf.DUMMYFUNCTION("""COMPUTED_VALUE"""),45586.6458333333)</f>
        <v>45586.645833333299</v>
      </c>
      <c r="B1189" s="14">
        <f ca="1">IFERROR(__xludf.DUMMYFUNCTION("""COMPUTED_VALUE"""),4079.85)</f>
        <v>4079.85</v>
      </c>
      <c r="C1189" s="15">
        <f t="shared" ca="1" si="8"/>
        <v>-1.0477680357987462E-2</v>
      </c>
      <c r="D1189" s="14">
        <f t="shared" ca="1" si="9"/>
        <v>4351.5230000000001</v>
      </c>
      <c r="E1189" s="17"/>
      <c r="F1189" s="17"/>
    </row>
    <row r="1190" spans="1:6" ht="12.75" x14ac:dyDescent="0.2">
      <c r="A1190" s="13">
        <f ca="1">IFERROR(__xludf.DUMMYFUNCTION("""COMPUTED_VALUE"""),45587.6458333333)</f>
        <v>45587.645833333299</v>
      </c>
      <c r="B1190" s="14">
        <f ca="1">IFERROR(__xludf.DUMMYFUNCTION("""COMPUTED_VALUE"""),4015.5)</f>
        <v>4015.5</v>
      </c>
      <c r="C1190" s="15">
        <f t="shared" ca="1" si="8"/>
        <v>-1.5772638699952157E-2</v>
      </c>
      <c r="D1190" s="14">
        <f t="shared" ca="1" si="9"/>
        <v>4347.2579999999998</v>
      </c>
      <c r="E1190" s="17"/>
      <c r="F1190" s="17"/>
    </row>
    <row r="1191" spans="1:6" ht="12.75" x14ac:dyDescent="0.2">
      <c r="A1191" s="13">
        <f ca="1">IFERROR(__xludf.DUMMYFUNCTION("""COMPUTED_VALUE"""),45588.6458333333)</f>
        <v>45588.645833333299</v>
      </c>
      <c r="B1191" s="14">
        <f ca="1">IFERROR(__xludf.DUMMYFUNCTION("""COMPUTED_VALUE"""),4066.25)</f>
        <v>4066.25</v>
      </c>
      <c r="C1191" s="15">
        <f t="shared" ca="1" si="8"/>
        <v>1.2638525712862725E-2</v>
      </c>
      <c r="D1191" s="14">
        <f t="shared" ca="1" si="9"/>
        <v>4344.67</v>
      </c>
      <c r="E1191" s="17"/>
      <c r="F1191" s="17"/>
    </row>
    <row r="1192" spans="1:6" ht="12.75" x14ac:dyDescent="0.2">
      <c r="A1192" s="13">
        <f ca="1">IFERROR(__xludf.DUMMYFUNCTION("""COMPUTED_VALUE"""),45589.6458333333)</f>
        <v>45589.645833333299</v>
      </c>
      <c r="B1192" s="14">
        <f ca="1">IFERROR(__xludf.DUMMYFUNCTION("""COMPUTED_VALUE"""),4047.9)</f>
        <v>4047.9</v>
      </c>
      <c r="C1192" s="15">
        <f t="shared" ca="1" si="8"/>
        <v>-4.5127574546571791E-3</v>
      </c>
      <c r="D1192" s="14">
        <f t="shared" ca="1" si="9"/>
        <v>4341.6890000000003</v>
      </c>
      <c r="E1192" s="17"/>
      <c r="F1192" s="17"/>
    </row>
    <row r="1193" spans="1:6" ht="12.75" x14ac:dyDescent="0.2">
      <c r="A1193" s="13">
        <f ca="1">IFERROR(__xludf.DUMMYFUNCTION("""COMPUTED_VALUE"""),45590.6458333333)</f>
        <v>45590.645833333299</v>
      </c>
      <c r="B1193" s="14">
        <f ca="1">IFERROR(__xludf.DUMMYFUNCTION("""COMPUTED_VALUE"""),4057.55)</f>
        <v>4057.55</v>
      </c>
      <c r="C1193" s="15">
        <f t="shared" ca="1" si="8"/>
        <v>2.3839521727315738E-3</v>
      </c>
      <c r="D1193" s="14">
        <f t="shared" ca="1" si="9"/>
        <v>4336.9350000000004</v>
      </c>
      <c r="E1193" s="17"/>
      <c r="F1193" s="17"/>
    </row>
    <row r="1194" spans="1:6" ht="12.75" x14ac:dyDescent="0.2">
      <c r="A1194" s="13">
        <f ca="1">IFERROR(__xludf.DUMMYFUNCTION("""COMPUTED_VALUE"""),45593.6458333333)</f>
        <v>45593.645833333299</v>
      </c>
      <c r="B1194" s="14">
        <f ca="1">IFERROR(__xludf.DUMMYFUNCTION("""COMPUTED_VALUE"""),4090.85)</f>
        <v>4090.85</v>
      </c>
      <c r="C1194" s="15">
        <f t="shared" ca="1" si="8"/>
        <v>8.2069228968220109E-3</v>
      </c>
      <c r="D1194" s="14">
        <f t="shared" ca="1" si="9"/>
        <v>4330.4309999999996</v>
      </c>
      <c r="E1194" s="17"/>
      <c r="F1194" s="17"/>
    </row>
    <row r="1195" spans="1:6" ht="12.75" x14ac:dyDescent="0.2">
      <c r="A1195" s="13">
        <f ca="1">IFERROR(__xludf.DUMMYFUNCTION("""COMPUTED_VALUE"""),45594.6458333333)</f>
        <v>45594.645833333299</v>
      </c>
      <c r="B1195" s="14">
        <f ca="1">IFERROR(__xludf.DUMMYFUNCTION("""COMPUTED_VALUE"""),4075.25)</f>
        <v>4075.25</v>
      </c>
      <c r="C1195" s="15">
        <f t="shared" ca="1" si="8"/>
        <v>-3.8133884156104081E-3</v>
      </c>
      <c r="D1195" s="14">
        <f t="shared" ca="1" si="9"/>
        <v>4322.1359999999995</v>
      </c>
      <c r="E1195" s="17"/>
      <c r="F1195" s="17"/>
    </row>
    <row r="1196" spans="1:6" ht="12.75" x14ac:dyDescent="0.2">
      <c r="A1196" s="13">
        <f ca="1">IFERROR(__xludf.DUMMYFUNCTION("""COMPUTED_VALUE"""),45595.6458333333)</f>
        <v>45595.645833333299</v>
      </c>
      <c r="B1196" s="14">
        <f ca="1">IFERROR(__xludf.DUMMYFUNCTION("""COMPUTED_VALUE"""),4084.65)</f>
        <v>4084.65</v>
      </c>
      <c r="C1196" s="15">
        <f t="shared" ca="1" si="8"/>
        <v>2.306606956628432E-3</v>
      </c>
      <c r="D1196" s="14">
        <f t="shared" ca="1" si="9"/>
        <v>4313.3630000000003</v>
      </c>
      <c r="E1196" s="17"/>
      <c r="F1196" s="17"/>
    </row>
    <row r="1197" spans="1:6" ht="12.75" x14ac:dyDescent="0.2">
      <c r="A1197" s="13">
        <f ca="1">IFERROR(__xludf.DUMMYFUNCTION("""COMPUTED_VALUE"""),45596.6458333333)</f>
        <v>45596.645833333299</v>
      </c>
      <c r="B1197" s="14">
        <f ca="1">IFERROR(__xludf.DUMMYFUNCTION("""COMPUTED_VALUE"""),3968.45)</f>
        <v>3968.45</v>
      </c>
      <c r="C1197" s="15">
        <f t="shared" ca="1" si="8"/>
        <v>-2.8447969838297116E-2</v>
      </c>
      <c r="D1197" s="14">
        <f t="shared" ca="1" si="9"/>
        <v>4301.7019999999993</v>
      </c>
      <c r="E1197" s="17"/>
      <c r="F1197" s="17"/>
    </row>
    <row r="1198" spans="1:6" ht="12.75" x14ac:dyDescent="0.2">
      <c r="A1198" s="13">
        <f ca="1">IFERROR(__xludf.DUMMYFUNCTION("""COMPUTED_VALUE"""),45600.6458333333)</f>
        <v>45600.645833333299</v>
      </c>
      <c r="B1198" s="14">
        <f ca="1">IFERROR(__xludf.DUMMYFUNCTION("""COMPUTED_VALUE"""),3964.15)</f>
        <v>3964.15</v>
      </c>
      <c r="C1198" s="15">
        <f t="shared" ca="1" si="8"/>
        <v>-1.0835464728041755E-3</v>
      </c>
      <c r="D1198" s="14">
        <f t="shared" ca="1" si="9"/>
        <v>4290.9449999999997</v>
      </c>
      <c r="E1198" s="17"/>
      <c r="F1198" s="17"/>
    </row>
    <row r="1199" spans="1:6" ht="12.75" x14ac:dyDescent="0.2">
      <c r="A1199" s="13">
        <f ca="1">IFERROR(__xludf.DUMMYFUNCTION("""COMPUTED_VALUE"""),45601.6458333333)</f>
        <v>45601.645833333299</v>
      </c>
      <c r="B1199" s="14">
        <f ca="1">IFERROR(__xludf.DUMMYFUNCTION("""COMPUTED_VALUE"""),3971.35)</f>
        <v>3971.35</v>
      </c>
      <c r="C1199" s="15">
        <f t="shared" ca="1" si="8"/>
        <v>1.816278395116111E-3</v>
      </c>
      <c r="D1199" s="14">
        <f t="shared" ca="1" si="9"/>
        <v>4281.0939999999991</v>
      </c>
      <c r="E1199" s="17"/>
      <c r="F1199" s="17"/>
    </row>
    <row r="1200" spans="1:6" ht="12.75" x14ac:dyDescent="0.2">
      <c r="A1200" s="13">
        <f ca="1">IFERROR(__xludf.DUMMYFUNCTION("""COMPUTED_VALUE"""),45602.6458333333)</f>
        <v>45602.645833333299</v>
      </c>
      <c r="B1200" s="14">
        <f ca="1">IFERROR(__xludf.DUMMYFUNCTION("""COMPUTED_VALUE"""),4139.65)</f>
        <v>4139.6499999999996</v>
      </c>
      <c r="C1200" s="15">
        <f t="shared" ca="1" si="8"/>
        <v>4.2378536266005185E-2</v>
      </c>
      <c r="D1200" s="14">
        <f t="shared" ca="1" si="9"/>
        <v>4273.8379999999997</v>
      </c>
      <c r="E1200" s="17"/>
      <c r="F1200" s="17"/>
    </row>
    <row r="1201" spans="1:6" ht="12.75" x14ac:dyDescent="0.2">
      <c r="A1201" s="13">
        <f ca="1">IFERROR(__xludf.DUMMYFUNCTION("""COMPUTED_VALUE"""),45603.6458333333)</f>
        <v>45603.645833333299</v>
      </c>
      <c r="B1201" s="14">
        <f ca="1">IFERROR(__xludf.DUMMYFUNCTION("""COMPUTED_VALUE"""),4150.9)</f>
        <v>4150.8999999999996</v>
      </c>
      <c r="C1201" s="15">
        <f t="shared" ca="1" si="8"/>
        <v>2.7176210549200164E-3</v>
      </c>
      <c r="D1201" s="14">
        <f t="shared" ca="1" si="9"/>
        <v>4266.9129999999996</v>
      </c>
      <c r="E1201" s="17"/>
      <c r="F1201" s="17"/>
    </row>
    <row r="1202" spans="1:6" ht="12.75" x14ac:dyDescent="0.2">
      <c r="A1202" s="13">
        <f ca="1">IFERROR(__xludf.DUMMYFUNCTION("""COMPUTED_VALUE"""),45604.6458333333)</f>
        <v>45604.645833333299</v>
      </c>
      <c r="B1202" s="14">
        <f ca="1">IFERROR(__xludf.DUMMYFUNCTION("""COMPUTED_VALUE"""),4147)</f>
        <v>4147</v>
      </c>
      <c r="C1202" s="15">
        <f t="shared" ca="1" si="8"/>
        <v>-9.3955527716871323E-4</v>
      </c>
      <c r="D1202" s="14">
        <f t="shared" ca="1" si="9"/>
        <v>4259.7319999999991</v>
      </c>
      <c r="E1202" s="17"/>
      <c r="F1202" s="17"/>
    </row>
    <row r="1203" spans="1:6" ht="12.75" x14ac:dyDescent="0.2">
      <c r="A1203" s="13">
        <f ca="1">IFERROR(__xludf.DUMMYFUNCTION("""COMPUTED_VALUE"""),45607.6458333333)</f>
        <v>45607.645833333299</v>
      </c>
      <c r="B1203" s="14">
        <f ca="1">IFERROR(__xludf.DUMMYFUNCTION("""COMPUTED_VALUE"""),4198.7)</f>
        <v>4198.7</v>
      </c>
      <c r="C1203" s="15">
        <f t="shared" ca="1" si="8"/>
        <v>1.2466843501326208E-2</v>
      </c>
      <c r="D1203" s="14">
        <f t="shared" ca="1" si="9"/>
        <v>4253.4699999999993</v>
      </c>
      <c r="E1203" s="17"/>
      <c r="F1203" s="17"/>
    </row>
    <row r="1204" spans="1:6" ht="12.75" x14ac:dyDescent="0.2">
      <c r="A1204" s="13">
        <f ca="1">IFERROR(__xludf.DUMMYFUNCTION("""COMPUTED_VALUE"""),45608.6458333333)</f>
        <v>45608.645833333299</v>
      </c>
      <c r="B1204" s="14">
        <f ca="1">IFERROR(__xludf.DUMMYFUNCTION("""COMPUTED_VALUE"""),4197.4)</f>
        <v>4197.3999999999996</v>
      </c>
      <c r="C1204" s="15">
        <f t="shared" ca="1" si="8"/>
        <v>-3.0961964417564047E-4</v>
      </c>
      <c r="D1204" s="14">
        <f t="shared" ca="1" si="9"/>
        <v>4246.3429999999989</v>
      </c>
      <c r="E1204" s="17"/>
      <c r="F1204" s="17"/>
    </row>
    <row r="1205" spans="1:6" ht="12.75" x14ac:dyDescent="0.2">
      <c r="A1205" s="13">
        <f ca="1">IFERROR(__xludf.DUMMYFUNCTION("""COMPUTED_VALUE"""),45609.6458333333)</f>
        <v>45609.645833333299</v>
      </c>
      <c r="B1205" s="14">
        <f ca="1">IFERROR(__xludf.DUMMYFUNCTION("""COMPUTED_VALUE"""),4150.35)</f>
        <v>4150.3500000000004</v>
      </c>
      <c r="C1205" s="15">
        <f t="shared" ca="1" si="8"/>
        <v>-1.1209320055272087E-2</v>
      </c>
      <c r="D1205" s="14">
        <f t="shared" ca="1" si="9"/>
        <v>4238.9290000000001</v>
      </c>
      <c r="E1205" s="17"/>
      <c r="F1205" s="17"/>
    </row>
    <row r="1206" spans="1:6" ht="12.75" x14ac:dyDescent="0.2">
      <c r="A1206" s="13">
        <f ca="1">IFERROR(__xludf.DUMMYFUNCTION("""COMPUTED_VALUE"""),45610.6458333333)</f>
        <v>45610.645833333299</v>
      </c>
      <c r="B1206" s="14">
        <f ca="1">IFERROR(__xludf.DUMMYFUNCTION("""COMPUTED_VALUE"""),4145.9)</f>
        <v>4145.8999999999996</v>
      </c>
      <c r="C1206" s="15">
        <f t="shared" ca="1" si="8"/>
        <v>-1.0721987302277913E-3</v>
      </c>
      <c r="D1206" s="14">
        <f t="shared" ca="1" si="9"/>
        <v>4231.5999999999995</v>
      </c>
      <c r="E1206" s="17"/>
      <c r="F1206" s="17"/>
    </row>
    <row r="1207" spans="1:6" ht="12.75" x14ac:dyDescent="0.2">
      <c r="A1207" s="13">
        <f ca="1">IFERROR(__xludf.DUMMYFUNCTION("""COMPUTED_VALUE"""),45614.6458333333)</f>
        <v>45614.645833333299</v>
      </c>
      <c r="B1207" s="14">
        <f ca="1">IFERROR(__xludf.DUMMYFUNCTION("""COMPUTED_VALUE"""),4019.5)</f>
        <v>4019.5</v>
      </c>
      <c r="C1207" s="15">
        <f t="shared" ca="1" si="8"/>
        <v>-3.0487951952531289E-2</v>
      </c>
      <c r="D1207" s="14">
        <f t="shared" ca="1" si="9"/>
        <v>4222.4049999999997</v>
      </c>
      <c r="E1207" s="17"/>
      <c r="F1207" s="17"/>
    </row>
    <row r="1208" spans="1:6" ht="12.75" x14ac:dyDescent="0.2">
      <c r="A1208" s="13">
        <f ca="1">IFERROR(__xludf.DUMMYFUNCTION("""COMPUTED_VALUE"""),45615.6458333333)</f>
        <v>45615.645833333299</v>
      </c>
      <c r="B1208" s="14">
        <f ca="1">IFERROR(__xludf.DUMMYFUNCTION("""COMPUTED_VALUE"""),4039.55)</f>
        <v>4039.55</v>
      </c>
      <c r="C1208" s="15">
        <f t="shared" ca="1" si="8"/>
        <v>4.9881826097772919E-3</v>
      </c>
      <c r="D1208" s="14">
        <f t="shared" ca="1" si="9"/>
        <v>4213.6769999999997</v>
      </c>
      <c r="E1208" s="17"/>
      <c r="F1208" s="17"/>
    </row>
    <row r="1209" spans="1:6" ht="12.75" x14ac:dyDescent="0.2">
      <c r="A1209" s="13">
        <f ca="1">IFERROR(__xludf.DUMMYFUNCTION("""COMPUTED_VALUE"""),45617.6458333333)</f>
        <v>45617.645833333299</v>
      </c>
      <c r="B1209" s="14">
        <f ca="1">IFERROR(__xludf.DUMMYFUNCTION("""COMPUTED_VALUE"""),4072.85)</f>
        <v>4072.85</v>
      </c>
      <c r="C1209" s="15">
        <f t="shared" ca="1" si="8"/>
        <v>8.2434924682204258E-3</v>
      </c>
      <c r="D1209" s="14">
        <f t="shared" ca="1" si="9"/>
        <v>4205.9989999999998</v>
      </c>
      <c r="E1209" s="17"/>
      <c r="F1209" s="17"/>
    </row>
    <row r="1210" spans="1:6" ht="12.75" x14ac:dyDescent="0.2">
      <c r="A1210" s="13">
        <f ca="1">IFERROR(__xludf.DUMMYFUNCTION("""COMPUTED_VALUE"""),45618.6458333333)</f>
        <v>45618.645833333299</v>
      </c>
      <c r="B1210" s="14">
        <f ca="1">IFERROR(__xludf.DUMMYFUNCTION("""COMPUTED_VALUE"""),4244.6)</f>
        <v>4244.6000000000004</v>
      </c>
      <c r="C1210" s="15">
        <f t="shared" ca="1" si="8"/>
        <v>4.2169488196226235E-2</v>
      </c>
      <c r="D1210" s="14">
        <f t="shared" ca="1" si="9"/>
        <v>4201.8999999999996</v>
      </c>
      <c r="E1210" s="17"/>
      <c r="F1210" s="17"/>
    </row>
    <row r="1211" spans="1:6" ht="12.75" x14ac:dyDescent="0.2">
      <c r="A1211" s="13">
        <f ca="1">IFERROR(__xludf.DUMMYFUNCTION("""COMPUTED_VALUE"""),45621.6458333333)</f>
        <v>45621.645833333299</v>
      </c>
      <c r="B1211" s="14">
        <f ca="1">IFERROR(__xludf.DUMMYFUNCTION("""COMPUTED_VALUE"""),4315.1)</f>
        <v>4315.1000000000004</v>
      </c>
      <c r="C1211" s="15">
        <f t="shared" ca="1" si="8"/>
        <v>1.6609338924751471E-2</v>
      </c>
      <c r="D1211" s="14">
        <f t="shared" ca="1" si="9"/>
        <v>4198.0450000000001</v>
      </c>
      <c r="E1211" s="17"/>
      <c r="F1211" s="17"/>
    </row>
    <row r="1212" spans="1:6" ht="12.75" x14ac:dyDescent="0.2">
      <c r="A1212" s="13">
        <f ca="1">IFERROR(__xludf.DUMMYFUNCTION("""COMPUTED_VALUE"""),45622.6458333333)</f>
        <v>45622.645833333299</v>
      </c>
      <c r="B1212" s="14">
        <f ca="1">IFERROR(__xludf.DUMMYFUNCTION("""COMPUTED_VALUE"""),4352.7)</f>
        <v>4352.7</v>
      </c>
      <c r="C1212" s="15">
        <f t="shared" ca="1" si="8"/>
        <v>8.7135871706331969E-3</v>
      </c>
      <c r="D1212" s="14">
        <f t="shared" ca="1" si="9"/>
        <v>4195.5119999999997</v>
      </c>
      <c r="E1212" s="17"/>
      <c r="F1212" s="17"/>
    </row>
    <row r="1213" spans="1:6" ht="12.75" x14ac:dyDescent="0.2">
      <c r="A1213" s="13">
        <f ca="1">IFERROR(__xludf.DUMMYFUNCTION("""COMPUTED_VALUE"""),45623.6458333333)</f>
        <v>45623.645833333299</v>
      </c>
      <c r="B1213" s="14">
        <f ca="1">IFERROR(__xludf.DUMMYFUNCTION("""COMPUTED_VALUE"""),4332.55)</f>
        <v>4332.55</v>
      </c>
      <c r="C1213" s="15">
        <f t="shared" ca="1" si="8"/>
        <v>-4.6293105428812931E-3</v>
      </c>
      <c r="D1213" s="14">
        <f t="shared" ca="1" si="9"/>
        <v>4191.8090000000002</v>
      </c>
      <c r="E1213" s="17"/>
      <c r="F1213" s="17"/>
    </row>
    <row r="1214" spans="1:6" ht="12.75" x14ac:dyDescent="0.2">
      <c r="A1214" s="13">
        <f ca="1">IFERROR(__xludf.DUMMYFUNCTION("""COMPUTED_VALUE"""),45624.6458333333)</f>
        <v>45624.645833333299</v>
      </c>
      <c r="B1214" s="14">
        <f ca="1">IFERROR(__xludf.DUMMYFUNCTION("""COMPUTED_VALUE"""),4244.9)</f>
        <v>4244.8999999999996</v>
      </c>
      <c r="C1214" s="15">
        <f t="shared" ca="1" si="8"/>
        <v>-2.0230580143333676E-2</v>
      </c>
      <c r="D1214" s="14">
        <f t="shared" ca="1" si="9"/>
        <v>4186.2550000000001</v>
      </c>
      <c r="E1214" s="17"/>
      <c r="F1214" s="17"/>
    </row>
    <row r="1215" spans="1:6" ht="12.75" x14ac:dyDescent="0.2">
      <c r="A1215" s="13">
        <f ca="1">IFERROR(__xludf.DUMMYFUNCTION("""COMPUTED_VALUE"""),45625.6458333333)</f>
        <v>45625.645833333299</v>
      </c>
      <c r="B1215" s="14">
        <f ca="1">IFERROR(__xludf.DUMMYFUNCTION("""COMPUTED_VALUE"""),4270.85)</f>
        <v>4270.8500000000004</v>
      </c>
      <c r="C1215" s="15">
        <f t="shared" ca="1" si="8"/>
        <v>6.1132182147991543E-3</v>
      </c>
      <c r="D1215" s="14">
        <f t="shared" ca="1" si="9"/>
        <v>4181.4069999999992</v>
      </c>
      <c r="E1215" s="17"/>
      <c r="F1215" s="17"/>
    </row>
    <row r="1216" spans="1:6" ht="12.75" x14ac:dyDescent="0.2">
      <c r="A1216" s="13">
        <f ca="1">IFERROR(__xludf.DUMMYFUNCTION("""COMPUTED_VALUE"""),45628.6458333333)</f>
        <v>45628.645833333299</v>
      </c>
      <c r="B1216" s="14">
        <f ca="1">IFERROR(__xludf.DUMMYFUNCTION("""COMPUTED_VALUE"""),4276.65)</f>
        <v>4276.6499999999996</v>
      </c>
      <c r="C1216" s="15">
        <f t="shared" ca="1" si="8"/>
        <v>1.3580434808058151E-3</v>
      </c>
      <c r="D1216" s="14">
        <f t="shared" ca="1" si="9"/>
        <v>4176.8269999999993</v>
      </c>
      <c r="E1216" s="17"/>
      <c r="F1216" s="17"/>
    </row>
    <row r="1217" spans="1:6" ht="12.75" x14ac:dyDescent="0.2">
      <c r="A1217" s="13">
        <f ca="1">IFERROR(__xludf.DUMMYFUNCTION("""COMPUTED_VALUE"""),45629.6458333333)</f>
        <v>45629.645833333299</v>
      </c>
      <c r="B1217" s="14">
        <f ca="1">IFERROR(__xludf.DUMMYFUNCTION("""COMPUTED_VALUE"""),4302.75)</f>
        <v>4302.75</v>
      </c>
      <c r="C1217" s="15">
        <f t="shared" ca="1" si="8"/>
        <v>6.1029076496792456E-3</v>
      </c>
      <c r="D1217" s="14">
        <f t="shared" ca="1" si="9"/>
        <v>4175.9589999999998</v>
      </c>
      <c r="E1217" s="17"/>
      <c r="F1217" s="17"/>
    </row>
    <row r="1218" spans="1:6" ht="12.75" x14ac:dyDescent="0.2">
      <c r="A1218" s="13">
        <f ca="1">IFERROR(__xludf.DUMMYFUNCTION("""COMPUTED_VALUE"""),45630.6458333333)</f>
        <v>45630.645833333299</v>
      </c>
      <c r="B1218" s="14">
        <f ca="1">IFERROR(__xludf.DUMMYFUNCTION("""COMPUTED_VALUE"""),4354.4)</f>
        <v>4354.3999999999996</v>
      </c>
      <c r="C1218" s="15">
        <f t="shared" ca="1" si="8"/>
        <v>1.2003950961594345E-2</v>
      </c>
      <c r="D1218" s="14">
        <f t="shared" ca="1" si="9"/>
        <v>4177.1239999999998</v>
      </c>
      <c r="E1218" s="17"/>
      <c r="F1218" s="17"/>
    </row>
    <row r="1219" spans="1:6" ht="12.75" x14ac:dyDescent="0.2">
      <c r="A1219" s="13">
        <f ca="1">IFERROR(__xludf.DUMMYFUNCTION("""COMPUTED_VALUE"""),45631.6458333333)</f>
        <v>45631.645833333299</v>
      </c>
      <c r="B1219" s="14">
        <f ca="1">IFERROR(__xludf.DUMMYFUNCTION("""COMPUTED_VALUE"""),4464.05)</f>
        <v>4464.05</v>
      </c>
      <c r="C1219" s="15">
        <f t="shared" ca="1" si="8"/>
        <v>2.5181425684365433E-2</v>
      </c>
      <c r="D1219" s="14">
        <f t="shared" ca="1" si="9"/>
        <v>4180.7069999999994</v>
      </c>
      <c r="E1219" s="17"/>
      <c r="F1219" s="17"/>
    </row>
    <row r="1220" spans="1:6" ht="12.75" x14ac:dyDescent="0.2">
      <c r="A1220" s="13">
        <f ca="1">IFERROR(__xludf.DUMMYFUNCTION("""COMPUTED_VALUE"""),45632.6458333333)</f>
        <v>45632.645833333299</v>
      </c>
      <c r="B1220" s="14">
        <f ca="1">IFERROR(__xludf.DUMMYFUNCTION("""COMPUTED_VALUE"""),4445.5)</f>
        <v>4445.5</v>
      </c>
      <c r="C1220" s="15">
        <f t="shared" ca="1" si="8"/>
        <v>-4.1554194061447225E-3</v>
      </c>
      <c r="D1220" s="14">
        <f t="shared" ca="1" si="9"/>
        <v>4184.2469999999994</v>
      </c>
      <c r="E1220" s="17"/>
      <c r="F1220" s="17"/>
    </row>
    <row r="1221" spans="1:6" ht="12.75" x14ac:dyDescent="0.2">
      <c r="A1221" s="13">
        <f ca="1">IFERROR(__xludf.DUMMYFUNCTION("""COMPUTED_VALUE"""),45635.6458333333)</f>
        <v>45635.645833333299</v>
      </c>
      <c r="B1221" s="14">
        <f ca="1">IFERROR(__xludf.DUMMYFUNCTION("""COMPUTED_VALUE"""),4452.15)</f>
        <v>4452.1499999999996</v>
      </c>
      <c r="C1221" s="15">
        <f t="shared" ca="1" si="8"/>
        <v>1.4958947250027776E-3</v>
      </c>
      <c r="D1221" s="14">
        <f t="shared" ca="1" si="9"/>
        <v>4187.8639999999987</v>
      </c>
      <c r="E1221" s="17"/>
      <c r="F1221" s="17"/>
    </row>
    <row r="1222" spans="1:6" ht="12.75" x14ac:dyDescent="0.2">
      <c r="A1222" s="13">
        <f ca="1">IFERROR(__xludf.DUMMYFUNCTION("""COMPUTED_VALUE"""),45636.6458333333)</f>
        <v>45636.645833333299</v>
      </c>
      <c r="B1222" s="14">
        <f ca="1">IFERROR(__xludf.DUMMYFUNCTION("""COMPUTED_VALUE"""),4432.55)</f>
        <v>4432.55</v>
      </c>
      <c r="C1222" s="15">
        <f t="shared" ca="1" si="8"/>
        <v>-4.4023673955279063E-3</v>
      </c>
      <c r="D1222" s="14">
        <f t="shared" ca="1" si="9"/>
        <v>4191.0199999999986</v>
      </c>
      <c r="E1222" s="17"/>
      <c r="F1222" s="17"/>
    </row>
    <row r="1223" spans="1:6" ht="12.75" x14ac:dyDescent="0.2">
      <c r="A1223" s="13">
        <f ca="1">IFERROR(__xludf.DUMMYFUNCTION("""COMPUTED_VALUE"""),45637.6458333333)</f>
        <v>45637.645833333299</v>
      </c>
      <c r="B1223" s="14">
        <f ca="1">IFERROR(__xludf.DUMMYFUNCTION("""COMPUTED_VALUE"""),4427.45)</f>
        <v>4427.45</v>
      </c>
      <c r="C1223" s="15">
        <f t="shared" ca="1" si="8"/>
        <v>-1.1505792376849122E-3</v>
      </c>
      <c r="D1223" s="14">
        <f t="shared" ca="1" si="9"/>
        <v>4193.7189999999991</v>
      </c>
      <c r="E1223" s="17"/>
      <c r="F1223" s="17"/>
    </row>
    <row r="1224" spans="1:6" ht="12.75" x14ac:dyDescent="0.2">
      <c r="A1224" s="13">
        <f ca="1">IFERROR(__xludf.DUMMYFUNCTION("""COMPUTED_VALUE"""),45638.6458333333)</f>
        <v>45638.645833333299</v>
      </c>
      <c r="B1224" s="14">
        <f ca="1">IFERROR(__xludf.DUMMYFUNCTION("""COMPUTED_VALUE"""),4454.95)</f>
        <v>4454.95</v>
      </c>
      <c r="C1224" s="15">
        <f t="shared" ca="1" si="8"/>
        <v>6.2112502682130089E-3</v>
      </c>
      <c r="D1224" s="14">
        <f t="shared" ca="1" si="9"/>
        <v>4196.6439999999993</v>
      </c>
      <c r="E1224" s="17"/>
      <c r="F1224" s="17"/>
    </row>
    <row r="1225" spans="1:6" ht="12.75" x14ac:dyDescent="0.2">
      <c r="A1225" s="13">
        <f ca="1">IFERROR(__xludf.DUMMYFUNCTION("""COMPUTED_VALUE"""),45639.6458333333)</f>
        <v>45639.645833333299</v>
      </c>
      <c r="B1225" s="14">
        <f ca="1">IFERROR(__xludf.DUMMYFUNCTION("""COMPUTED_VALUE"""),4473.9)</f>
        <v>4473.8999999999996</v>
      </c>
      <c r="C1225" s="15">
        <f t="shared" ca="1" si="8"/>
        <v>4.2536953276692824E-3</v>
      </c>
      <c r="D1225" s="14">
        <f t="shared" ca="1" si="9"/>
        <v>4200.7519999999986</v>
      </c>
      <c r="E1225" s="17"/>
      <c r="F1225" s="17"/>
    </row>
    <row r="1226" spans="1:6" ht="12.75" x14ac:dyDescent="0.2">
      <c r="A1226" s="13">
        <f ca="1">IFERROR(__xludf.DUMMYFUNCTION("""COMPUTED_VALUE"""),45642.6458333333)</f>
        <v>45642.645833333299</v>
      </c>
      <c r="B1226" s="14">
        <f ca="1">IFERROR(__xludf.DUMMYFUNCTION("""COMPUTED_VALUE"""),4415.2)</f>
        <v>4415.2</v>
      </c>
      <c r="C1226" s="15">
        <f t="shared" ca="1" si="8"/>
        <v>-1.3120543597308743E-2</v>
      </c>
      <c r="D1226" s="14">
        <f t="shared" ca="1" si="9"/>
        <v>4203.2979999999989</v>
      </c>
      <c r="E1226" s="17"/>
      <c r="F1226" s="17"/>
    </row>
    <row r="1227" spans="1:6" ht="12.75" x14ac:dyDescent="0.2">
      <c r="A1227" s="13">
        <f ca="1">IFERROR(__xludf.DUMMYFUNCTION("""COMPUTED_VALUE"""),45643.6458333333)</f>
        <v>45643.645833333299</v>
      </c>
      <c r="B1227" s="14">
        <f ca="1">IFERROR(__xludf.DUMMYFUNCTION("""COMPUTED_VALUE"""),4328.5)</f>
        <v>4328.5</v>
      </c>
      <c r="C1227" s="15">
        <f t="shared" ca="1" si="8"/>
        <v>-1.9636709548831233E-2</v>
      </c>
      <c r="D1227" s="14">
        <f t="shared" ca="1" si="9"/>
        <v>4205.2129999999997</v>
      </c>
      <c r="E1227" s="17"/>
      <c r="F1227" s="17"/>
    </row>
    <row r="1228" spans="1:6" ht="12.75" x14ac:dyDescent="0.2">
      <c r="A1228" s="13">
        <f ca="1">IFERROR(__xludf.DUMMYFUNCTION("""COMPUTED_VALUE"""),45644.6458333333)</f>
        <v>45644.645833333299</v>
      </c>
      <c r="B1228" s="14">
        <f ca="1">IFERROR(__xludf.DUMMYFUNCTION("""COMPUTED_VALUE"""),4347.85)</f>
        <v>4347.8500000000004</v>
      </c>
      <c r="C1228" s="15">
        <f t="shared" ca="1" si="8"/>
        <v>4.47037079819812E-3</v>
      </c>
      <c r="D1228" s="14">
        <f t="shared" ca="1" si="9"/>
        <v>4207.1249999999991</v>
      </c>
      <c r="E1228" s="17"/>
      <c r="F1228" s="17"/>
    </row>
    <row r="1229" spans="1:6" ht="12.75" x14ac:dyDescent="0.2">
      <c r="A1229" s="13">
        <f ca="1">IFERROR(__xludf.DUMMYFUNCTION("""COMPUTED_VALUE"""),45645.6458333333)</f>
        <v>45645.645833333299</v>
      </c>
      <c r="B1229" s="14">
        <f ca="1">IFERROR(__xludf.DUMMYFUNCTION("""COMPUTED_VALUE"""),4271.9)</f>
        <v>4271.8999999999996</v>
      </c>
      <c r="C1229" s="15">
        <f t="shared" ca="1" si="8"/>
        <v>-1.7468403923778575E-2</v>
      </c>
      <c r="D1229" s="14">
        <f t="shared" ca="1" si="9"/>
        <v>4207.1059999999989</v>
      </c>
      <c r="E1229" s="17"/>
      <c r="F1229" s="17"/>
    </row>
    <row r="1230" spans="1:6" ht="12.75" x14ac:dyDescent="0.2">
      <c r="A1230" s="13">
        <f ca="1">IFERROR(__xludf.DUMMYFUNCTION("""COMPUTED_VALUE"""),45646.6458333333)</f>
        <v>45646.645833333299</v>
      </c>
      <c r="B1230" s="14">
        <f ca="1">IFERROR(__xludf.DUMMYFUNCTION("""COMPUTED_VALUE"""),4170.3)</f>
        <v>4170.3</v>
      </c>
      <c r="C1230" s="15">
        <f t="shared" ca="1" si="8"/>
        <v>-2.378332826142926E-2</v>
      </c>
      <c r="D1230" s="14">
        <f t="shared" ca="1" si="9"/>
        <v>4205.4469999999992</v>
      </c>
      <c r="E1230" s="17"/>
      <c r="F1230" s="17"/>
    </row>
    <row r="1231" spans="1:6" ht="12.75" x14ac:dyDescent="0.2">
      <c r="A1231" s="13">
        <f ca="1">IFERROR(__xludf.DUMMYFUNCTION("""COMPUTED_VALUE"""),45649.6458333333)</f>
        <v>45649.645833333299</v>
      </c>
      <c r="B1231" s="14">
        <f ca="1">IFERROR(__xludf.DUMMYFUNCTION("""COMPUTED_VALUE"""),4158.3)</f>
        <v>4158.3</v>
      </c>
      <c r="C1231" s="15">
        <f t="shared" ca="1" si="8"/>
        <v>-2.8774908279979305E-3</v>
      </c>
      <c r="D1231" s="14">
        <f t="shared" ca="1" si="9"/>
        <v>4203.5539999999992</v>
      </c>
      <c r="E1231" s="17"/>
      <c r="F1231" s="17"/>
    </row>
    <row r="1232" spans="1:6" ht="12.75" x14ac:dyDescent="0.2">
      <c r="A1232" s="13">
        <f ca="1">IFERROR(__xludf.DUMMYFUNCTION("""COMPUTED_VALUE"""),45650.6458333333)</f>
        <v>45650.645833333299</v>
      </c>
      <c r="B1232" s="14">
        <f ca="1">IFERROR(__xludf.DUMMYFUNCTION("""COMPUTED_VALUE"""),4179.5)</f>
        <v>4179.5</v>
      </c>
      <c r="C1232" s="15">
        <f t="shared" ca="1" si="8"/>
        <v>5.0982372604189141E-3</v>
      </c>
      <c r="D1232" s="14">
        <f t="shared" ca="1" si="9"/>
        <v>4202.5959999999995</v>
      </c>
      <c r="E1232" s="17"/>
      <c r="F1232" s="17"/>
    </row>
    <row r="1233" spans="1:6" ht="12.75" x14ac:dyDescent="0.2">
      <c r="A1233" s="13">
        <f ca="1">IFERROR(__xludf.DUMMYFUNCTION("""COMPUTED_VALUE"""),45652.6458333333)</f>
        <v>45652.645833333299</v>
      </c>
      <c r="B1233" s="14">
        <f ca="1">IFERROR(__xludf.DUMMYFUNCTION("""COMPUTED_VALUE"""),4169.1)</f>
        <v>4169.1000000000004</v>
      </c>
      <c r="C1233" s="15">
        <f t="shared" ca="1" si="8"/>
        <v>-2.488335925349805E-3</v>
      </c>
      <c r="D1233" s="14">
        <f t="shared" ca="1" si="9"/>
        <v>4202.9939999999988</v>
      </c>
      <c r="E1233" s="17"/>
      <c r="F1233" s="17"/>
    </row>
    <row r="1234" spans="1:6" ht="12.75" x14ac:dyDescent="0.2">
      <c r="A1234" s="13">
        <f ca="1">IFERROR(__xludf.DUMMYFUNCTION("""COMPUTED_VALUE"""),45653.6458333333)</f>
        <v>45653.645833333299</v>
      </c>
      <c r="B1234" s="14">
        <f ca="1">IFERROR(__xludf.DUMMYFUNCTION("""COMPUTED_VALUE"""),4164.85)</f>
        <v>4164.8500000000004</v>
      </c>
      <c r="C1234" s="15">
        <f t="shared" ca="1" si="8"/>
        <v>-1.0194046676740287E-3</v>
      </c>
      <c r="D1234" s="14">
        <f t="shared" ca="1" si="9"/>
        <v>4203.558</v>
      </c>
      <c r="E1234" s="17"/>
      <c r="F1234" s="17"/>
    </row>
    <row r="1235" spans="1:6" ht="12.75" x14ac:dyDescent="0.2">
      <c r="A1235" s="13">
        <f ca="1">IFERROR(__xludf.DUMMYFUNCTION("""COMPUTED_VALUE"""),45656.6458333333)</f>
        <v>45656.645833333299</v>
      </c>
      <c r="B1235" s="14">
        <f ca="1">IFERROR(__xludf.DUMMYFUNCTION("""COMPUTED_VALUE"""),4158.8)</f>
        <v>4158.8</v>
      </c>
      <c r="C1235" s="15">
        <f t="shared" ca="1" si="8"/>
        <v>-1.4526333481398312E-3</v>
      </c>
      <c r="D1235" s="14">
        <f t="shared" ca="1" si="9"/>
        <v>4204.3980000000001</v>
      </c>
      <c r="E1235" s="17"/>
      <c r="F1235" s="17"/>
    </row>
    <row r="1236" spans="1:6" ht="12.75" x14ac:dyDescent="0.2">
      <c r="A1236" s="13">
        <f ca="1">IFERROR(__xludf.DUMMYFUNCTION("""COMPUTED_VALUE"""),45657.6458333333)</f>
        <v>45657.645833333299</v>
      </c>
      <c r="B1236" s="14">
        <f ca="1">IFERROR(__xludf.DUMMYFUNCTION("""COMPUTED_VALUE"""),4094.8)</f>
        <v>4094.8</v>
      </c>
      <c r="C1236" s="15">
        <f t="shared" ca="1" si="8"/>
        <v>-1.5389054534961977E-2</v>
      </c>
      <c r="D1236" s="14">
        <f t="shared" ca="1" si="9"/>
        <v>4204.3949999999995</v>
      </c>
      <c r="E1236" s="17"/>
      <c r="F1236" s="17"/>
    </row>
    <row r="1237" spans="1:6" ht="12.75" x14ac:dyDescent="0.2">
      <c r="A1237" s="13">
        <f ca="1">IFERROR(__xludf.DUMMYFUNCTION("""COMPUTED_VALUE"""),45658.6458333333)</f>
        <v>45658.645833333299</v>
      </c>
      <c r="B1237" s="14">
        <f ca="1">IFERROR(__xludf.DUMMYFUNCTION("""COMPUTED_VALUE"""),4112.45)</f>
        <v>4112.45</v>
      </c>
      <c r="C1237" s="15">
        <f t="shared" ca="1" si="8"/>
        <v>4.3103448275860767E-3</v>
      </c>
      <c r="D1237" s="14">
        <f t="shared" ca="1" si="9"/>
        <v>4204.4639999999999</v>
      </c>
      <c r="E1237" s="17"/>
      <c r="F1237" s="17"/>
    </row>
    <row r="1238" spans="1:6" ht="12.75" x14ac:dyDescent="0.2">
      <c r="A1238" s="13">
        <f ca="1">IFERROR(__xludf.DUMMYFUNCTION("""COMPUTED_VALUE"""),45659.6458333333)</f>
        <v>45659.645833333299</v>
      </c>
      <c r="B1238" s="14">
        <f ca="1">IFERROR(__xludf.DUMMYFUNCTION("""COMPUTED_VALUE"""),4175.75)</f>
        <v>4175.75</v>
      </c>
      <c r="C1238" s="15">
        <f t="shared" ca="1" si="8"/>
        <v>1.5392284404673662E-2</v>
      </c>
      <c r="D1238" s="14">
        <f t="shared" ca="1" si="9"/>
        <v>4205.518</v>
      </c>
      <c r="E1238" s="17"/>
      <c r="F1238" s="17"/>
    </row>
    <row r="1239" spans="1:6" ht="12.75" x14ac:dyDescent="0.2">
      <c r="A1239" s="13">
        <f ca="1">IFERROR(__xludf.DUMMYFUNCTION("""COMPUTED_VALUE"""),45660.6458333333)</f>
        <v>45660.645833333299</v>
      </c>
      <c r="B1239" s="14">
        <f ca="1">IFERROR(__xludf.DUMMYFUNCTION("""COMPUTED_VALUE"""),4099.9)</f>
        <v>4099.8999999999996</v>
      </c>
      <c r="C1239" s="15">
        <f t="shared" ca="1" si="8"/>
        <v>-1.8164401604502278E-2</v>
      </c>
      <c r="D1239" s="14">
        <f t="shared" ca="1" si="9"/>
        <v>4205.9189999999999</v>
      </c>
      <c r="E1239" s="17"/>
      <c r="F1239" s="17"/>
    </row>
    <row r="1240" spans="1:6" ht="12.75" x14ac:dyDescent="0.2">
      <c r="A1240" s="13">
        <f ca="1">IFERROR(__xludf.DUMMYFUNCTION("""COMPUTED_VALUE"""),45663.6458333333)</f>
        <v>45663.645833333299</v>
      </c>
      <c r="B1240" s="14">
        <f ca="1">IFERROR(__xludf.DUMMYFUNCTION("""COMPUTED_VALUE"""),4095)</f>
        <v>4095</v>
      </c>
      <c r="C1240" s="15">
        <f t="shared" ca="1" si="8"/>
        <v>-1.195151101246239E-3</v>
      </c>
      <c r="D1240" s="14">
        <f t="shared" ca="1" si="9"/>
        <v>4207.509</v>
      </c>
      <c r="E1240" s="17"/>
      <c r="F1240" s="17"/>
    </row>
    <row r="1241" spans="1:6" ht="12.75" x14ac:dyDescent="0.2">
      <c r="A1241" s="13">
        <f ca="1">IFERROR(__xludf.DUMMYFUNCTION("""COMPUTED_VALUE"""),45664.6458333333)</f>
        <v>45664.645833333299</v>
      </c>
      <c r="B1241" s="14">
        <f ca="1">IFERROR(__xludf.DUMMYFUNCTION("""COMPUTED_VALUE"""),4028.3)</f>
        <v>4028.3</v>
      </c>
      <c r="C1241" s="15">
        <f t="shared" ca="1" si="8"/>
        <v>-1.6288156288156275E-2</v>
      </c>
      <c r="D1241" s="14">
        <f t="shared" ca="1" si="9"/>
        <v>4206.75</v>
      </c>
      <c r="E1241" s="17"/>
      <c r="F1241" s="17"/>
    </row>
    <row r="1242" spans="1:6" ht="12.75" x14ac:dyDescent="0.2">
      <c r="A1242" s="13">
        <f ca="1">IFERROR(__xludf.DUMMYFUNCTION("""COMPUTED_VALUE"""),45665.6458333333)</f>
        <v>45665.645833333299</v>
      </c>
      <c r="B1242" s="14">
        <f ca="1">IFERROR(__xludf.DUMMYFUNCTION("""COMPUTED_VALUE"""),4108.4)</f>
        <v>4108.3999999999996</v>
      </c>
      <c r="C1242" s="15">
        <f t="shared" ca="1" si="8"/>
        <v>1.9884318446987459E-2</v>
      </c>
      <c r="D1242" s="14">
        <f t="shared" ca="1" si="9"/>
        <v>4207.9599999999991</v>
      </c>
      <c r="E1242" s="17"/>
      <c r="F1242" s="17"/>
    </row>
    <row r="1243" spans="1:6" ht="12.75" x14ac:dyDescent="0.2">
      <c r="A1243" s="13">
        <f ca="1">IFERROR(__xludf.DUMMYFUNCTION("""COMPUTED_VALUE"""),45666.6458333333)</f>
        <v>45666.645833333299</v>
      </c>
      <c r="B1243" s="14">
        <f ca="1">IFERROR(__xludf.DUMMYFUNCTION("""COMPUTED_VALUE"""),4038.85)</f>
        <v>4038.85</v>
      </c>
      <c r="C1243" s="15">
        <f t="shared" ca="1" si="8"/>
        <v>-1.6928731379612483E-2</v>
      </c>
      <c r="D1243" s="14">
        <f t="shared" ca="1" si="9"/>
        <v>4207.5859999999993</v>
      </c>
      <c r="E1243" s="17"/>
      <c r="F1243" s="17"/>
    </row>
    <row r="1244" spans="1:6" ht="12.75" x14ac:dyDescent="0.2">
      <c r="A1244" s="13">
        <f ca="1">IFERROR(__xludf.DUMMYFUNCTION("""COMPUTED_VALUE"""),45667.6458333333)</f>
        <v>45667.645833333299</v>
      </c>
      <c r="B1244" s="14">
        <f ca="1">IFERROR(__xludf.DUMMYFUNCTION("""COMPUTED_VALUE"""),4265.65)</f>
        <v>4265.6499999999996</v>
      </c>
      <c r="C1244" s="15">
        <f t="shared" ca="1" si="8"/>
        <v>5.6154598462433647E-2</v>
      </c>
      <c r="D1244" s="14">
        <f t="shared" ca="1" si="9"/>
        <v>4211.0819999999985</v>
      </c>
      <c r="E1244" s="17"/>
      <c r="F1244" s="17"/>
    </row>
    <row r="1245" spans="1:6" ht="12.75" x14ac:dyDescent="0.2">
      <c r="A1245" s="13">
        <f ca="1">IFERROR(__xludf.DUMMYFUNCTION("""COMPUTED_VALUE"""),45670.6458333333)</f>
        <v>45670.645833333299</v>
      </c>
      <c r="B1245" s="14">
        <f ca="1">IFERROR(__xludf.DUMMYFUNCTION("""COMPUTED_VALUE"""),4291.1)</f>
        <v>4291.1000000000004</v>
      </c>
      <c r="C1245" s="15">
        <f t="shared" ca="1" si="8"/>
        <v>5.9662653991772174E-3</v>
      </c>
      <c r="D1245" s="14">
        <f t="shared" ca="1" si="9"/>
        <v>4215.3989999999994</v>
      </c>
      <c r="E1245" s="17"/>
      <c r="F1245" s="17"/>
    </row>
    <row r="1246" spans="1:6" ht="12.75" x14ac:dyDescent="0.2">
      <c r="A1246" s="13">
        <f ca="1">IFERROR(__xludf.DUMMYFUNCTION("""COMPUTED_VALUE"""),45671.6458333333)</f>
        <v>45671.645833333299</v>
      </c>
      <c r="B1246" s="14">
        <f ca="1">IFERROR(__xludf.DUMMYFUNCTION("""COMPUTED_VALUE"""),4233.05)</f>
        <v>4233.05</v>
      </c>
      <c r="C1246" s="15">
        <f t="shared" ca="1" si="8"/>
        <v>-1.352799981356767E-2</v>
      </c>
      <c r="D1246" s="14">
        <f t="shared" ca="1" si="9"/>
        <v>4218.3669999999984</v>
      </c>
      <c r="E1246" s="17"/>
      <c r="F1246" s="17"/>
    </row>
    <row r="1247" spans="1:6" ht="12.75" x14ac:dyDescent="0.2">
      <c r="A1247" s="13">
        <f ca="1">IFERROR(__xludf.DUMMYFUNCTION("""COMPUTED_VALUE"""),45672.6458333333)</f>
        <v>45672.645833333299</v>
      </c>
      <c r="B1247" s="14">
        <f ca="1">IFERROR(__xludf.DUMMYFUNCTION("""COMPUTED_VALUE"""),4249.6)</f>
        <v>4249.6000000000004</v>
      </c>
      <c r="C1247" s="15">
        <f t="shared" ca="1" si="8"/>
        <v>3.9097104924346038E-3</v>
      </c>
      <c r="D1247" s="14">
        <f t="shared" ca="1" si="9"/>
        <v>4223.989999999998</v>
      </c>
      <c r="E1247" s="17"/>
      <c r="F1247" s="17"/>
    </row>
    <row r="1248" spans="1:6" ht="12.75" x14ac:dyDescent="0.2">
      <c r="A1248" s="13">
        <f ca="1">IFERROR(__xludf.DUMMYFUNCTION("""COMPUTED_VALUE"""),45673.6458333333)</f>
        <v>45673.645833333299</v>
      </c>
      <c r="B1248" s="14">
        <f ca="1">IFERROR(__xludf.DUMMYFUNCTION("""COMPUTED_VALUE"""),4206.3)</f>
        <v>4206.3</v>
      </c>
      <c r="C1248" s="15">
        <f t="shared" ca="1" si="8"/>
        <v>-1.0189194277108515E-2</v>
      </c>
      <c r="D1248" s="14">
        <f t="shared" ca="1" si="9"/>
        <v>4228.8329999999987</v>
      </c>
      <c r="E1248" s="17"/>
      <c r="F1248" s="17"/>
    </row>
    <row r="1249" spans="1:6" ht="12.75" x14ac:dyDescent="0.2">
      <c r="A1249" s="13">
        <f ca="1">IFERROR(__xludf.DUMMYFUNCTION("""COMPUTED_VALUE"""),45674.6458333333)</f>
        <v>45674.645833333299</v>
      </c>
      <c r="B1249" s="14">
        <f ca="1">IFERROR(__xludf.DUMMYFUNCTION("""COMPUTED_VALUE"""),4124.3)</f>
        <v>4124.3</v>
      </c>
      <c r="C1249" s="15">
        <f t="shared" ca="1" si="8"/>
        <v>-1.9494567672301066E-2</v>
      </c>
      <c r="D1249" s="14">
        <f t="shared" ca="1" si="9"/>
        <v>4231.891999999998</v>
      </c>
      <c r="E1249" s="17"/>
      <c r="F1249" s="17"/>
    </row>
    <row r="1250" spans="1:6" ht="12.75" x14ac:dyDescent="0.2">
      <c r="A1250" s="13">
        <f ca="1">IFERROR(__xludf.DUMMYFUNCTION("""COMPUTED_VALUE"""),45677.6458333333)</f>
        <v>45677.645833333299</v>
      </c>
      <c r="B1250" s="14">
        <f ca="1">IFERROR(__xludf.DUMMYFUNCTION("""COMPUTED_VALUE"""),4077.8)</f>
        <v>4077.8</v>
      </c>
      <c r="C1250" s="15">
        <f t="shared" ca="1" si="8"/>
        <v>-1.127464054506222E-2</v>
      </c>
      <c r="D1250" s="14">
        <f t="shared" ca="1" si="9"/>
        <v>4230.6549999999979</v>
      </c>
      <c r="E1250" s="17"/>
      <c r="F1250" s="17"/>
    </row>
    <row r="1251" spans="1:6" ht="12.75" x14ac:dyDescent="0.2">
      <c r="A1251" s="13">
        <f ca="1">IFERROR(__xludf.DUMMYFUNCTION("""COMPUTED_VALUE"""),45678.6458333333)</f>
        <v>45678.645833333299</v>
      </c>
      <c r="B1251" s="14">
        <f ca="1">IFERROR(__xludf.DUMMYFUNCTION("""COMPUTED_VALUE"""),4035.85)</f>
        <v>4035.85</v>
      </c>
      <c r="C1251" s="15">
        <f t="shared" ca="1" si="8"/>
        <v>-1.0287409877875353E-2</v>
      </c>
      <c r="D1251" s="14">
        <f t="shared" ca="1" si="9"/>
        <v>4228.3539999999985</v>
      </c>
      <c r="E1251" s="17"/>
      <c r="F1251" s="17"/>
    </row>
    <row r="1252" spans="1:6" ht="12.75" x14ac:dyDescent="0.2">
      <c r="A1252" s="13">
        <f ca="1">IFERROR(__xludf.DUMMYFUNCTION("""COMPUTED_VALUE"""),45679.6458333333)</f>
        <v>45679.645833333299</v>
      </c>
      <c r="B1252" s="14">
        <f ca="1">IFERROR(__xludf.DUMMYFUNCTION("""COMPUTED_VALUE"""),4156.6)</f>
        <v>4156.6000000000004</v>
      </c>
      <c r="C1252" s="15">
        <f t="shared" ca="1" si="8"/>
        <v>2.991934784493977E-2</v>
      </c>
      <c r="D1252" s="14">
        <f t="shared" ca="1" si="9"/>
        <v>4228.5459999999985</v>
      </c>
      <c r="E1252" s="17"/>
      <c r="F1252" s="17"/>
    </row>
    <row r="1253" spans="1:6" ht="12.75" x14ac:dyDescent="0.2">
      <c r="A1253" s="13">
        <f ca="1">IFERROR(__xludf.DUMMYFUNCTION("""COMPUTED_VALUE"""),45680.6458333333)</f>
        <v>45680.645833333299</v>
      </c>
      <c r="B1253" s="14">
        <f ca="1">IFERROR(__xludf.DUMMYFUNCTION("""COMPUTED_VALUE"""),4145.45)</f>
        <v>4145.45</v>
      </c>
      <c r="C1253" s="15">
        <f t="shared" ca="1" si="8"/>
        <v>-2.6824808737911932E-3</v>
      </c>
      <c r="D1253" s="14">
        <f t="shared" ca="1" si="9"/>
        <v>4227.4809999999989</v>
      </c>
      <c r="E1253" s="17"/>
      <c r="F1253" s="17"/>
    </row>
    <row r="1254" spans="1:6" ht="12.75" x14ac:dyDescent="0.2">
      <c r="A1254" s="13">
        <f ca="1">IFERROR(__xludf.DUMMYFUNCTION("""COMPUTED_VALUE"""),45681.6458333333)</f>
        <v>45681.645833333299</v>
      </c>
      <c r="B1254" s="14">
        <f ca="1">IFERROR(__xludf.DUMMYFUNCTION("""COMPUTED_VALUE"""),4152.35)</f>
        <v>4152.3500000000004</v>
      </c>
      <c r="C1254" s="15">
        <f t="shared" ca="1" si="8"/>
        <v>1.6644755092933838E-3</v>
      </c>
      <c r="D1254" s="14">
        <f t="shared" ca="1" si="9"/>
        <v>4226.579999999999</v>
      </c>
      <c r="E1254" s="17"/>
      <c r="F1254" s="17"/>
    </row>
    <row r="1255" spans="1:6" ht="12.75" x14ac:dyDescent="0.2">
      <c r="A1255" s="13">
        <f ca="1">IFERROR(__xludf.DUMMYFUNCTION("""COMPUTED_VALUE"""),45684.6458333333)</f>
        <v>45684.645833333299</v>
      </c>
      <c r="B1255" s="14">
        <f ca="1">IFERROR(__xludf.DUMMYFUNCTION("""COMPUTED_VALUE"""),4065.15)</f>
        <v>4065.15</v>
      </c>
      <c r="C1255" s="15">
        <f t="shared" ca="1" si="8"/>
        <v>-2.1000156537864134E-2</v>
      </c>
      <c r="D1255" s="14">
        <f t="shared" ca="1" si="9"/>
        <v>4224.8760000000002</v>
      </c>
      <c r="E1255" s="17"/>
      <c r="F1255" s="17"/>
    </row>
    <row r="1256" spans="1:6" ht="12.75" x14ac:dyDescent="0.2">
      <c r="A1256" s="13">
        <f ca="1">IFERROR(__xludf.DUMMYFUNCTION("""COMPUTED_VALUE"""),45685.6458333333)</f>
        <v>45685.645833333299</v>
      </c>
      <c r="B1256" s="14">
        <f ca="1">IFERROR(__xludf.DUMMYFUNCTION("""COMPUTED_VALUE"""),4040.3)</f>
        <v>4040.3</v>
      </c>
      <c r="C1256" s="15">
        <f t="shared" ca="1" si="8"/>
        <v>-6.1129355620334058E-3</v>
      </c>
      <c r="D1256" s="14">
        <f t="shared" ca="1" si="9"/>
        <v>4222.7639999999992</v>
      </c>
      <c r="E1256" s="17"/>
      <c r="F1256" s="17"/>
    </row>
    <row r="1257" spans="1:6" ht="12.75" x14ac:dyDescent="0.2">
      <c r="A1257" s="13">
        <f ca="1">IFERROR(__xludf.DUMMYFUNCTION("""COMPUTED_VALUE"""),45686.6458333333)</f>
        <v>45686.645833333299</v>
      </c>
      <c r="B1257" s="14">
        <f ca="1">IFERROR(__xludf.DUMMYFUNCTION("""COMPUTED_VALUE"""),4099.8)</f>
        <v>4099.8</v>
      </c>
      <c r="C1257" s="15">
        <f t="shared" ca="1" si="8"/>
        <v>1.4726629210702225E-2</v>
      </c>
      <c r="D1257" s="14">
        <f t="shared" ca="1" si="9"/>
        <v>4224.369999999999</v>
      </c>
      <c r="E1257" s="17"/>
      <c r="F1257" s="17"/>
    </row>
    <row r="1258" spans="1:6" ht="12.75" x14ac:dyDescent="0.2">
      <c r="A1258" s="13">
        <f ca="1">IFERROR(__xludf.DUMMYFUNCTION("""COMPUTED_VALUE"""),45687.6458333333)</f>
        <v>45687.645833333299</v>
      </c>
      <c r="B1258" s="14">
        <f ca="1">IFERROR(__xludf.DUMMYFUNCTION("""COMPUTED_VALUE"""),4100.05)</f>
        <v>4100.05</v>
      </c>
      <c r="C1258" s="15">
        <f t="shared" ca="1" si="8"/>
        <v>6.0978584321080831E-5</v>
      </c>
      <c r="D1258" s="14">
        <f t="shared" ca="1" si="9"/>
        <v>4225.579999999999</v>
      </c>
      <c r="E1258" s="17"/>
      <c r="F1258" s="17"/>
    </row>
    <row r="1259" spans="1:6" ht="12.75" x14ac:dyDescent="0.2">
      <c r="A1259" s="13">
        <f ca="1">IFERROR(__xludf.DUMMYFUNCTION("""COMPUTED_VALUE"""),45688.6458333333)</f>
        <v>45688.645833333299</v>
      </c>
      <c r="B1259" s="14">
        <f ca="1">IFERROR(__xludf.DUMMYFUNCTION("""COMPUTED_VALUE"""),4112.4)</f>
        <v>4112.3999999999996</v>
      </c>
      <c r="C1259" s="15">
        <f t="shared" ca="1" si="8"/>
        <v>3.0121583883122582E-3</v>
      </c>
      <c r="D1259" s="14">
        <f t="shared" ca="1" si="9"/>
        <v>4226.3709999999983</v>
      </c>
      <c r="E1259" s="17"/>
      <c r="F1259" s="17"/>
    </row>
    <row r="1260" spans="1:6" ht="12.75" x14ac:dyDescent="0.2">
      <c r="A1260" s="13">
        <f ca="1">IFERROR(__xludf.DUMMYFUNCTION("""COMPUTED_VALUE"""),45691.6458333333)</f>
        <v>45691.645833333299</v>
      </c>
      <c r="B1260" s="14">
        <f ca="1">IFERROR(__xludf.DUMMYFUNCTION("""COMPUTED_VALUE"""),4068.65)</f>
        <v>4068.65</v>
      </c>
      <c r="C1260" s="15">
        <f t="shared" ca="1" si="8"/>
        <v>-1.0638556560645718E-2</v>
      </c>
      <c r="D1260" s="14">
        <f t="shared" ca="1" si="9"/>
        <v>4222.851999999999</v>
      </c>
      <c r="E1260" s="17"/>
      <c r="F1260" s="17"/>
    </row>
    <row r="1261" spans="1:6" ht="12.75" x14ac:dyDescent="0.2">
      <c r="A1261" s="13">
        <f ca="1">IFERROR(__xludf.DUMMYFUNCTION("""COMPUTED_VALUE"""),45692.6458333333)</f>
        <v>45692.645833333299</v>
      </c>
      <c r="B1261" s="14">
        <f ca="1">IFERROR(__xludf.DUMMYFUNCTION("""COMPUTED_VALUE"""),4107.05)</f>
        <v>4107.05</v>
      </c>
      <c r="C1261" s="15">
        <f t="shared" ca="1" si="8"/>
        <v>9.4380199820578436E-3</v>
      </c>
      <c r="D1261" s="14">
        <f t="shared" ca="1" si="9"/>
        <v>4218.6909999999989</v>
      </c>
      <c r="E1261" s="17"/>
      <c r="F1261" s="17"/>
    </row>
    <row r="1262" spans="1:6" ht="12.75" x14ac:dyDescent="0.2">
      <c r="A1262" s="13">
        <f ca="1">IFERROR(__xludf.DUMMYFUNCTION("""COMPUTED_VALUE"""),45693.6458333333)</f>
        <v>45693.645833333299</v>
      </c>
      <c r="B1262" s="14">
        <f ca="1">IFERROR(__xludf.DUMMYFUNCTION("""COMPUTED_VALUE"""),4091.1)</f>
        <v>4091.1</v>
      </c>
      <c r="C1262" s="15">
        <f t="shared" ca="1" si="8"/>
        <v>-3.8835660632328128E-3</v>
      </c>
      <c r="D1262" s="14">
        <f t="shared" ca="1" si="9"/>
        <v>4213.4589999999989</v>
      </c>
      <c r="E1262" s="17"/>
      <c r="F1262" s="17"/>
    </row>
    <row r="1263" spans="1:6" ht="12.75" x14ac:dyDescent="0.2">
      <c r="A1263" s="13">
        <f ca="1">IFERROR(__xludf.DUMMYFUNCTION("""COMPUTED_VALUE"""),45694.6458333333)</f>
        <v>45694.645833333299</v>
      </c>
      <c r="B1263" s="14">
        <f ca="1">IFERROR(__xludf.DUMMYFUNCTION("""COMPUTED_VALUE"""),4082.75)</f>
        <v>4082.75</v>
      </c>
      <c r="C1263" s="15">
        <f t="shared" ca="1" si="8"/>
        <v>-2.0410158637040876E-3</v>
      </c>
      <c r="D1263" s="14">
        <f t="shared" ca="1" si="9"/>
        <v>4208.4629999999988</v>
      </c>
      <c r="E1263" s="17"/>
      <c r="F1263" s="17"/>
    </row>
    <row r="1264" spans="1:6" ht="12.75" x14ac:dyDescent="0.2">
      <c r="A1264" s="13">
        <f ca="1">IFERROR(__xludf.DUMMYFUNCTION("""COMPUTED_VALUE"""),45695.6458333333)</f>
        <v>45695.645833333299</v>
      </c>
      <c r="B1264" s="14">
        <f ca="1">IFERROR(__xludf.DUMMYFUNCTION("""COMPUTED_VALUE"""),4029.4)</f>
        <v>4029.4</v>
      </c>
      <c r="C1264" s="15">
        <f t="shared" ca="1" si="8"/>
        <v>-1.306717286142911E-2</v>
      </c>
      <c r="D1264" s="14">
        <f t="shared" ca="1" si="9"/>
        <v>4204.1529999999984</v>
      </c>
      <c r="E1264" s="17"/>
      <c r="F1264" s="17"/>
    </row>
    <row r="1265" spans="1:6" ht="12.75" x14ac:dyDescent="0.2">
      <c r="A1265" s="13">
        <f ca="1">IFERROR(__xludf.DUMMYFUNCTION("""COMPUTED_VALUE"""),45698.6458333333)</f>
        <v>45698.645833333299</v>
      </c>
      <c r="B1265" s="14">
        <f ca="1">IFERROR(__xludf.DUMMYFUNCTION("""COMPUTED_VALUE"""),4036.95)</f>
        <v>4036.95</v>
      </c>
      <c r="C1265" s="15">
        <f t="shared" ca="1" si="8"/>
        <v>1.8737280984761906E-3</v>
      </c>
      <c r="D1265" s="14">
        <f t="shared" ca="1" si="9"/>
        <v>4199.4749999999985</v>
      </c>
      <c r="E1265" s="17"/>
      <c r="F1265" s="17"/>
    </row>
    <row r="1266" spans="1:6" ht="12.75" x14ac:dyDescent="0.2">
      <c r="A1266" s="13">
        <f ca="1">IFERROR(__xludf.DUMMYFUNCTION("""COMPUTED_VALUE"""),45699.6458333333)</f>
        <v>45699.645833333299</v>
      </c>
      <c r="B1266" s="14">
        <f ca="1">IFERROR(__xludf.DUMMYFUNCTION("""COMPUTED_VALUE"""),3963.55)</f>
        <v>3963.55</v>
      </c>
      <c r="C1266" s="15">
        <f t="shared" ca="1" si="8"/>
        <v>-1.8182043374329493E-2</v>
      </c>
      <c r="D1266" s="14">
        <f t="shared" ca="1" si="9"/>
        <v>4193.2129999999988</v>
      </c>
      <c r="E1266" s="17"/>
      <c r="F1266" s="17"/>
    </row>
    <row r="1267" spans="1:6" ht="12.75" x14ac:dyDescent="0.2">
      <c r="A1267" s="13">
        <f ca="1">IFERROR(__xludf.DUMMYFUNCTION("""COMPUTED_VALUE"""),45700.6458333333)</f>
        <v>45700.645833333299</v>
      </c>
      <c r="B1267" s="14">
        <f ca="1">IFERROR(__xludf.DUMMYFUNCTION("""COMPUTED_VALUE"""),3950.15)</f>
        <v>3950.15</v>
      </c>
      <c r="C1267" s="15">
        <f t="shared" ca="1" si="8"/>
        <v>-3.3808076093401196E-3</v>
      </c>
      <c r="D1267" s="14">
        <f t="shared" ca="1" si="9"/>
        <v>4186.1609999999991</v>
      </c>
      <c r="E1267" s="17"/>
      <c r="F1267" s="17"/>
    </row>
    <row r="1268" spans="1:6" ht="12.75" x14ac:dyDescent="0.2">
      <c r="A1268" s="13">
        <f ca="1">IFERROR(__xludf.DUMMYFUNCTION("""COMPUTED_VALUE"""),45701.6458333333)</f>
        <v>45701.645833333299</v>
      </c>
      <c r="B1268" s="14">
        <f ca="1">IFERROR(__xludf.DUMMYFUNCTION("""COMPUTED_VALUE"""),3910.15)</f>
        <v>3910.15</v>
      </c>
      <c r="C1268" s="15">
        <f t="shared" ca="1" si="8"/>
        <v>-1.0126197739326326E-2</v>
      </c>
      <c r="D1268" s="14">
        <f t="shared" ca="1" si="9"/>
        <v>4177.2759999999989</v>
      </c>
      <c r="E1268" s="17"/>
      <c r="F1268" s="17"/>
    </row>
    <row r="1269" spans="1:6" ht="12.75" x14ac:dyDescent="0.2">
      <c r="A1269" s="13">
        <f ca="1">IFERROR(__xludf.DUMMYFUNCTION("""COMPUTED_VALUE"""),45702.6458333333)</f>
        <v>45702.645833333299</v>
      </c>
      <c r="B1269" s="14">
        <f ca="1">IFERROR(__xludf.DUMMYFUNCTION("""COMPUTED_VALUE"""),3934.85)</f>
        <v>3934.85</v>
      </c>
      <c r="C1269" s="15">
        <f t="shared" ca="1" si="8"/>
        <v>6.3168932138153444E-3</v>
      </c>
      <c r="D1269" s="14">
        <f t="shared" ca="1" si="9"/>
        <v>4166.6919999999991</v>
      </c>
      <c r="E1269" s="17"/>
      <c r="F1269" s="17"/>
    </row>
    <row r="1270" spans="1:6" ht="12.75" x14ac:dyDescent="0.2">
      <c r="A1270" s="13">
        <f ca="1">IFERROR(__xludf.DUMMYFUNCTION("""COMPUTED_VALUE"""),45705.6458333333)</f>
        <v>45705.645833333299</v>
      </c>
      <c r="B1270" s="14">
        <f ca="1">IFERROR(__xludf.DUMMYFUNCTION("""COMPUTED_VALUE"""),3904.5)</f>
        <v>3904.5</v>
      </c>
      <c r="C1270" s="15">
        <f t="shared" ca="1" si="8"/>
        <v>-7.7131275652184694E-3</v>
      </c>
      <c r="D1270" s="14">
        <f t="shared" ca="1" si="9"/>
        <v>4155.8719999999994</v>
      </c>
      <c r="E1270" s="17"/>
      <c r="F1270" s="17"/>
    </row>
    <row r="1271" spans="1:6" ht="12.75" x14ac:dyDescent="0.2">
      <c r="A1271" s="13">
        <f ca="1">IFERROR(__xludf.DUMMYFUNCTION("""COMPUTED_VALUE"""),45706.6458333333)</f>
        <v>45706.645833333299</v>
      </c>
      <c r="B1271" s="14">
        <f ca="1">IFERROR(__xludf.DUMMYFUNCTION("""COMPUTED_VALUE"""),3873.2)</f>
        <v>3873.2</v>
      </c>
      <c r="C1271" s="15">
        <f t="shared" ca="1" si="8"/>
        <v>-8.0163913433218825E-3</v>
      </c>
      <c r="D1271" s="14">
        <f t="shared" ca="1" si="9"/>
        <v>4144.2929999999997</v>
      </c>
      <c r="E1271" s="17"/>
      <c r="F1271" s="17"/>
    </row>
    <row r="1272" spans="1:6" ht="12.75" x14ac:dyDescent="0.2">
      <c r="A1272" s="13">
        <f ca="1">IFERROR(__xludf.DUMMYFUNCTION("""COMPUTED_VALUE"""),45707.6458333333)</f>
        <v>45707.645833333299</v>
      </c>
      <c r="B1272" s="14">
        <f ca="1">IFERROR(__xludf.DUMMYFUNCTION("""COMPUTED_VALUE"""),3784.1)</f>
        <v>3784.1</v>
      </c>
      <c r="C1272" s="15">
        <f t="shared" ca="1" si="8"/>
        <v>-2.3004234224930253E-2</v>
      </c>
      <c r="D1272" s="14">
        <f t="shared" ca="1" si="9"/>
        <v>4131.3239999999996</v>
      </c>
      <c r="E1272" s="17"/>
      <c r="F1272" s="17"/>
    </row>
    <row r="1273" spans="1:6" ht="12.75" x14ac:dyDescent="0.2">
      <c r="A1273" s="13">
        <f ca="1">IFERROR(__xludf.DUMMYFUNCTION("""COMPUTED_VALUE"""),45708.6458333333)</f>
        <v>45708.645833333299</v>
      </c>
      <c r="B1273" s="14">
        <f ca="1">IFERROR(__xludf.DUMMYFUNCTION("""COMPUTED_VALUE"""),3779.4)</f>
        <v>3779.4</v>
      </c>
      <c r="C1273" s="15">
        <f t="shared" ca="1" si="8"/>
        <v>-1.2420390581643348E-3</v>
      </c>
      <c r="D1273" s="14">
        <f t="shared" ca="1" si="9"/>
        <v>4118.3630000000003</v>
      </c>
      <c r="E1273" s="17"/>
      <c r="F1273" s="17"/>
    </row>
    <row r="1274" spans="1:6" ht="12.75" x14ac:dyDescent="0.2">
      <c r="A1274" s="13">
        <f ca="1">IFERROR(__xludf.DUMMYFUNCTION("""COMPUTED_VALUE"""),45709.6458333333)</f>
        <v>45709.645833333299</v>
      </c>
      <c r="B1274" s="14">
        <f ca="1">IFERROR(__xludf.DUMMYFUNCTION("""COMPUTED_VALUE"""),3786)</f>
        <v>3786</v>
      </c>
      <c r="C1274" s="15">
        <f t="shared" ca="1" si="8"/>
        <v>1.7463089379265995E-3</v>
      </c>
      <c r="D1274" s="14">
        <f t="shared" ca="1" si="9"/>
        <v>4104.9839999999995</v>
      </c>
      <c r="E1274" s="17"/>
      <c r="F1274" s="17"/>
    </row>
    <row r="1275" spans="1:6" ht="12.75" x14ac:dyDescent="0.2">
      <c r="A1275" s="13">
        <f ca="1">IFERROR(__xludf.DUMMYFUNCTION("""COMPUTED_VALUE"""),45712.6458333333)</f>
        <v>45712.645833333299</v>
      </c>
      <c r="B1275" s="14">
        <f ca="1">IFERROR(__xludf.DUMMYFUNCTION("""COMPUTED_VALUE"""),3675.6)</f>
        <v>3675.6</v>
      </c>
      <c r="C1275" s="15">
        <f t="shared" ca="1" si="8"/>
        <v>-2.916006339144217E-2</v>
      </c>
      <c r="D1275" s="14">
        <f t="shared" ca="1" si="9"/>
        <v>4089.018</v>
      </c>
      <c r="E1275" s="17"/>
      <c r="F1275" s="17"/>
    </row>
    <row r="1276" spans="1:6" ht="12.75" x14ac:dyDescent="0.2">
      <c r="A1276" s="13">
        <f ca="1">IFERROR(__xludf.DUMMYFUNCTION("""COMPUTED_VALUE"""),45713.6458333333)</f>
        <v>45713.645833333299</v>
      </c>
      <c r="B1276" s="14">
        <f ca="1">IFERROR(__xludf.DUMMYFUNCTION("""COMPUTED_VALUE"""),3629.55)</f>
        <v>3629.55</v>
      </c>
      <c r="C1276" s="15">
        <f t="shared" ca="1" si="8"/>
        <v>-1.2528566764609783E-2</v>
      </c>
      <c r="D1276" s="14">
        <f t="shared" ca="1" si="9"/>
        <v>4073.3049999999998</v>
      </c>
      <c r="E1276" s="17"/>
      <c r="F1276" s="17"/>
    </row>
    <row r="1277" spans="1:6" ht="12.75" x14ac:dyDescent="0.2">
      <c r="A1277" s="13">
        <f ca="1">IFERROR(__xludf.DUMMYFUNCTION("""COMPUTED_VALUE"""),45715.6458333333)</f>
        <v>45715.645833333299</v>
      </c>
      <c r="B1277" s="14">
        <f ca="1">IFERROR(__xludf.DUMMYFUNCTION("""COMPUTED_VALUE"""),3612.55)</f>
        <v>3612.55</v>
      </c>
      <c r="C1277" s="15">
        <f t="shared" ca="1" si="8"/>
        <v>-4.6837762257029292E-3</v>
      </c>
      <c r="D1277" s="14">
        <f t="shared" ca="1" si="9"/>
        <v>4058.9860000000003</v>
      </c>
      <c r="E1277" s="17"/>
      <c r="F1277" s="17"/>
    </row>
    <row r="1278" spans="1:6" ht="12.75" x14ac:dyDescent="0.2">
      <c r="A1278" s="13">
        <f ca="1">IFERROR(__xludf.DUMMYFUNCTION("""COMPUTED_VALUE"""),45716.6458333333)</f>
        <v>45716.645833333299</v>
      </c>
      <c r="B1278" s="14">
        <f ca="1">IFERROR(__xludf.DUMMYFUNCTION("""COMPUTED_VALUE"""),3483.25)</f>
        <v>3483.25</v>
      </c>
      <c r="C1278" s="15">
        <f t="shared" ref="C1278:C1484" ca="1" si="10">(B1278/B1277)-1</f>
        <v>-3.57918921537419E-2</v>
      </c>
      <c r="D1278" s="14">
        <f t="shared" ca="1" si="9"/>
        <v>4041.6940000000004</v>
      </c>
      <c r="E1278" s="17"/>
      <c r="F1278" s="17"/>
    </row>
    <row r="1279" spans="1:6" ht="12.75" x14ac:dyDescent="0.2">
      <c r="A1279" s="13">
        <f ca="1">IFERROR(__xludf.DUMMYFUNCTION("""COMPUTED_VALUE"""),45719.6458333333)</f>
        <v>45719.645833333299</v>
      </c>
      <c r="B1279" s="14">
        <f ca="1">IFERROR(__xludf.DUMMYFUNCTION("""COMPUTED_VALUE"""),3493.05)</f>
        <v>3493.05</v>
      </c>
      <c r="C1279" s="15">
        <f t="shared" ca="1" si="10"/>
        <v>2.8134644369484096E-3</v>
      </c>
      <c r="D1279" s="14">
        <f t="shared" ca="1" si="9"/>
        <v>4026.1170000000002</v>
      </c>
      <c r="E1279" s="17"/>
      <c r="F1279" s="17"/>
    </row>
    <row r="1280" spans="1:6" ht="12.75" x14ac:dyDescent="0.2">
      <c r="A1280" s="13">
        <f ca="1">IFERROR(__xludf.DUMMYFUNCTION("""COMPUTED_VALUE"""),45720.6458333333)</f>
        <v>45720.645833333299</v>
      </c>
      <c r="B1280" s="14">
        <f ca="1">IFERROR(__xludf.DUMMYFUNCTION("""COMPUTED_VALUE"""),3532.05)</f>
        <v>3532.05</v>
      </c>
      <c r="C1280" s="15">
        <f t="shared" ca="1" si="10"/>
        <v>1.116502769785721E-2</v>
      </c>
      <c r="D1280" s="14">
        <f t="shared" ca="1" si="9"/>
        <v>4013.3519999999994</v>
      </c>
      <c r="E1280" s="17"/>
      <c r="F1280" s="17"/>
    </row>
    <row r="1281" spans="1:6" ht="12.75" x14ac:dyDescent="0.2">
      <c r="A1281" s="13">
        <f ca="1">IFERROR(__xludf.DUMMYFUNCTION("""COMPUTED_VALUE"""),45721.6458333333)</f>
        <v>45721.645833333299</v>
      </c>
      <c r="B1281" s="14">
        <f ca="1">IFERROR(__xludf.DUMMYFUNCTION("""COMPUTED_VALUE"""),3547.05)</f>
        <v>3547.05</v>
      </c>
      <c r="C1281" s="15">
        <f t="shared" ca="1" si="10"/>
        <v>4.2468254979401987E-3</v>
      </c>
      <c r="D1281" s="14">
        <f t="shared" ca="1" si="9"/>
        <v>4001.1269999999995</v>
      </c>
      <c r="E1281" s="17"/>
      <c r="F1281" s="17"/>
    </row>
    <row r="1282" spans="1:6" ht="12.75" x14ac:dyDescent="0.2">
      <c r="A1282" s="13">
        <f ca="1">IFERROR(__xludf.DUMMYFUNCTION("""COMPUTED_VALUE"""),45722.6458333333)</f>
        <v>45722.645833333299</v>
      </c>
      <c r="B1282" s="14">
        <f ca="1">IFERROR(__xludf.DUMMYFUNCTION("""COMPUTED_VALUE"""),3601.6)</f>
        <v>3601.6</v>
      </c>
      <c r="C1282" s="15">
        <f t="shared" ca="1" si="10"/>
        <v>1.5378976896293972E-2</v>
      </c>
      <c r="D1282" s="14">
        <f t="shared" ca="1" si="9"/>
        <v>3989.5689999999995</v>
      </c>
      <c r="E1282" s="17"/>
      <c r="F1282" s="17"/>
    </row>
    <row r="1283" spans="1:6" ht="12.75" x14ac:dyDescent="0.2">
      <c r="A1283" s="13">
        <f ca="1">IFERROR(__xludf.DUMMYFUNCTION("""COMPUTED_VALUE"""),45723.6458333333)</f>
        <v>45723.645833333299</v>
      </c>
      <c r="B1283" s="14">
        <f ca="1">IFERROR(__xludf.DUMMYFUNCTION("""COMPUTED_VALUE"""),3611.2)</f>
        <v>3611.2</v>
      </c>
      <c r="C1283" s="15">
        <f t="shared" ca="1" si="10"/>
        <v>2.6654820079963226E-3</v>
      </c>
      <c r="D1283" s="14">
        <f t="shared" ca="1" si="9"/>
        <v>3978.4109999999996</v>
      </c>
      <c r="E1283" s="17"/>
      <c r="F1283" s="17"/>
    </row>
    <row r="1284" spans="1:6" ht="12.75" x14ac:dyDescent="0.2">
      <c r="A1284" s="13">
        <f ca="1">IFERROR(__xludf.DUMMYFUNCTION("""COMPUTED_VALUE"""),45726.6458333333)</f>
        <v>45726.645833333299</v>
      </c>
      <c r="B1284" s="14">
        <f ca="1">IFERROR(__xludf.DUMMYFUNCTION("""COMPUTED_VALUE"""),3589.65)</f>
        <v>3589.65</v>
      </c>
      <c r="C1284" s="15">
        <f t="shared" ca="1" si="10"/>
        <v>-5.967545414266695E-3</v>
      </c>
      <c r="D1284" s="14">
        <f t="shared" ca="1" si="9"/>
        <v>3966.9069999999997</v>
      </c>
      <c r="E1284" s="17"/>
      <c r="F1284" s="17"/>
    </row>
    <row r="1285" spans="1:6" ht="12.75" x14ac:dyDescent="0.2">
      <c r="A1285" s="13">
        <f ca="1">IFERROR(__xludf.DUMMYFUNCTION("""COMPUTED_VALUE"""),45727.6458333333)</f>
        <v>45727.645833333299</v>
      </c>
      <c r="B1285" s="14">
        <f ca="1">IFERROR(__xludf.DUMMYFUNCTION("""COMPUTED_VALUE"""),3575.3)</f>
        <v>3575.3</v>
      </c>
      <c r="C1285" s="15">
        <f t="shared" ca="1" si="10"/>
        <v>-3.9976042232529041E-3</v>
      </c>
      <c r="D1285" s="14">
        <f t="shared" ca="1" si="9"/>
        <v>3955.2369999999996</v>
      </c>
      <c r="E1285" s="17"/>
      <c r="F1285" s="17"/>
    </row>
    <row r="1286" spans="1:6" ht="12.75" x14ac:dyDescent="0.2">
      <c r="A1286" s="13">
        <f ca="1">IFERROR(__xludf.DUMMYFUNCTION("""COMPUTED_VALUE"""),45728.6458333333)</f>
        <v>45728.645833333299</v>
      </c>
      <c r="B1286" s="14">
        <f ca="1">IFERROR(__xludf.DUMMYFUNCTION("""COMPUTED_VALUE"""),3506.2)</f>
        <v>3506.2</v>
      </c>
      <c r="C1286" s="15">
        <f t="shared" ca="1" si="10"/>
        <v>-1.9327049478365499E-2</v>
      </c>
      <c r="D1286" s="14">
        <f t="shared" ca="1" si="9"/>
        <v>3943.4649999999992</v>
      </c>
      <c r="E1286" s="17"/>
      <c r="F1286" s="17"/>
    </row>
    <row r="1287" spans="1:6" ht="12.75" x14ac:dyDescent="0.2">
      <c r="A1287" s="13">
        <f ca="1">IFERROR(__xludf.DUMMYFUNCTION("""COMPUTED_VALUE"""),45729.6458333333)</f>
        <v>45729.645833333299</v>
      </c>
      <c r="B1287" s="14">
        <f ca="1">IFERROR(__xludf.DUMMYFUNCTION("""COMPUTED_VALUE"""),3511.05)</f>
        <v>3511.05</v>
      </c>
      <c r="C1287" s="15">
        <f t="shared" ca="1" si="10"/>
        <v>1.3832639324626861E-3</v>
      </c>
      <c r="D1287" s="14">
        <f t="shared" ca="1" si="9"/>
        <v>3931.436999999999</v>
      </c>
      <c r="E1287" s="17"/>
      <c r="F1287" s="17"/>
    </row>
    <row r="1288" spans="1:6" ht="12.75" x14ac:dyDescent="0.2">
      <c r="A1288" s="13">
        <f ca="1">IFERROR(__xludf.DUMMYFUNCTION("""COMPUTED_VALUE"""),45733.6458333333)</f>
        <v>45733.645833333299</v>
      </c>
      <c r="B1288" s="14">
        <f ca="1">IFERROR(__xludf.DUMMYFUNCTION("""COMPUTED_VALUE"""),3497.7)</f>
        <v>3497.7</v>
      </c>
      <c r="C1288" s="15">
        <f t="shared" ca="1" si="10"/>
        <v>-3.8022813688214363E-3</v>
      </c>
      <c r="D1288" s="14">
        <f t="shared" ca="1" si="9"/>
        <v>3917.8759999999993</v>
      </c>
      <c r="E1288" s="17"/>
      <c r="F1288" s="17"/>
    </row>
    <row r="1289" spans="1:6" ht="12.75" x14ac:dyDescent="0.2">
      <c r="A1289" s="13">
        <f ca="1">IFERROR(__xludf.DUMMYFUNCTION("""COMPUTED_VALUE"""),45734.6458333333)</f>
        <v>45734.645833333299</v>
      </c>
      <c r="B1289" s="14">
        <f ca="1">IFERROR(__xludf.DUMMYFUNCTION("""COMPUTED_VALUE"""),3552.45)</f>
        <v>3552.45</v>
      </c>
      <c r="C1289" s="15">
        <f t="shared" ca="1" si="10"/>
        <v>1.5653143494296362E-2</v>
      </c>
      <c r="D1289" s="14">
        <f t="shared" ca="1" si="9"/>
        <v>3906.9269999999988</v>
      </c>
      <c r="E1289" s="17"/>
      <c r="F1289" s="17"/>
    </row>
    <row r="1290" spans="1:6" ht="12.75" x14ac:dyDescent="0.2">
      <c r="A1290" s="13">
        <f ca="1">IFERROR(__xludf.DUMMYFUNCTION("""COMPUTED_VALUE"""),45735.6458333333)</f>
        <v>45735.645833333299</v>
      </c>
      <c r="B1290" s="14">
        <f ca="1">IFERROR(__xludf.DUMMYFUNCTION("""COMPUTED_VALUE"""),3497.1)</f>
        <v>3497.1</v>
      </c>
      <c r="C1290" s="15">
        <f t="shared" ca="1" si="10"/>
        <v>-1.5580796351813531E-2</v>
      </c>
      <c r="D1290" s="14">
        <f t="shared" ca="1" si="9"/>
        <v>3894.9689999999996</v>
      </c>
      <c r="E1290" s="17"/>
      <c r="F1290" s="17"/>
    </row>
    <row r="1291" spans="1:6" ht="12.75" x14ac:dyDescent="0.2">
      <c r="A1291" s="13">
        <f ca="1">IFERROR(__xludf.DUMMYFUNCTION("""COMPUTED_VALUE"""),45736.6458333333)</f>
        <v>45736.645833333299</v>
      </c>
      <c r="B1291" s="14">
        <f ca="1">IFERROR(__xludf.DUMMYFUNCTION("""COMPUTED_VALUE"""),3563.15)</f>
        <v>3563.15</v>
      </c>
      <c r="C1291" s="15">
        <f t="shared" ca="1" si="10"/>
        <v>1.8887077864516266E-2</v>
      </c>
      <c r="D1291" s="14">
        <f t="shared" ca="1" si="9"/>
        <v>3885.6659999999993</v>
      </c>
      <c r="E1291" s="17"/>
      <c r="F1291" s="17"/>
    </row>
    <row r="1292" spans="1:6" ht="12.75" x14ac:dyDescent="0.2">
      <c r="A1292" s="13">
        <f ca="1">IFERROR(__xludf.DUMMYFUNCTION("""COMPUTED_VALUE"""),45737.6458333333)</f>
        <v>45737.645833333299</v>
      </c>
      <c r="B1292" s="14">
        <f ca="1">IFERROR(__xludf.DUMMYFUNCTION("""COMPUTED_VALUE"""),3578.1)</f>
        <v>3578.1</v>
      </c>
      <c r="C1292" s="15">
        <f t="shared" ca="1" si="10"/>
        <v>4.1957256921543173E-3</v>
      </c>
      <c r="D1292" s="14">
        <f t="shared" ca="1" si="9"/>
        <v>3875.059999999999</v>
      </c>
      <c r="E1292" s="17"/>
      <c r="F1292" s="17"/>
    </row>
    <row r="1293" spans="1:6" ht="12.75" x14ac:dyDescent="0.2">
      <c r="A1293" s="13">
        <f ca="1">IFERROR(__xludf.DUMMYFUNCTION("""COMPUTED_VALUE"""),45740.6458333333)</f>
        <v>45740.645833333299</v>
      </c>
      <c r="B1293" s="14">
        <f ca="1">IFERROR(__xludf.DUMMYFUNCTION("""COMPUTED_VALUE"""),3628.95)</f>
        <v>3628.95</v>
      </c>
      <c r="C1293" s="15">
        <f t="shared" ca="1" si="10"/>
        <v>1.421145300578508E-2</v>
      </c>
      <c r="D1293" s="14">
        <f t="shared" ca="1" si="9"/>
        <v>3866.8619999999996</v>
      </c>
      <c r="E1293" s="17"/>
      <c r="F1293" s="17"/>
    </row>
    <row r="1294" spans="1:6" ht="12.75" x14ac:dyDescent="0.2">
      <c r="A1294" s="13">
        <f ca="1">IFERROR(__xludf.DUMMYFUNCTION("""COMPUTED_VALUE"""),45741.6458333333)</f>
        <v>45741.645833333299</v>
      </c>
      <c r="B1294" s="14">
        <f ca="1">IFERROR(__xludf.DUMMYFUNCTION("""COMPUTED_VALUE"""),3657.75)</f>
        <v>3657.75</v>
      </c>
      <c r="C1294" s="15">
        <f t="shared" ca="1" si="10"/>
        <v>7.9361798867441102E-3</v>
      </c>
      <c r="D1294" s="14">
        <f t="shared" ca="1" si="9"/>
        <v>3854.7040000000002</v>
      </c>
      <c r="E1294" s="17"/>
      <c r="F1294" s="17"/>
    </row>
    <row r="1295" spans="1:6" ht="12.75" x14ac:dyDescent="0.2">
      <c r="A1295" s="13">
        <f ca="1">IFERROR(__xludf.DUMMYFUNCTION("""COMPUTED_VALUE"""),45742.6458333333)</f>
        <v>45742.645833333299</v>
      </c>
      <c r="B1295" s="14">
        <f ca="1">IFERROR(__xludf.DUMMYFUNCTION("""COMPUTED_VALUE"""),3635.8)</f>
        <v>3635.8</v>
      </c>
      <c r="C1295" s="15">
        <f t="shared" ca="1" si="10"/>
        <v>-6.0009568723942142E-3</v>
      </c>
      <c r="D1295" s="14">
        <f t="shared" ca="1" si="9"/>
        <v>3841.598</v>
      </c>
      <c r="E1295" s="17"/>
      <c r="F1295" s="17"/>
    </row>
    <row r="1296" spans="1:6" ht="12.75" x14ac:dyDescent="0.2">
      <c r="A1296" s="13">
        <f ca="1">IFERROR(__xludf.DUMMYFUNCTION("""COMPUTED_VALUE"""),45743.6458333333)</f>
        <v>45743.645833333299</v>
      </c>
      <c r="B1296" s="14">
        <f ca="1">IFERROR(__xludf.DUMMYFUNCTION("""COMPUTED_VALUE"""),3651.2)</f>
        <v>3651.2</v>
      </c>
      <c r="C1296" s="15">
        <f t="shared" ca="1" si="10"/>
        <v>4.2356565267616109E-3</v>
      </c>
      <c r="D1296" s="14">
        <f t="shared" ca="1" si="9"/>
        <v>3829.9610000000011</v>
      </c>
      <c r="E1296" s="17"/>
      <c r="F1296" s="17"/>
    </row>
    <row r="1297" spans="1:6" ht="12.75" x14ac:dyDescent="0.2">
      <c r="A1297" s="13">
        <f ca="1">IFERROR(__xludf.DUMMYFUNCTION("""COMPUTED_VALUE"""),45744.6458333333)</f>
        <v>45744.645833333299</v>
      </c>
      <c r="B1297" s="14">
        <f ca="1">IFERROR(__xludf.DUMMYFUNCTION("""COMPUTED_VALUE"""),3606.15)</f>
        <v>3606.15</v>
      </c>
      <c r="C1297" s="15">
        <f t="shared" ca="1" si="10"/>
        <v>-1.233840929009633E-2</v>
      </c>
      <c r="D1297" s="14">
        <f t="shared" ca="1" si="9"/>
        <v>3817.0920000000015</v>
      </c>
      <c r="E1297" s="17"/>
      <c r="F1297" s="17"/>
    </row>
    <row r="1298" spans="1:6" ht="12.75" x14ac:dyDescent="0.2">
      <c r="A1298" s="13">
        <f ca="1">IFERROR(__xludf.DUMMYFUNCTION("""COMPUTED_VALUE"""),45748.6458333333)</f>
        <v>45748.645833333299</v>
      </c>
      <c r="B1298" s="14">
        <f ca="1">IFERROR(__xludf.DUMMYFUNCTION("""COMPUTED_VALUE"""),3550.8)</f>
        <v>3550.8</v>
      </c>
      <c r="C1298" s="15">
        <f t="shared" ca="1" si="10"/>
        <v>-1.5348779168919746E-2</v>
      </c>
      <c r="D1298" s="14">
        <f t="shared" ca="1" si="9"/>
        <v>3803.9820000000013</v>
      </c>
      <c r="E1298" s="17"/>
      <c r="F1298" s="17"/>
    </row>
    <row r="1299" spans="1:6" ht="12.75" x14ac:dyDescent="0.2">
      <c r="A1299" s="13">
        <f ca="1">IFERROR(__xludf.DUMMYFUNCTION("""COMPUTED_VALUE"""),45749.6458333333)</f>
        <v>45749.645833333299</v>
      </c>
      <c r="B1299" s="14">
        <f ca="1">IFERROR(__xludf.DUMMYFUNCTION("""COMPUTED_VALUE"""),3543.95)</f>
        <v>3543.95</v>
      </c>
      <c r="C1299" s="15">
        <f t="shared" ca="1" si="10"/>
        <v>-1.9291427283993912E-3</v>
      </c>
      <c r="D1299" s="14">
        <f t="shared" ca="1" si="9"/>
        <v>3792.3750000000014</v>
      </c>
      <c r="E1299" s="17"/>
      <c r="F1299" s="17"/>
    </row>
    <row r="1300" spans="1:6" ht="12.75" x14ac:dyDescent="0.2">
      <c r="A1300" s="13">
        <f ca="1">IFERROR(__xludf.DUMMYFUNCTION("""COMPUTED_VALUE"""),45750.6458333333)</f>
        <v>45750.645833333299</v>
      </c>
      <c r="B1300" s="14">
        <f ca="1">IFERROR(__xludf.DUMMYFUNCTION("""COMPUTED_VALUE"""),3403.15)</f>
        <v>3403.15</v>
      </c>
      <c r="C1300" s="15">
        <f t="shared" ca="1" si="10"/>
        <v>-3.9729680159144354E-2</v>
      </c>
      <c r="D1300" s="14">
        <f t="shared" ca="1" si="9"/>
        <v>3778.8820000000005</v>
      </c>
      <c r="E1300" s="17"/>
      <c r="F1300" s="17"/>
    </row>
    <row r="1301" spans="1:6" ht="12.75" x14ac:dyDescent="0.2">
      <c r="A1301" s="13">
        <f ca="1">IFERROR(__xludf.DUMMYFUNCTION("""COMPUTED_VALUE"""),45751.6458333333)</f>
        <v>45751.645833333299</v>
      </c>
      <c r="B1301" s="14">
        <f ca="1">IFERROR(__xludf.DUMMYFUNCTION("""COMPUTED_VALUE"""),3299.4)</f>
        <v>3299.4</v>
      </c>
      <c r="C1301" s="15">
        <f t="shared" ca="1" si="10"/>
        <v>-3.0486461072829596E-2</v>
      </c>
      <c r="D1301" s="14">
        <f t="shared" ca="1" si="9"/>
        <v>3764.1530000000012</v>
      </c>
      <c r="E1301" s="17"/>
      <c r="F1301" s="17"/>
    </row>
    <row r="1302" spans="1:6" ht="12.75" x14ac:dyDescent="0.2">
      <c r="A1302" s="13">
        <f ca="1">IFERROR(__xludf.DUMMYFUNCTION("""COMPUTED_VALUE"""),45754.6458333333)</f>
        <v>45754.645833333299</v>
      </c>
      <c r="B1302" s="14">
        <f ca="1">IFERROR(__xludf.DUMMYFUNCTION("""COMPUTED_VALUE"""),3274.05)</f>
        <v>3274.05</v>
      </c>
      <c r="C1302" s="15">
        <f t="shared" ca="1" si="10"/>
        <v>-7.6832151300235685E-3</v>
      </c>
      <c r="D1302" s="14">
        <f t="shared" ca="1" si="9"/>
        <v>3746.5020000000009</v>
      </c>
      <c r="E1302" s="17"/>
      <c r="F1302" s="17"/>
    </row>
    <row r="1303" spans="1:6" ht="12.75" x14ac:dyDescent="0.2">
      <c r="A1303" s="13">
        <f ca="1">IFERROR(__xludf.DUMMYFUNCTION("""COMPUTED_VALUE"""),45755.6458333333)</f>
        <v>45755.645833333299</v>
      </c>
      <c r="B1303" s="14">
        <f ca="1">IFERROR(__xludf.DUMMYFUNCTION("""COMPUTED_VALUE"""),3292.95)</f>
        <v>3292.95</v>
      </c>
      <c r="C1303" s="15">
        <f t="shared" ca="1" si="10"/>
        <v>5.7726668804689574E-3</v>
      </c>
      <c r="D1303" s="14">
        <f t="shared" ca="1" si="9"/>
        <v>3729.4520000000007</v>
      </c>
      <c r="E1303" s="17"/>
      <c r="F1303" s="17"/>
    </row>
    <row r="1304" spans="1:6" ht="12.75" x14ac:dyDescent="0.2">
      <c r="A1304" s="13">
        <f ca="1">IFERROR(__xludf.DUMMYFUNCTION("""COMPUTED_VALUE"""),45756.6458333333)</f>
        <v>45756.645833333299</v>
      </c>
      <c r="B1304" s="14">
        <f ca="1">IFERROR(__xludf.DUMMYFUNCTION("""COMPUTED_VALUE"""),3246.6)</f>
        <v>3246.6</v>
      </c>
      <c r="C1304" s="15">
        <f t="shared" ca="1" si="10"/>
        <v>-1.4075524985195598E-2</v>
      </c>
      <c r="D1304" s="14">
        <f t="shared" ca="1" si="9"/>
        <v>3711.3370000000009</v>
      </c>
      <c r="E1304" s="17"/>
      <c r="F1304" s="17"/>
    </row>
    <row r="1305" spans="1:6" ht="12.75" x14ac:dyDescent="0.2">
      <c r="A1305" s="13">
        <f ca="1">IFERROR(__xludf.DUMMYFUNCTION("""COMPUTED_VALUE"""),45758.6458333333)</f>
        <v>45758.645833333299</v>
      </c>
      <c r="B1305" s="14">
        <f ca="1">IFERROR(__xludf.DUMMYFUNCTION("""COMPUTED_VALUE"""),3231.5)</f>
        <v>3231.5</v>
      </c>
      <c r="C1305" s="15">
        <f t="shared" ca="1" si="10"/>
        <v>-4.651019528121747E-3</v>
      </c>
      <c r="D1305" s="14">
        <f t="shared" ca="1" si="9"/>
        <v>3694.6640000000002</v>
      </c>
      <c r="E1305" s="17"/>
      <c r="F1305" s="17"/>
    </row>
    <row r="1306" spans="1:6" ht="12.75" x14ac:dyDescent="0.2">
      <c r="A1306" s="13">
        <f ca="1">IFERROR(__xludf.DUMMYFUNCTION("""COMPUTED_VALUE"""),45762.6458333333)</f>
        <v>45762.645833333299</v>
      </c>
      <c r="B1306" s="14">
        <f ca="1">IFERROR(__xludf.DUMMYFUNCTION("""COMPUTED_VALUE"""),3248.2)</f>
        <v>3248.2</v>
      </c>
      <c r="C1306" s="15">
        <f t="shared" ca="1" si="10"/>
        <v>5.1678786941049548E-3</v>
      </c>
      <c r="D1306" s="14">
        <f t="shared" ca="1" si="9"/>
        <v>3678.8220000000006</v>
      </c>
      <c r="E1306" s="17"/>
      <c r="F1306" s="17"/>
    </row>
    <row r="1307" spans="1:6" ht="12.75" x14ac:dyDescent="0.2">
      <c r="A1307" s="13">
        <f ca="1">IFERROR(__xludf.DUMMYFUNCTION("""COMPUTED_VALUE"""),45763.6458333333)</f>
        <v>45763.645833333299</v>
      </c>
      <c r="B1307" s="14">
        <f ca="1">IFERROR(__xludf.DUMMYFUNCTION("""COMPUTED_VALUE"""),3273.8)</f>
        <v>3273.8</v>
      </c>
      <c r="C1307" s="15">
        <f t="shared" ca="1" si="10"/>
        <v>7.8812880980236866E-3</v>
      </c>
      <c r="D1307" s="14">
        <f t="shared" ca="1" si="9"/>
        <v>3662.3020000000001</v>
      </c>
      <c r="E1307" s="17"/>
      <c r="F1307" s="17"/>
    </row>
    <row r="1308" spans="1:6" ht="12.75" x14ac:dyDescent="0.2">
      <c r="A1308" s="13">
        <f ca="1">IFERROR(__xludf.DUMMYFUNCTION("""COMPUTED_VALUE"""),45764.6458333333)</f>
        <v>45764.645833333299</v>
      </c>
      <c r="B1308" s="14">
        <f ca="1">IFERROR(__xludf.DUMMYFUNCTION("""COMPUTED_VALUE"""),3298.9)</f>
        <v>3298.9</v>
      </c>
      <c r="C1308" s="15">
        <f t="shared" ca="1" si="10"/>
        <v>7.6669313947095308E-3</v>
      </c>
      <c r="D1308" s="14">
        <f t="shared" ca="1" si="9"/>
        <v>3646.2790000000005</v>
      </c>
      <c r="E1308" s="17"/>
      <c r="F1308" s="17"/>
    </row>
    <row r="1309" spans="1:6" ht="12.75" x14ac:dyDescent="0.2">
      <c r="A1309" s="13">
        <f ca="1">IFERROR(__xludf.DUMMYFUNCTION("""COMPUTED_VALUE"""),45768.6458333333)</f>
        <v>45768.645833333299</v>
      </c>
      <c r="B1309" s="14">
        <f ca="1">IFERROR(__xludf.DUMMYFUNCTION("""COMPUTED_VALUE"""),3321.6)</f>
        <v>3321.6</v>
      </c>
      <c r="C1309" s="15">
        <f t="shared" ca="1" si="10"/>
        <v>6.8810815726454422E-3</v>
      </c>
      <c r="D1309" s="14">
        <f t="shared" ca="1" si="9"/>
        <v>3630.4629999999997</v>
      </c>
      <c r="E1309" s="17"/>
      <c r="F1309" s="17"/>
    </row>
    <row r="1310" spans="1:6" ht="12.75" x14ac:dyDescent="0.2">
      <c r="A1310" s="13">
        <f ca="1">IFERROR(__xludf.DUMMYFUNCTION("""COMPUTED_VALUE"""),45769.6458333333)</f>
        <v>45769.645833333299</v>
      </c>
      <c r="B1310" s="14">
        <f ca="1">IFERROR(__xludf.DUMMYFUNCTION("""COMPUTED_VALUE"""),3314.4)</f>
        <v>3314.4</v>
      </c>
      <c r="C1310" s="15">
        <f t="shared" ca="1" si="10"/>
        <v>-2.1676300578034047E-3</v>
      </c>
      <c r="D1310" s="14">
        <f t="shared" ca="1" si="9"/>
        <v>3615.3779999999997</v>
      </c>
      <c r="E1310" s="17"/>
      <c r="F1310" s="17"/>
    </row>
    <row r="1311" spans="1:6" ht="12.75" x14ac:dyDescent="0.2">
      <c r="A1311" s="13">
        <f ca="1">IFERROR(__xludf.DUMMYFUNCTION("""COMPUTED_VALUE"""),45770.6458333333)</f>
        <v>45770.645833333299</v>
      </c>
      <c r="B1311" s="14">
        <f ca="1">IFERROR(__xludf.DUMMYFUNCTION("""COMPUTED_VALUE"""),3413)</f>
        <v>3413</v>
      </c>
      <c r="C1311" s="15">
        <f t="shared" ca="1" si="10"/>
        <v>2.9748974173304354E-2</v>
      </c>
      <c r="D1311" s="14">
        <f t="shared" ca="1" si="9"/>
        <v>3601.4970000000003</v>
      </c>
      <c r="E1311" s="17"/>
      <c r="F1311" s="17"/>
    </row>
    <row r="1312" spans="1:6" ht="12.75" x14ac:dyDescent="0.2">
      <c r="A1312" s="13">
        <f ca="1">IFERROR(__xludf.DUMMYFUNCTION("""COMPUTED_VALUE"""),45771.6458333333)</f>
        <v>45771.645833333299</v>
      </c>
      <c r="B1312" s="14">
        <f ca="1">IFERROR(__xludf.DUMMYFUNCTION("""COMPUTED_VALUE"""),3401.6)</f>
        <v>3401.6</v>
      </c>
      <c r="C1312" s="15">
        <f t="shared" ca="1" si="10"/>
        <v>-3.3401699384705275E-3</v>
      </c>
      <c r="D1312" s="14">
        <f t="shared" ca="1" si="9"/>
        <v>3587.7070000000003</v>
      </c>
      <c r="E1312" s="17"/>
      <c r="F1312" s="17"/>
    </row>
    <row r="1313" spans="1:6" ht="12.75" x14ac:dyDescent="0.2">
      <c r="A1313" s="13">
        <f ca="1">IFERROR(__xludf.DUMMYFUNCTION("""COMPUTED_VALUE"""),45772.6458333333)</f>
        <v>45772.645833333299</v>
      </c>
      <c r="B1313" s="14">
        <f ca="1">IFERROR(__xludf.DUMMYFUNCTION("""COMPUTED_VALUE"""),3448)</f>
        <v>3448</v>
      </c>
      <c r="C1313" s="15">
        <f t="shared" ca="1" si="10"/>
        <v>1.3640639698965229E-2</v>
      </c>
      <c r="D1313" s="14">
        <f t="shared" ca="1" si="9"/>
        <v>3575.0120000000002</v>
      </c>
      <c r="E1313" s="17"/>
      <c r="F1313" s="17"/>
    </row>
    <row r="1314" spans="1:6" ht="12.75" x14ac:dyDescent="0.2">
      <c r="A1314" s="13">
        <f ca="1">IFERROR(__xludf.DUMMYFUNCTION("""COMPUTED_VALUE"""),45775.6458333333)</f>
        <v>45775.645833333299</v>
      </c>
      <c r="B1314" s="14">
        <f ca="1">IFERROR(__xludf.DUMMYFUNCTION("""COMPUTED_VALUE"""),3443.5)</f>
        <v>3443.5</v>
      </c>
      <c r="C1314" s="15">
        <f t="shared" ca="1" si="10"/>
        <v>-1.3051044083526309E-3</v>
      </c>
      <c r="D1314" s="14">
        <f t="shared" ca="1" si="9"/>
        <v>3563.2940000000003</v>
      </c>
      <c r="E1314" s="17"/>
      <c r="F1314" s="17"/>
    </row>
    <row r="1315" spans="1:6" ht="12.75" x14ac:dyDescent="0.2">
      <c r="A1315" s="13">
        <f ca="1">IFERROR(__xludf.DUMMYFUNCTION("""COMPUTED_VALUE"""),45776.6458333333)</f>
        <v>45776.645833333299</v>
      </c>
      <c r="B1315" s="14">
        <f ca="1">IFERROR(__xludf.DUMMYFUNCTION("""COMPUTED_VALUE"""),3472.5)</f>
        <v>3472.5</v>
      </c>
      <c r="C1315" s="15">
        <f t="shared" ca="1" si="10"/>
        <v>8.4216640046463898E-3</v>
      </c>
      <c r="D1315" s="14">
        <f t="shared" ca="1" si="9"/>
        <v>3552.0050000000001</v>
      </c>
      <c r="E1315" s="17"/>
      <c r="F1315" s="17"/>
    </row>
    <row r="1316" spans="1:6" ht="12.75" x14ac:dyDescent="0.2">
      <c r="A1316" s="13">
        <f ca="1">IFERROR(__xludf.DUMMYFUNCTION("""COMPUTED_VALUE"""),45777.6458333333)</f>
        <v>45777.645833333299</v>
      </c>
      <c r="B1316" s="14">
        <f ca="1">IFERROR(__xludf.DUMMYFUNCTION("""COMPUTED_VALUE"""),3453.7)</f>
        <v>3453.7</v>
      </c>
      <c r="C1316" s="15">
        <f t="shared" ca="1" si="10"/>
        <v>-5.4139668826493903E-3</v>
      </c>
      <c r="D1316" s="14">
        <f t="shared" ca="1" si="9"/>
        <v>3541.8080000000004</v>
      </c>
      <c r="E1316" s="17"/>
      <c r="F1316" s="17"/>
    </row>
    <row r="1317" spans="1:6" ht="12.75" x14ac:dyDescent="0.2">
      <c r="A1317" s="13">
        <f ca="1">IFERROR(__xludf.DUMMYFUNCTION("""COMPUTED_VALUE"""),45779.6458333333)</f>
        <v>45779.645833333299</v>
      </c>
      <c r="B1317" s="14">
        <f ca="1">IFERROR(__xludf.DUMMYFUNCTION("""COMPUTED_VALUE"""),3444.7)</f>
        <v>3444.7</v>
      </c>
      <c r="C1317" s="15">
        <f t="shared" ca="1" si="10"/>
        <v>-2.6059009178561743E-3</v>
      </c>
      <c r="D1317" s="14">
        <f t="shared" ca="1" si="9"/>
        <v>3531.6990000000001</v>
      </c>
      <c r="E1317" s="17"/>
      <c r="F1317" s="17"/>
    </row>
    <row r="1318" spans="1:6" ht="12.75" x14ac:dyDescent="0.2">
      <c r="A1318" s="13">
        <f ca="1">IFERROR(__xludf.DUMMYFUNCTION("""COMPUTED_VALUE"""),45782.6458333333)</f>
        <v>45782.645833333299</v>
      </c>
      <c r="B1318" s="14">
        <f ca="1">IFERROR(__xludf.DUMMYFUNCTION("""COMPUTED_VALUE"""),3454.3)</f>
        <v>3454.3</v>
      </c>
      <c r="C1318" s="15">
        <f t="shared" ca="1" si="10"/>
        <v>2.7868900049352607E-3</v>
      </c>
      <c r="D1318" s="14">
        <f t="shared" ca="1" si="9"/>
        <v>3522.5820000000003</v>
      </c>
      <c r="E1318" s="17"/>
      <c r="F1318" s="17"/>
    </row>
    <row r="1319" spans="1:6" ht="12.75" x14ac:dyDescent="0.2">
      <c r="A1319" s="13">
        <f ca="1">IFERROR(__xludf.DUMMYFUNCTION("""COMPUTED_VALUE"""),45783.6458333333)</f>
        <v>45783.645833333299</v>
      </c>
      <c r="B1319" s="14">
        <f ca="1">IFERROR(__xludf.DUMMYFUNCTION("""COMPUTED_VALUE"""),3460)</f>
        <v>3460</v>
      </c>
      <c r="C1319" s="15">
        <f t="shared" ca="1" si="10"/>
        <v>1.6501172451726109E-3</v>
      </c>
      <c r="D1319" s="14">
        <f t="shared" ca="1" si="9"/>
        <v>3513.085</v>
      </c>
      <c r="E1319" s="17"/>
      <c r="F1319" s="17"/>
    </row>
    <row r="1320" spans="1:6" ht="12.75" x14ac:dyDescent="0.2">
      <c r="A1320" s="13">
        <f ca="1">IFERROR(__xludf.DUMMYFUNCTION("""COMPUTED_VALUE"""),45784.6458333333)</f>
        <v>45784.645833333299</v>
      </c>
      <c r="B1320" s="14">
        <f ca="1">IFERROR(__xludf.DUMMYFUNCTION("""COMPUTED_VALUE"""),3445.1)</f>
        <v>3445.1</v>
      </c>
      <c r="C1320" s="15">
        <f t="shared" ca="1" si="10"/>
        <v>-4.3063583815029505E-3</v>
      </c>
      <c r="D1320" s="14">
        <f t="shared" ca="1" si="9"/>
        <v>3503.8969999999999</v>
      </c>
      <c r="E1320" s="17"/>
      <c r="F1320" s="17"/>
    </row>
    <row r="1321" spans="1:6" ht="12.75" x14ac:dyDescent="0.2">
      <c r="A1321" s="13">
        <f ca="1">IFERROR(__xludf.DUMMYFUNCTION("""COMPUTED_VALUE"""),45785.6458333333)</f>
        <v>45785.645833333299</v>
      </c>
      <c r="B1321" s="14">
        <f ca="1">IFERROR(__xludf.DUMMYFUNCTION("""COMPUTED_VALUE"""),3448.9)</f>
        <v>3448.9</v>
      </c>
      <c r="C1321" s="15">
        <f t="shared" ca="1" si="10"/>
        <v>1.1030158776232923E-3</v>
      </c>
      <c r="D1321" s="14">
        <f t="shared" ca="1" si="9"/>
        <v>3495.4109999999996</v>
      </c>
      <c r="E1321" s="17"/>
      <c r="F1321" s="17"/>
    </row>
    <row r="1322" spans="1:6" ht="12.75" x14ac:dyDescent="0.2">
      <c r="A1322" s="13">
        <f ca="1">IFERROR(__xludf.DUMMYFUNCTION("""COMPUTED_VALUE"""),45786.6458333333)</f>
        <v>45786.645833333299</v>
      </c>
      <c r="B1322" s="14">
        <f ca="1">IFERROR(__xludf.DUMMYFUNCTION("""COMPUTED_VALUE"""),3440.3)</f>
        <v>3440.3</v>
      </c>
      <c r="C1322" s="15">
        <f t="shared" ca="1" si="10"/>
        <v>-2.4935486676911367E-3</v>
      </c>
      <c r="D1322" s="14">
        <f t="shared" ca="1" si="9"/>
        <v>3488.5349999999999</v>
      </c>
      <c r="E1322" s="17"/>
      <c r="F1322" s="17"/>
    </row>
    <row r="1323" spans="1:6" ht="12.75" x14ac:dyDescent="0.2">
      <c r="A1323" s="13">
        <f ca="1">IFERROR(__xludf.DUMMYFUNCTION("""COMPUTED_VALUE"""),45789.6458333333)</f>
        <v>45789.645833333299</v>
      </c>
      <c r="B1323" s="14">
        <f ca="1">IFERROR(__xludf.DUMMYFUNCTION("""COMPUTED_VALUE"""),3620.4)</f>
        <v>3620.4</v>
      </c>
      <c r="C1323" s="15">
        <f t="shared" ca="1" si="10"/>
        <v>5.2350085748335884E-2</v>
      </c>
      <c r="D1323" s="14">
        <f t="shared" ca="1" si="9"/>
        <v>3485.3549999999996</v>
      </c>
      <c r="E1323" s="17"/>
      <c r="F1323" s="17"/>
    </row>
    <row r="1324" spans="1:6" ht="12.75" x14ac:dyDescent="0.2">
      <c r="A1324" s="13">
        <f ca="1">IFERROR(__xludf.DUMMYFUNCTION("""COMPUTED_VALUE"""),45790.6458333333)</f>
        <v>45790.645833333299</v>
      </c>
      <c r="B1324" s="14">
        <f ca="1">IFERROR(__xludf.DUMMYFUNCTION("""COMPUTED_VALUE"""),3515)</f>
        <v>3515</v>
      </c>
      <c r="C1324" s="15">
        <f t="shared" ca="1" si="10"/>
        <v>-2.9112805214893456E-2</v>
      </c>
      <c r="D1324" s="14">
        <f t="shared" ca="1" si="9"/>
        <v>3479.9349999999995</v>
      </c>
      <c r="E1324" s="17"/>
      <c r="F1324" s="17"/>
    </row>
    <row r="1325" spans="1:6" ht="12.75" x14ac:dyDescent="0.2">
      <c r="A1325" s="13">
        <f ca="1">IFERROR(__xludf.DUMMYFUNCTION("""COMPUTED_VALUE"""),45791.6458333333)</f>
        <v>45791.645833333299</v>
      </c>
      <c r="B1325" s="14">
        <f ca="1">IFERROR(__xludf.DUMMYFUNCTION("""COMPUTED_VALUE"""),3548.7)</f>
        <v>3548.7</v>
      </c>
      <c r="C1325" s="15">
        <f t="shared" ca="1" si="10"/>
        <v>9.5874822190611386E-3</v>
      </c>
      <c r="D1325" s="14">
        <f t="shared" ca="1" si="9"/>
        <v>3477.3969999999995</v>
      </c>
      <c r="E1325" s="17"/>
      <c r="F1325" s="17"/>
    </row>
    <row r="1326" spans="1:6" ht="12.75" x14ac:dyDescent="0.2">
      <c r="A1326" s="13">
        <f ca="1">IFERROR(__xludf.DUMMYFUNCTION("""COMPUTED_VALUE"""),45792.6458333333)</f>
        <v>45792.645833333299</v>
      </c>
      <c r="B1326" s="14">
        <f ca="1">IFERROR(__xludf.DUMMYFUNCTION("""COMPUTED_VALUE"""),3579.9)</f>
        <v>3579.9</v>
      </c>
      <c r="C1326" s="15">
        <f t="shared" ca="1" si="10"/>
        <v>8.791951982416224E-3</v>
      </c>
      <c r="D1326" s="14">
        <f t="shared" ref="D1326:D1484" ca="1" si="11">AVERAGE(B1277:B1326)</f>
        <v>3476.4039999999995</v>
      </c>
      <c r="E1326" s="17"/>
      <c r="F1326" s="17"/>
    </row>
    <row r="1327" spans="1:6" ht="12.75" x14ac:dyDescent="0.2">
      <c r="A1327" s="13">
        <f ca="1">IFERROR(__xludf.DUMMYFUNCTION("""COMPUTED_VALUE"""),45793.6458333333)</f>
        <v>45793.645833333299</v>
      </c>
      <c r="B1327" s="14">
        <f ca="1">IFERROR(__xludf.DUMMYFUNCTION("""COMPUTED_VALUE"""),3561.3)</f>
        <v>3561.3</v>
      </c>
      <c r="C1327" s="15">
        <f t="shared" ca="1" si="10"/>
        <v>-5.1956758568675321E-3</v>
      </c>
      <c r="D1327" s="14">
        <f t="shared" ca="1" si="11"/>
        <v>3475.378999999999</v>
      </c>
      <c r="E1327" s="17"/>
      <c r="F1327" s="17"/>
    </row>
    <row r="1328" spans="1:6" ht="12.75" x14ac:dyDescent="0.2">
      <c r="A1328" s="13">
        <f ca="1">IFERROR(__xludf.DUMMYFUNCTION("""COMPUTED_VALUE"""),45796.6458333333)</f>
        <v>45796.645833333299</v>
      </c>
      <c r="B1328" s="14">
        <f ca="1">IFERROR(__xludf.DUMMYFUNCTION("""COMPUTED_VALUE"""),3518.8)</f>
        <v>3518.8</v>
      </c>
      <c r="C1328" s="15">
        <f t="shared" ca="1" si="10"/>
        <v>-1.1933844382669201E-2</v>
      </c>
      <c r="D1328" s="14">
        <f t="shared" ca="1" si="11"/>
        <v>3476.0899999999988</v>
      </c>
      <c r="E1328" s="17"/>
      <c r="F1328" s="17"/>
    </row>
    <row r="1329" spans="1:6" ht="12.75" x14ac:dyDescent="0.2">
      <c r="A1329" s="13">
        <f ca="1">IFERROR(__xludf.DUMMYFUNCTION("""COMPUTED_VALUE"""),45797.6458333333)</f>
        <v>45797.645833333299</v>
      </c>
      <c r="B1329" s="14">
        <f ca="1">IFERROR(__xludf.DUMMYFUNCTION("""COMPUTED_VALUE"""),3498.3)</f>
        <v>3498.3</v>
      </c>
      <c r="C1329" s="15">
        <f t="shared" ca="1" si="10"/>
        <v>-5.8258497214959126E-3</v>
      </c>
      <c r="D1329" s="14">
        <f t="shared" ca="1" si="11"/>
        <v>3476.1949999999988</v>
      </c>
      <c r="E1329" s="17"/>
      <c r="F1329" s="17"/>
    </row>
    <row r="1330" spans="1:6" ht="12.75" x14ac:dyDescent="0.2">
      <c r="A1330" s="13">
        <f ca="1">IFERROR(__xludf.DUMMYFUNCTION("""COMPUTED_VALUE"""),45798.6458333333)</f>
        <v>45798.645833333299</v>
      </c>
      <c r="B1330" s="14">
        <f ca="1">IFERROR(__xludf.DUMMYFUNCTION("""COMPUTED_VALUE"""),3525.8)</f>
        <v>3525.8</v>
      </c>
      <c r="C1330" s="15">
        <f t="shared" ca="1" si="10"/>
        <v>7.8609610382185391E-3</v>
      </c>
      <c r="D1330" s="14">
        <f t="shared" ca="1" si="11"/>
        <v>3476.0699999999988</v>
      </c>
      <c r="E1330" s="17"/>
      <c r="F1330" s="17"/>
    </row>
    <row r="1331" spans="1:6" ht="12.75" x14ac:dyDescent="0.2">
      <c r="A1331" s="13">
        <f ca="1">IFERROR(__xludf.DUMMYFUNCTION("""COMPUTED_VALUE"""),45799.6458333333)</f>
        <v>45799.645833333299</v>
      </c>
      <c r="B1331" s="14">
        <f ca="1">IFERROR(__xludf.DUMMYFUNCTION("""COMPUTED_VALUE"""),3477)</f>
        <v>3477</v>
      </c>
      <c r="C1331" s="15">
        <f t="shared" ca="1" si="10"/>
        <v>-1.3840830449827091E-2</v>
      </c>
      <c r="D1331" s="14">
        <f t="shared" ca="1" si="11"/>
        <v>3474.668999999999</v>
      </c>
      <c r="E1331" s="17"/>
      <c r="F1331" s="17"/>
    </row>
    <row r="1332" spans="1:6" ht="12.75" x14ac:dyDescent="0.2">
      <c r="A1332" s="13">
        <f ca="1">IFERROR(__xludf.DUMMYFUNCTION("""COMPUTED_VALUE"""),45800.6458333333)</f>
        <v>45800.645833333299</v>
      </c>
      <c r="B1332" s="14">
        <f ca="1">IFERROR(__xludf.DUMMYFUNCTION("""COMPUTED_VALUE"""),3514.6)</f>
        <v>3514.6</v>
      </c>
      <c r="C1332" s="15">
        <f t="shared" ca="1" si="10"/>
        <v>1.0813920046016667E-2</v>
      </c>
      <c r="D1332" s="14">
        <f t="shared" ca="1" si="11"/>
        <v>3472.9289999999992</v>
      </c>
      <c r="E1332" s="17"/>
      <c r="F1332" s="17"/>
    </row>
    <row r="1333" spans="1:6" ht="12.75" x14ac:dyDescent="0.2">
      <c r="A1333" s="13">
        <f ca="1">IFERROR(__xludf.DUMMYFUNCTION("""COMPUTED_VALUE"""),45803.6458333333)</f>
        <v>45803.645833333299</v>
      </c>
      <c r="B1333" s="14">
        <f ca="1">IFERROR(__xludf.DUMMYFUNCTION("""COMPUTED_VALUE"""),3537.3)</f>
        <v>3537.3</v>
      </c>
      <c r="C1333" s="15">
        <f t="shared" ca="1" si="10"/>
        <v>6.458771979741762E-3</v>
      </c>
      <c r="D1333" s="14">
        <f t="shared" ca="1" si="11"/>
        <v>3471.4509999999991</v>
      </c>
      <c r="E1333" s="17"/>
      <c r="F1333" s="17"/>
    </row>
    <row r="1334" spans="1:6" ht="12.75" x14ac:dyDescent="0.2">
      <c r="A1334" s="13">
        <f ca="1">IFERROR(__xludf.DUMMYFUNCTION("""COMPUTED_VALUE"""),45804.6458333333)</f>
        <v>45804.645833333299</v>
      </c>
      <c r="B1334" s="14">
        <f ca="1">IFERROR(__xludf.DUMMYFUNCTION("""COMPUTED_VALUE"""),3498.7)</f>
        <v>3498.7</v>
      </c>
      <c r="C1334" s="15">
        <f t="shared" ca="1" si="10"/>
        <v>-1.0912277725949271E-2</v>
      </c>
      <c r="D1334" s="14">
        <f t="shared" ca="1" si="11"/>
        <v>3469.6319999999996</v>
      </c>
      <c r="E1334" s="17"/>
      <c r="F1334" s="17"/>
    </row>
    <row r="1335" spans="1:6" ht="12.75" x14ac:dyDescent="0.2">
      <c r="A1335" s="13">
        <f ca="1">IFERROR(__xludf.DUMMYFUNCTION("""COMPUTED_VALUE"""),45805.6458333333)</f>
        <v>45805.645833333299</v>
      </c>
      <c r="B1335" s="14">
        <f ca="1">IFERROR(__xludf.DUMMYFUNCTION("""COMPUTED_VALUE"""),3497.7)</f>
        <v>3497.7</v>
      </c>
      <c r="C1335" s="15">
        <f t="shared" ca="1" si="10"/>
        <v>-2.8582044759484226E-4</v>
      </c>
      <c r="D1335" s="14">
        <f t="shared" ca="1" si="11"/>
        <v>3468.0799999999995</v>
      </c>
      <c r="E1335" s="17"/>
      <c r="F1335" s="17"/>
    </row>
    <row r="1336" spans="1:6" ht="12.75" x14ac:dyDescent="0.2">
      <c r="A1336" s="13">
        <f ca="1">IFERROR(__xludf.DUMMYFUNCTION("""COMPUTED_VALUE"""),45806.6458333333)</f>
        <v>45806.645833333299</v>
      </c>
      <c r="B1336" s="14">
        <f ca="1">IFERROR(__xludf.DUMMYFUNCTION("""COMPUTED_VALUE"""),3498.1)</f>
        <v>3498.1</v>
      </c>
      <c r="C1336" s="15">
        <f t="shared" ca="1" si="10"/>
        <v>1.1436086571170456E-4</v>
      </c>
      <c r="D1336" s="14">
        <f t="shared" ca="1" si="11"/>
        <v>3467.9179999999997</v>
      </c>
      <c r="E1336" s="17"/>
      <c r="F1336" s="17"/>
    </row>
    <row r="1337" spans="1:6" ht="12.75" x14ac:dyDescent="0.2">
      <c r="A1337" s="13">
        <f ca="1">IFERROR(__xludf.DUMMYFUNCTION("""COMPUTED_VALUE"""),45807.6458333333)</f>
        <v>45807.645833333299</v>
      </c>
      <c r="B1337" s="14">
        <f ca="1">IFERROR(__xludf.DUMMYFUNCTION("""COMPUTED_VALUE"""),3463.4)</f>
        <v>3463.4</v>
      </c>
      <c r="C1337" s="15">
        <f t="shared" ca="1" si="10"/>
        <v>-9.9196706783681865E-3</v>
      </c>
      <c r="D1337" s="14">
        <f t="shared" ca="1" si="11"/>
        <v>3466.9649999999992</v>
      </c>
      <c r="E1337" s="17"/>
      <c r="F1337" s="17"/>
    </row>
    <row r="1338" spans="1:6" ht="12.75" x14ac:dyDescent="0.2">
      <c r="A1338" s="13">
        <f ca="1">IFERROR(__xludf.DUMMYFUNCTION("""COMPUTED_VALUE"""),45810.6458333333)</f>
        <v>45810.645833333299</v>
      </c>
      <c r="B1338" s="14">
        <f ca="1">IFERROR(__xludf.DUMMYFUNCTION("""COMPUTED_VALUE"""),3449.8)</f>
        <v>3449.8</v>
      </c>
      <c r="C1338" s="15">
        <f t="shared" ca="1" si="10"/>
        <v>-3.9267771553963549E-3</v>
      </c>
      <c r="D1338" s="14">
        <f t="shared" ca="1" si="11"/>
        <v>3466.0069999999992</v>
      </c>
      <c r="E1338" s="17"/>
      <c r="F1338" s="17"/>
    </row>
    <row r="1339" spans="1:6" ht="12.75" x14ac:dyDescent="0.2">
      <c r="A1339" s="13">
        <f ca="1">IFERROR(__xludf.DUMMYFUNCTION("""COMPUTED_VALUE"""),45811.6458333333)</f>
        <v>45811.645833333299</v>
      </c>
      <c r="B1339" s="14">
        <f ca="1">IFERROR(__xludf.DUMMYFUNCTION("""COMPUTED_VALUE"""),3405.2)</f>
        <v>3405.2</v>
      </c>
      <c r="C1339" s="15">
        <f t="shared" ca="1" si="10"/>
        <v>-1.2928285697721753E-2</v>
      </c>
      <c r="D1339" s="14">
        <f t="shared" ca="1" si="11"/>
        <v>3463.0619999999994</v>
      </c>
      <c r="E1339" s="17"/>
      <c r="F1339" s="17"/>
    </row>
    <row r="1340" spans="1:6" ht="12.75" x14ac:dyDescent="0.2">
      <c r="A1340" s="13">
        <f ca="1">IFERROR(__xludf.DUMMYFUNCTION("""COMPUTED_VALUE"""),45812.6458333333)</f>
        <v>45812.645833333299</v>
      </c>
      <c r="B1340" s="14">
        <f ca="1">IFERROR(__xludf.DUMMYFUNCTION("""COMPUTED_VALUE"""),3380.9)</f>
        <v>3380.9</v>
      </c>
      <c r="C1340" s="15">
        <f t="shared" ca="1" si="10"/>
        <v>-7.1361447198401429E-3</v>
      </c>
      <c r="D1340" s="14">
        <f t="shared" ca="1" si="11"/>
        <v>3460.7379999999994</v>
      </c>
      <c r="E1340" s="17"/>
      <c r="F1340" s="17"/>
    </row>
    <row r="1341" spans="1:6" ht="12.75" x14ac:dyDescent="0.2">
      <c r="A1341" s="13">
        <f ca="1">IFERROR(__xludf.DUMMYFUNCTION("""COMPUTED_VALUE"""),45813.6458333333)</f>
        <v>45813.645833333299</v>
      </c>
      <c r="B1341" s="14">
        <f ca="1">IFERROR(__xludf.DUMMYFUNCTION("""COMPUTED_VALUE"""),3371.1)</f>
        <v>3371.1</v>
      </c>
      <c r="C1341" s="15">
        <f t="shared" ca="1" si="10"/>
        <v>-2.8986364577480161E-3</v>
      </c>
      <c r="D1341" s="14">
        <f t="shared" ca="1" si="11"/>
        <v>3456.8969999999999</v>
      </c>
      <c r="E1341" s="17"/>
      <c r="F1341" s="17"/>
    </row>
    <row r="1342" spans="1:6" ht="12.75" x14ac:dyDescent="0.2">
      <c r="A1342" s="13">
        <f ca="1">IFERROR(__xludf.DUMMYFUNCTION("""COMPUTED_VALUE"""),45814.6458333333)</f>
        <v>45814.645833333299</v>
      </c>
      <c r="B1342" s="14">
        <f ca="1">IFERROR(__xludf.DUMMYFUNCTION("""COMPUTED_VALUE"""),3384.2)</f>
        <v>3384.2</v>
      </c>
      <c r="C1342" s="15">
        <f t="shared" ca="1" si="10"/>
        <v>3.8859719379431557E-3</v>
      </c>
      <c r="D1342" s="14">
        <f t="shared" ca="1" si="11"/>
        <v>3453.0190000000002</v>
      </c>
      <c r="E1342" s="17"/>
      <c r="F1342" s="17"/>
    </row>
    <row r="1343" spans="1:6" ht="12.75" x14ac:dyDescent="0.2">
      <c r="A1343" s="13">
        <f ca="1">IFERROR(__xludf.DUMMYFUNCTION("""COMPUTED_VALUE"""),45817.6458333333)</f>
        <v>45817.645833333299</v>
      </c>
      <c r="B1343" s="14">
        <f ca="1">IFERROR(__xludf.DUMMYFUNCTION("""COMPUTED_VALUE"""),3421.9)</f>
        <v>3421.9</v>
      </c>
      <c r="C1343" s="15">
        <f t="shared" ca="1" si="10"/>
        <v>1.1140003545889732E-2</v>
      </c>
      <c r="D1343" s="14">
        <f t="shared" ca="1" si="11"/>
        <v>3448.8780000000006</v>
      </c>
      <c r="E1343" s="17"/>
      <c r="F1343" s="17"/>
    </row>
    <row r="1344" spans="1:6" ht="12.75" x14ac:dyDescent="0.2">
      <c r="A1344" s="13">
        <f ca="1">IFERROR(__xludf.DUMMYFUNCTION("""COMPUTED_VALUE"""),45818.6458333333)</f>
        <v>45818.645833333299</v>
      </c>
      <c r="B1344" s="14">
        <f ca="1">IFERROR(__xludf.DUMMYFUNCTION("""COMPUTED_VALUE"""),3462.9)</f>
        <v>3462.9</v>
      </c>
      <c r="C1344" s="15">
        <f t="shared" ca="1" si="10"/>
        <v>1.1981647622665736E-2</v>
      </c>
      <c r="D1344" s="14">
        <f t="shared" ca="1" si="11"/>
        <v>3444.9810000000002</v>
      </c>
      <c r="E1344" s="17"/>
      <c r="F1344" s="17"/>
    </row>
    <row r="1345" spans="1:6" ht="12.75" x14ac:dyDescent="0.2">
      <c r="A1345" s="13">
        <f ca="1">IFERROR(__xludf.DUMMYFUNCTION("""COMPUTED_VALUE"""),45819.6458333333)</f>
        <v>45819.645833333299</v>
      </c>
      <c r="B1345" s="14">
        <f ca="1">IFERROR(__xludf.DUMMYFUNCTION("""COMPUTED_VALUE"""),3471.9)</f>
        <v>3471.9</v>
      </c>
      <c r="C1345" s="15">
        <f t="shared" ca="1" si="10"/>
        <v>2.5989777354240573E-3</v>
      </c>
      <c r="D1345" s="14">
        <f t="shared" ca="1" si="11"/>
        <v>3441.7030000000004</v>
      </c>
      <c r="E1345" s="17"/>
      <c r="F1345" s="17"/>
    </row>
    <row r="1346" spans="1:6" ht="12.75" x14ac:dyDescent="0.2">
      <c r="A1346" s="13">
        <f ca="1">IFERROR(__xludf.DUMMYFUNCTION("""COMPUTED_VALUE"""),45820.6458333333)</f>
        <v>45820.645833333299</v>
      </c>
      <c r="B1346" s="14">
        <f ca="1">IFERROR(__xludf.DUMMYFUNCTION("""COMPUTED_VALUE"""),3434.2)</f>
        <v>3434.2</v>
      </c>
      <c r="C1346" s="15">
        <f t="shared" ca="1" si="10"/>
        <v>-1.0858607678792653E-2</v>
      </c>
      <c r="D1346" s="14">
        <f t="shared" ca="1" si="11"/>
        <v>3437.3630000000003</v>
      </c>
      <c r="E1346" s="17"/>
      <c r="F1346" s="17"/>
    </row>
    <row r="1347" spans="1:6" ht="12.75" x14ac:dyDescent="0.2">
      <c r="A1347" s="13">
        <f ca="1">IFERROR(__xludf.DUMMYFUNCTION("""COMPUTED_VALUE"""),45821.6458333333)</f>
        <v>45821.645833333299</v>
      </c>
      <c r="B1347" s="14">
        <f ca="1">IFERROR(__xludf.DUMMYFUNCTION("""COMPUTED_VALUE"""),3445.7)</f>
        <v>3445.7</v>
      </c>
      <c r="C1347" s="15">
        <f t="shared" ca="1" si="10"/>
        <v>3.3486692679518537E-3</v>
      </c>
      <c r="D1347" s="14">
        <f t="shared" ca="1" si="11"/>
        <v>3434.1540000000005</v>
      </c>
      <c r="E1347" s="17"/>
      <c r="F1347" s="17"/>
    </row>
    <row r="1348" spans="1:6" ht="12.75" x14ac:dyDescent="0.2">
      <c r="A1348" s="13">
        <f ca="1">IFERROR(__xludf.DUMMYFUNCTION("""COMPUTED_VALUE"""),45824.6458333333)</f>
        <v>45824.645833333299</v>
      </c>
      <c r="B1348" s="14">
        <f ca="1">IFERROR(__xludf.DUMMYFUNCTION("""COMPUTED_VALUE"""),3496.3)</f>
        <v>3496.3</v>
      </c>
      <c r="C1348" s="15">
        <f t="shared" ca="1" si="10"/>
        <v>1.4684969672345449E-2</v>
      </c>
      <c r="D1348" s="14">
        <f t="shared" ca="1" si="11"/>
        <v>3433.0640000000003</v>
      </c>
      <c r="E1348" s="17"/>
      <c r="F1348" s="17"/>
    </row>
    <row r="1349" spans="1:6" ht="12.75" x14ac:dyDescent="0.2">
      <c r="A1349" s="13">
        <f ca="1">IFERROR(__xludf.DUMMYFUNCTION("""COMPUTED_VALUE"""),45825.6458333333)</f>
        <v>45825.645833333299</v>
      </c>
      <c r="B1349" s="14">
        <f ca="1">IFERROR(__xludf.DUMMYFUNCTION("""COMPUTED_VALUE"""),3515.3)</f>
        <v>3515.3</v>
      </c>
      <c r="C1349" s="15">
        <f t="shared" ca="1" si="10"/>
        <v>5.4343162772072517E-3</v>
      </c>
      <c r="D1349" s="14">
        <f t="shared" ca="1" si="11"/>
        <v>3432.4910000000004</v>
      </c>
      <c r="E1349" s="17"/>
      <c r="F1349" s="17"/>
    </row>
    <row r="1350" spans="1:6" ht="12.75" x14ac:dyDescent="0.2">
      <c r="A1350" s="13">
        <f ca="1">IFERROR(__xludf.DUMMYFUNCTION("""COMPUTED_VALUE"""),45826.6458333333)</f>
        <v>45826.645833333299</v>
      </c>
      <c r="B1350" s="14">
        <f ca="1">IFERROR(__xludf.DUMMYFUNCTION("""COMPUTED_VALUE"""),3451.4)</f>
        <v>3451.4</v>
      </c>
      <c r="C1350" s="15">
        <f t="shared" ca="1" si="10"/>
        <v>-1.8177680425568221E-2</v>
      </c>
      <c r="D1350" s="14">
        <f t="shared" ca="1" si="11"/>
        <v>3433.4559999999997</v>
      </c>
      <c r="E1350" s="17"/>
      <c r="F1350" s="17"/>
    </row>
    <row r="1351" spans="1:6" ht="12.75" x14ac:dyDescent="0.2">
      <c r="A1351" s="13">
        <f ca="1">IFERROR(__xludf.DUMMYFUNCTION("""COMPUTED_VALUE"""),45827.6458333333)</f>
        <v>45827.645833333299</v>
      </c>
      <c r="B1351" s="14">
        <f ca="1">IFERROR(__xludf.DUMMYFUNCTION("""COMPUTED_VALUE"""),3424)</f>
        <v>3424</v>
      </c>
      <c r="C1351" s="15">
        <f t="shared" ca="1" si="10"/>
        <v>-7.9388074404589393E-3</v>
      </c>
      <c r="D1351" s="14">
        <f t="shared" ca="1" si="11"/>
        <v>3435.9479999999999</v>
      </c>
      <c r="E1351" s="17"/>
      <c r="F1351" s="17"/>
    </row>
    <row r="1352" spans="1:6" ht="12.75" x14ac:dyDescent="0.2">
      <c r="A1352" s="13">
        <f ca="1">IFERROR(__xludf.DUMMYFUNCTION("""COMPUTED_VALUE"""),45828.6458333333)</f>
        <v>45828.645833333299</v>
      </c>
      <c r="B1352" s="14">
        <f ca="1">IFERROR(__xludf.DUMMYFUNCTION("""COMPUTED_VALUE"""),3435.7)</f>
        <v>3435.7</v>
      </c>
      <c r="C1352" s="15">
        <f t="shared" ca="1" si="10"/>
        <v>3.4170560747663892E-3</v>
      </c>
      <c r="D1352" s="14">
        <f t="shared" ca="1" si="11"/>
        <v>3439.1809999999996</v>
      </c>
      <c r="E1352" s="17"/>
      <c r="F1352" s="17"/>
    </row>
    <row r="1353" spans="1:6" ht="12.75" x14ac:dyDescent="0.2">
      <c r="A1353" s="13">
        <f ca="1">IFERROR(__xludf.DUMMYFUNCTION("""COMPUTED_VALUE"""),45831.6458333333)</f>
        <v>45831.645833333299</v>
      </c>
      <c r="B1353" s="14">
        <f ca="1">IFERROR(__xludf.DUMMYFUNCTION("""COMPUTED_VALUE"""),3393.6)</f>
        <v>3393.6</v>
      </c>
      <c r="C1353" s="15">
        <f t="shared" ca="1" si="10"/>
        <v>-1.225368920452885E-2</v>
      </c>
      <c r="D1353" s="14">
        <f t="shared" ca="1" si="11"/>
        <v>3441.1940000000004</v>
      </c>
      <c r="E1353" s="17"/>
      <c r="F1353" s="17"/>
    </row>
    <row r="1354" spans="1:6" ht="12.75" x14ac:dyDescent="0.2">
      <c r="A1354" s="13">
        <f ca="1">IFERROR(__xludf.DUMMYFUNCTION("""COMPUTED_VALUE"""),45832.6458333333)</f>
        <v>45832.645833333299</v>
      </c>
      <c r="B1354" s="14">
        <f ca="1">IFERROR(__xludf.DUMMYFUNCTION("""COMPUTED_VALUE"""),3390.4)</f>
        <v>3390.4</v>
      </c>
      <c r="C1354" s="15">
        <f t="shared" ca="1" si="10"/>
        <v>-9.429514380009385E-4</v>
      </c>
      <c r="D1354" s="14">
        <f t="shared" ca="1" si="11"/>
        <v>3444.07</v>
      </c>
      <c r="E1354" s="17"/>
      <c r="F1354" s="17"/>
    </row>
    <row r="1355" spans="1:6" ht="12.75" x14ac:dyDescent="0.2">
      <c r="A1355" s="13">
        <f ca="1">IFERROR(__xludf.DUMMYFUNCTION("""COMPUTED_VALUE"""),45833.6458333333)</f>
        <v>45833.645833333299</v>
      </c>
      <c r="B1355" s="14">
        <f ca="1">IFERROR(__xludf.DUMMYFUNCTION("""COMPUTED_VALUE"""),3444.8)</f>
        <v>3444.8</v>
      </c>
      <c r="C1355" s="15">
        <f t="shared" ca="1" si="10"/>
        <v>1.6045304388862647E-2</v>
      </c>
      <c r="D1355" s="14">
        <f t="shared" ca="1" si="11"/>
        <v>3448.3359999999998</v>
      </c>
      <c r="E1355" s="17"/>
      <c r="F1355" s="17"/>
    </row>
    <row r="1356" spans="1:6" ht="12.75" x14ac:dyDescent="0.2">
      <c r="A1356" s="13">
        <f ca="1">IFERROR(__xludf.DUMMYFUNCTION("""COMPUTED_VALUE"""),45834.6458333333)</f>
        <v>45834.645833333299</v>
      </c>
      <c r="B1356" s="14">
        <f ca="1">IFERROR(__xludf.DUMMYFUNCTION("""COMPUTED_VALUE"""),3441.8)</f>
        <v>3441.8</v>
      </c>
      <c r="C1356" s="15">
        <f t="shared" ca="1" si="10"/>
        <v>-8.7087784486761244E-4</v>
      </c>
      <c r="D1356" s="14">
        <f t="shared" ca="1" si="11"/>
        <v>3452.2080000000001</v>
      </c>
      <c r="E1356" s="17"/>
      <c r="F1356" s="17"/>
    </row>
    <row r="1357" spans="1:6" ht="12.75" x14ac:dyDescent="0.2">
      <c r="A1357" s="13">
        <f ca="1">IFERROR(__xludf.DUMMYFUNCTION("""COMPUTED_VALUE"""),45835.6458333333)</f>
        <v>45835.645833333299</v>
      </c>
      <c r="B1357" s="14">
        <f ca="1">IFERROR(__xludf.DUMMYFUNCTION("""COMPUTED_VALUE"""),3441.1)</f>
        <v>3441.1</v>
      </c>
      <c r="C1357" s="15">
        <f t="shared" ca="1" si="10"/>
        <v>-2.0338195130464864E-4</v>
      </c>
      <c r="D1357" s="14">
        <f t="shared" ca="1" si="11"/>
        <v>3455.5539999999996</v>
      </c>
      <c r="E1357" s="17"/>
      <c r="F1357" s="17"/>
    </row>
    <row r="1358" spans="1:6" ht="12.75" x14ac:dyDescent="0.2">
      <c r="A1358" s="13">
        <f ca="1">IFERROR(__xludf.DUMMYFUNCTION("""COMPUTED_VALUE"""),45838.6458333333)</f>
        <v>45838.645833333299</v>
      </c>
      <c r="B1358" s="14">
        <f ca="1">IFERROR(__xludf.DUMMYFUNCTION("""COMPUTED_VALUE"""),3462)</f>
        <v>3462</v>
      </c>
      <c r="C1358" s="15">
        <f t="shared" ca="1" si="10"/>
        <v>6.0736392432652053E-3</v>
      </c>
      <c r="D1358" s="14">
        <f t="shared" ca="1" si="11"/>
        <v>3458.8159999999998</v>
      </c>
      <c r="E1358" s="17"/>
      <c r="F1358" s="17"/>
    </row>
    <row r="1359" spans="1:6" ht="12.75" x14ac:dyDescent="0.2">
      <c r="A1359" s="13">
        <f ca="1">IFERROR(__xludf.DUMMYFUNCTION("""COMPUTED_VALUE"""),45839.6458333333)</f>
        <v>45839.645833333299</v>
      </c>
      <c r="B1359" s="14">
        <f ca="1">IFERROR(__xludf.DUMMYFUNCTION("""COMPUTED_VALUE"""),3429.7)</f>
        <v>3429.7</v>
      </c>
      <c r="C1359" s="15">
        <f t="shared" ca="1" si="10"/>
        <v>-9.3298671288273294E-3</v>
      </c>
      <c r="D1359" s="14">
        <f t="shared" ca="1" si="11"/>
        <v>3460.9779999999992</v>
      </c>
      <c r="E1359" s="17"/>
      <c r="F1359" s="17"/>
    </row>
    <row r="1360" spans="1:6" ht="12.75" x14ac:dyDescent="0.2">
      <c r="A1360" s="13">
        <f ca="1">IFERROR(__xludf.DUMMYFUNCTION("""COMPUTED_VALUE"""),45840.6458333333)</f>
        <v>45840.645833333299</v>
      </c>
      <c r="B1360" s="14">
        <f ca="1">IFERROR(__xludf.DUMMYFUNCTION("""COMPUTED_VALUE"""),3423.3)</f>
        <v>3423.3</v>
      </c>
      <c r="C1360" s="15">
        <f t="shared" ca="1" si="10"/>
        <v>-1.8660524244101806E-3</v>
      </c>
      <c r="D1360" s="14">
        <f t="shared" ca="1" si="11"/>
        <v>3463.155999999999</v>
      </c>
      <c r="E1360" s="17"/>
      <c r="F1360" s="17"/>
    </row>
    <row r="1361" spans="1:6" ht="12.75" x14ac:dyDescent="0.2">
      <c r="A1361" s="13">
        <f ca="1">IFERROR(__xludf.DUMMYFUNCTION("""COMPUTED_VALUE"""),45841.6458333333)</f>
        <v>45841.645833333299</v>
      </c>
      <c r="B1361" s="14">
        <f ca="1">IFERROR(__xludf.DUMMYFUNCTION("""COMPUTED_VALUE"""),3400.8)</f>
        <v>3400.8</v>
      </c>
      <c r="C1361" s="15">
        <f t="shared" ca="1" si="10"/>
        <v>-6.5726053807729778E-3</v>
      </c>
      <c r="D1361" s="14">
        <f t="shared" ca="1" si="11"/>
        <v>3462.9119999999989</v>
      </c>
      <c r="E1361" s="17"/>
      <c r="F1361" s="17"/>
    </row>
    <row r="1362" spans="1:6" ht="12.75" x14ac:dyDescent="0.2">
      <c r="A1362" s="13">
        <f ca="1">IFERROR(__xludf.DUMMYFUNCTION("""COMPUTED_VALUE"""),45842.6458333333)</f>
        <v>45842.645833333299</v>
      </c>
      <c r="B1362" s="14">
        <f ca="1">IFERROR(__xludf.DUMMYFUNCTION("""COMPUTED_VALUE"""),3419.8)</f>
        <v>3419.8</v>
      </c>
      <c r="C1362" s="15">
        <f t="shared" ca="1" si="10"/>
        <v>5.5869207245353714E-3</v>
      </c>
      <c r="D1362" s="14">
        <f t="shared" ca="1" si="11"/>
        <v>3463.2759999999994</v>
      </c>
      <c r="E1362" s="17"/>
      <c r="F1362" s="17"/>
    </row>
    <row r="1363" spans="1:6" ht="12.75" x14ac:dyDescent="0.2">
      <c r="A1363" s="13">
        <f ca="1">IFERROR(__xludf.DUMMYFUNCTION("""COMPUTED_VALUE"""),45845.6458333333)</f>
        <v>45845.645833333299</v>
      </c>
      <c r="B1363" s="14">
        <f ca="1">IFERROR(__xludf.DUMMYFUNCTION("""COMPUTED_VALUE"""),3411.7)</f>
        <v>3411.7</v>
      </c>
      <c r="C1363" s="15">
        <f t="shared" ca="1" si="10"/>
        <v>-2.3685595648869073E-3</v>
      </c>
      <c r="D1363" s="14">
        <f t="shared" ca="1" si="11"/>
        <v>3462.5499999999993</v>
      </c>
      <c r="E1363" s="17"/>
      <c r="F1363" s="17"/>
    </row>
    <row r="1364" spans="1:6" ht="12.75" x14ac:dyDescent="0.2">
      <c r="A1364" s="13">
        <f ca="1">IFERROR(__xludf.DUMMYFUNCTION("""COMPUTED_VALUE"""),45846.6458333333)</f>
        <v>45846.645833333299</v>
      </c>
      <c r="B1364" s="14">
        <f ca="1">IFERROR(__xludf.DUMMYFUNCTION("""COMPUTED_VALUE"""),3406.2)</f>
        <v>3406.2</v>
      </c>
      <c r="C1364" s="15">
        <f t="shared" ca="1" si="10"/>
        <v>-1.6120995398188898E-3</v>
      </c>
      <c r="D1364" s="14">
        <f t="shared" ca="1" si="11"/>
        <v>3461.8039999999992</v>
      </c>
      <c r="E1364" s="17"/>
      <c r="F1364" s="17"/>
    </row>
    <row r="1365" spans="1:6" ht="12.75" x14ac:dyDescent="0.2">
      <c r="A1365" s="13">
        <f ca="1">IFERROR(__xludf.DUMMYFUNCTION("""COMPUTED_VALUE"""),45847.6458333333)</f>
        <v>45847.645833333299</v>
      </c>
      <c r="B1365" s="14">
        <f ca="1">IFERROR(__xludf.DUMMYFUNCTION("""COMPUTED_VALUE"""),3383.8)</f>
        <v>3383.8</v>
      </c>
      <c r="C1365" s="15">
        <f t="shared" ca="1" si="10"/>
        <v>-6.5762433210028171E-3</v>
      </c>
      <c r="D1365" s="14">
        <f t="shared" ca="1" si="11"/>
        <v>3460.0299999999988</v>
      </c>
      <c r="E1365" s="17"/>
      <c r="F1365" s="17"/>
    </row>
    <row r="1366" spans="1:6" ht="12.75" x14ac:dyDescent="0.2">
      <c r="A1366" s="13">
        <f ca="1">IFERROR(__xludf.DUMMYFUNCTION("""COMPUTED_VALUE"""),45848.6458333333)</f>
        <v>45848.645833333299</v>
      </c>
      <c r="B1366" s="14">
        <f ca="1">IFERROR(__xludf.DUMMYFUNCTION("""COMPUTED_VALUE"""),3382)</f>
        <v>3382</v>
      </c>
      <c r="C1366" s="15">
        <f t="shared" ca="1" si="10"/>
        <v>-5.3194633252562351E-4</v>
      </c>
      <c r="D1366" s="14">
        <f t="shared" ca="1" si="11"/>
        <v>3458.5959999999991</v>
      </c>
      <c r="E1366" s="17"/>
      <c r="F1366" s="17"/>
    </row>
    <row r="1367" spans="1:6" ht="12.75" x14ac:dyDescent="0.2">
      <c r="A1367" s="13">
        <f ca="1">IFERROR(__xludf.DUMMYFUNCTION("""COMPUTED_VALUE"""),45849.6458333333)</f>
        <v>45849.645833333299</v>
      </c>
      <c r="B1367" s="14">
        <f ca="1">IFERROR(__xludf.DUMMYFUNCTION("""COMPUTED_VALUE"""),3266)</f>
        <v>3266</v>
      </c>
      <c r="C1367" s="15">
        <f t="shared" ca="1" si="10"/>
        <v>-3.4299231224127702E-2</v>
      </c>
      <c r="D1367" s="14">
        <f t="shared" ca="1" si="11"/>
        <v>3455.021999999999</v>
      </c>
      <c r="E1367" s="17"/>
      <c r="F1367" s="17"/>
    </row>
    <row r="1368" spans="1:6" ht="12.75" x14ac:dyDescent="0.2">
      <c r="A1368" s="13">
        <f ca="1">IFERROR(__xludf.DUMMYFUNCTION("""COMPUTED_VALUE"""),45852.6458333333)</f>
        <v>45852.645833333299</v>
      </c>
      <c r="B1368" s="14">
        <f ca="1">IFERROR(__xludf.DUMMYFUNCTION("""COMPUTED_VALUE"""),3222.7)</f>
        <v>3222.7</v>
      </c>
      <c r="C1368" s="15">
        <f t="shared" ca="1" si="10"/>
        <v>-1.3257807715860381E-2</v>
      </c>
      <c r="D1368" s="14">
        <f t="shared" ca="1" si="11"/>
        <v>3450.3899999999994</v>
      </c>
      <c r="E1368" s="17"/>
      <c r="F1368" s="17"/>
    </row>
    <row r="1369" spans="1:6" ht="12.75" x14ac:dyDescent="0.2">
      <c r="A1369" s="13">
        <f ca="1">IFERROR(__xludf.DUMMYFUNCTION("""COMPUTED_VALUE"""),45853.6458333333)</f>
        <v>45853.645833333299</v>
      </c>
      <c r="B1369" s="14">
        <f ca="1">IFERROR(__xludf.DUMMYFUNCTION("""COMPUTED_VALUE"""),3252.3)</f>
        <v>3252.3</v>
      </c>
      <c r="C1369" s="15">
        <f t="shared" ca="1" si="10"/>
        <v>9.1848450057405717E-3</v>
      </c>
      <c r="D1369" s="14">
        <f t="shared" ca="1" si="11"/>
        <v>3446.235999999999</v>
      </c>
      <c r="E1369" s="17"/>
      <c r="F1369" s="17"/>
    </row>
    <row r="1370" spans="1:6" ht="12.75" x14ac:dyDescent="0.2">
      <c r="A1370" s="13">
        <f ca="1">IFERROR(__xludf.DUMMYFUNCTION("""COMPUTED_VALUE"""),45854.6458333333)</f>
        <v>45854.645833333299</v>
      </c>
      <c r="B1370" s="14">
        <f ca="1">IFERROR(__xludf.DUMMYFUNCTION("""COMPUTED_VALUE"""),3233.1)</f>
        <v>3233.1</v>
      </c>
      <c r="C1370" s="15">
        <f t="shared" ca="1" si="10"/>
        <v>-5.903514435937729E-3</v>
      </c>
      <c r="D1370" s="14">
        <f t="shared" ca="1" si="11"/>
        <v>3441.9959999999992</v>
      </c>
      <c r="E1370" s="17"/>
      <c r="F1370" s="17"/>
    </row>
    <row r="1371" spans="1:6" ht="12.75" x14ac:dyDescent="0.2">
      <c r="A1371" s="13">
        <f ca="1">IFERROR(__xludf.DUMMYFUNCTION("""COMPUTED_VALUE"""),45855.6458333333)</f>
        <v>45855.645833333299</v>
      </c>
      <c r="B1371" s="14">
        <f ca="1">IFERROR(__xludf.DUMMYFUNCTION("""COMPUTED_VALUE"""),3209.2)</f>
        <v>3209.2</v>
      </c>
      <c r="C1371" s="15">
        <f t="shared" ca="1" si="10"/>
        <v>-7.3922860412607427E-3</v>
      </c>
      <c r="D1371" s="14">
        <f t="shared" ca="1" si="11"/>
        <v>3437.2019999999993</v>
      </c>
      <c r="E1371" s="17"/>
      <c r="F1371" s="17"/>
    </row>
    <row r="1372" spans="1:6" ht="12.75" x14ac:dyDescent="0.2">
      <c r="A1372" s="13">
        <f ca="1">IFERROR(__xludf.DUMMYFUNCTION("""COMPUTED_VALUE"""),45856.6458333333)</f>
        <v>45856.645833333299</v>
      </c>
      <c r="B1372" s="14">
        <f ca="1">IFERROR(__xludf.DUMMYFUNCTION("""COMPUTED_VALUE"""),3189.9)</f>
        <v>3189.9</v>
      </c>
      <c r="C1372" s="15">
        <f t="shared" ca="1" si="10"/>
        <v>-6.0139598653868864E-3</v>
      </c>
      <c r="D1372" s="14">
        <f t="shared" ca="1" si="11"/>
        <v>3432.1939999999995</v>
      </c>
      <c r="E1372" s="17"/>
      <c r="F1372" s="17"/>
    </row>
    <row r="1373" spans="1:6" ht="12.75" x14ac:dyDescent="0.2">
      <c r="A1373" s="13">
        <f ca="1">IFERROR(__xludf.DUMMYFUNCTION("""COMPUTED_VALUE"""),45859.6458333333)</f>
        <v>45859.645833333299</v>
      </c>
      <c r="B1373" s="14">
        <f ca="1">IFERROR(__xludf.DUMMYFUNCTION("""COMPUTED_VALUE"""),3158.2)</f>
        <v>3158.2</v>
      </c>
      <c r="C1373" s="15">
        <f t="shared" ca="1" si="10"/>
        <v>-9.9376155992351167E-3</v>
      </c>
      <c r="D1373" s="14">
        <f t="shared" ca="1" si="11"/>
        <v>3422.95</v>
      </c>
      <c r="E1373" s="17"/>
      <c r="F1373" s="17"/>
    </row>
    <row r="1374" spans="1:6" ht="12.75" x14ac:dyDescent="0.2">
      <c r="A1374" s="13">
        <f ca="1">IFERROR(__xludf.DUMMYFUNCTION("""COMPUTED_VALUE"""),45860.6458333333)</f>
        <v>45860.645833333299</v>
      </c>
      <c r="B1374" s="14">
        <f ca="1">IFERROR(__xludf.DUMMYFUNCTION("""COMPUTED_VALUE"""),3159.6)</f>
        <v>3159.6</v>
      </c>
      <c r="C1374" s="15">
        <f t="shared" ca="1" si="10"/>
        <v>4.432904819200445E-4</v>
      </c>
      <c r="D1374" s="14">
        <f t="shared" ca="1" si="11"/>
        <v>3415.8420000000001</v>
      </c>
      <c r="E1374" s="17"/>
      <c r="F1374" s="17"/>
    </row>
    <row r="1375" spans="1:6" ht="12.75" x14ac:dyDescent="0.2">
      <c r="A1375" s="13">
        <f ca="1">IFERROR(__xludf.DUMMYFUNCTION("""COMPUTED_VALUE"""),45861.6458333333)</f>
        <v>45861.645833333299</v>
      </c>
      <c r="B1375" s="14">
        <f ca="1">IFERROR(__xludf.DUMMYFUNCTION("""COMPUTED_VALUE"""),3179.1)</f>
        <v>3179.1</v>
      </c>
      <c r="C1375" s="15">
        <f t="shared" ca="1" si="10"/>
        <v>6.1716672996581234E-3</v>
      </c>
      <c r="D1375" s="14">
        <f t="shared" ca="1" si="11"/>
        <v>3408.4500000000007</v>
      </c>
      <c r="E1375" s="17"/>
      <c r="F1375" s="17"/>
    </row>
    <row r="1376" spans="1:6" ht="12.75" x14ac:dyDescent="0.2">
      <c r="A1376" s="13">
        <f ca="1">IFERROR(__xludf.DUMMYFUNCTION("""COMPUTED_VALUE"""),45862.6458333333)</f>
        <v>45862.645833333299</v>
      </c>
      <c r="B1376" s="14">
        <f ca="1">IFERROR(__xludf.DUMMYFUNCTION("""COMPUTED_VALUE"""),3148)</f>
        <v>3148</v>
      </c>
      <c r="C1376" s="15">
        <f t="shared" ca="1" si="10"/>
        <v>-9.7826428863514447E-3</v>
      </c>
      <c r="D1376" s="14">
        <f t="shared" ca="1" si="11"/>
        <v>3399.8120000000008</v>
      </c>
      <c r="E1376" s="17"/>
      <c r="F1376" s="17"/>
    </row>
    <row r="1377" spans="1:6" ht="12.75" x14ac:dyDescent="0.2">
      <c r="A1377" s="13">
        <f ca="1">IFERROR(__xludf.DUMMYFUNCTION("""COMPUTED_VALUE"""),45863.6458333333)</f>
        <v>45863.645833333299</v>
      </c>
      <c r="B1377" s="14">
        <f ca="1">IFERROR(__xludf.DUMMYFUNCTION("""COMPUTED_VALUE"""),3135.8)</f>
        <v>3135.8</v>
      </c>
      <c r="C1377" s="15">
        <f t="shared" ca="1" si="10"/>
        <v>-3.8754764930113428E-3</v>
      </c>
      <c r="D1377" s="14">
        <f t="shared" ca="1" si="11"/>
        <v>3391.3020000000006</v>
      </c>
      <c r="E1377" s="17"/>
      <c r="F1377" s="17"/>
    </row>
    <row r="1378" spans="1:6" ht="12.75" x14ac:dyDescent="0.2">
      <c r="A1378" s="13">
        <f ca="1">IFERROR(__xludf.DUMMYFUNCTION("""COMPUTED_VALUE"""),45866.6458333333)</f>
        <v>45866.645833333299</v>
      </c>
      <c r="B1378" s="14">
        <f ca="1">IFERROR(__xludf.DUMMYFUNCTION("""COMPUTED_VALUE"""),3079.3)</f>
        <v>3079.3</v>
      </c>
      <c r="C1378" s="15">
        <f t="shared" ca="1" si="10"/>
        <v>-1.8017730722622582E-2</v>
      </c>
      <c r="D1378" s="14">
        <f t="shared" ca="1" si="11"/>
        <v>3382.5120000000006</v>
      </c>
      <c r="E1378" s="17"/>
      <c r="F1378" s="17"/>
    </row>
    <row r="1379" spans="1:6" ht="12.75" x14ac:dyDescent="0.2">
      <c r="A1379" s="13">
        <f ca="1">IFERROR(__xludf.DUMMYFUNCTION("""COMPUTED_VALUE"""),45867.6458333333)</f>
        <v>45867.645833333299</v>
      </c>
      <c r="B1379" s="14">
        <f ca="1">IFERROR(__xludf.DUMMYFUNCTION("""COMPUTED_VALUE"""),3056)</f>
        <v>3056</v>
      </c>
      <c r="C1379" s="15">
        <f t="shared" ca="1" si="10"/>
        <v>-7.5666547591985989E-3</v>
      </c>
      <c r="D1379" s="14">
        <f t="shared" ca="1" si="11"/>
        <v>3373.6660000000002</v>
      </c>
      <c r="E1379" s="17"/>
      <c r="F1379" s="17"/>
    </row>
    <row r="1380" spans="1:6" ht="12.75" x14ac:dyDescent="0.2">
      <c r="A1380" s="13">
        <f ca="1">IFERROR(__xludf.DUMMYFUNCTION("""COMPUTED_VALUE"""),45868.6458333333)</f>
        <v>45868.645833333299</v>
      </c>
      <c r="B1380" s="14">
        <f ca="1">IFERROR(__xludf.DUMMYFUNCTION("""COMPUTED_VALUE"""),3053.6)</f>
        <v>3053.6</v>
      </c>
      <c r="C1380" s="15">
        <f t="shared" ca="1" si="10"/>
        <v>-7.8534031413612926E-4</v>
      </c>
      <c r="D1380" s="14">
        <f t="shared" ca="1" si="11"/>
        <v>3364.2220000000002</v>
      </c>
      <c r="E1380" s="17"/>
      <c r="F1380" s="17"/>
    </row>
    <row r="1381" spans="1:6" ht="12.75" x14ac:dyDescent="0.2">
      <c r="A1381" s="13">
        <f ca="1">IFERROR(__xludf.DUMMYFUNCTION("""COMPUTED_VALUE"""),45869.6458333333)</f>
        <v>45869.645833333299</v>
      </c>
      <c r="B1381" s="14">
        <f ca="1">IFERROR(__xludf.DUMMYFUNCTION("""COMPUTED_VALUE"""),3036.8)</f>
        <v>3036.8</v>
      </c>
      <c r="C1381" s="15">
        <f t="shared" ca="1" si="10"/>
        <v>-5.5017029080428603E-3</v>
      </c>
      <c r="D1381" s="14">
        <f t="shared" ca="1" si="11"/>
        <v>3355.4180000000006</v>
      </c>
      <c r="E1381" s="17"/>
      <c r="F1381" s="17"/>
    </row>
    <row r="1382" spans="1:6" ht="12.75" x14ac:dyDescent="0.2">
      <c r="A1382" s="13">
        <f ca="1">IFERROR(__xludf.DUMMYFUNCTION("""COMPUTED_VALUE"""),45870.6458333333)</f>
        <v>45870.645833333299</v>
      </c>
      <c r="B1382" s="14">
        <f ca="1">IFERROR(__xludf.DUMMYFUNCTION("""COMPUTED_VALUE"""),3003)</f>
        <v>3003</v>
      </c>
      <c r="C1382" s="15">
        <f t="shared" ca="1" si="10"/>
        <v>-1.1130136986301387E-2</v>
      </c>
      <c r="D1382" s="14">
        <f t="shared" ca="1" si="11"/>
        <v>3345.1860000000001</v>
      </c>
      <c r="E1382" s="17"/>
      <c r="F1382" s="17"/>
    </row>
    <row r="1383" spans="1:6" ht="12.75" x14ac:dyDescent="0.2">
      <c r="A1383" s="13">
        <f ca="1">IFERROR(__xludf.DUMMYFUNCTION("""COMPUTED_VALUE"""),45873.6458333333)</f>
        <v>45873.645833333299</v>
      </c>
      <c r="B1383" s="14">
        <f ca="1">IFERROR(__xludf.DUMMYFUNCTION("""COMPUTED_VALUE"""),3074.4)</f>
        <v>3074.4</v>
      </c>
      <c r="C1383" s="15">
        <f t="shared" ca="1" si="10"/>
        <v>2.3776223776223793E-2</v>
      </c>
      <c r="D1383" s="14">
        <f t="shared" ca="1" si="11"/>
        <v>3335.9279999999999</v>
      </c>
      <c r="E1383" s="17"/>
      <c r="F1383" s="17"/>
    </row>
    <row r="1384" spans="1:6" ht="12.75" x14ac:dyDescent="0.2">
      <c r="A1384" s="13">
        <f ca="1">IFERROR(__xludf.DUMMYFUNCTION("""COMPUTED_VALUE"""),45874.6458333333)</f>
        <v>45874.645833333299</v>
      </c>
      <c r="B1384" s="14">
        <f ca="1">IFERROR(__xludf.DUMMYFUNCTION("""COMPUTED_VALUE"""),3063.9)</f>
        <v>3063.9</v>
      </c>
      <c r="C1384" s="15">
        <f t="shared" ca="1" si="10"/>
        <v>-3.415300546448119E-3</v>
      </c>
      <c r="D1384" s="14">
        <f t="shared" ca="1" si="11"/>
        <v>3327.2319999999995</v>
      </c>
      <c r="E1384" s="17"/>
      <c r="F1384" s="17"/>
    </row>
    <row r="1385" spans="1:6" ht="12.75" x14ac:dyDescent="0.2">
      <c r="A1385" s="13">
        <f ca="1">IFERROR(__xludf.DUMMYFUNCTION("""COMPUTED_VALUE"""),45875.6458333333)</f>
        <v>45875.645833333299</v>
      </c>
      <c r="B1385" s="14">
        <f ca="1">IFERROR(__xludf.DUMMYFUNCTION("""COMPUTED_VALUE"""),3032.3)</f>
        <v>3032.3</v>
      </c>
      <c r="C1385" s="15">
        <f t="shared" ca="1" si="10"/>
        <v>-1.0313652534351569E-2</v>
      </c>
      <c r="D1385" s="14">
        <f t="shared" ca="1" si="11"/>
        <v>3317.9239999999991</v>
      </c>
      <c r="E1385" s="17"/>
      <c r="F1385" s="17"/>
    </row>
    <row r="1386" spans="1:6" ht="12.75" x14ac:dyDescent="0.2">
      <c r="A1386" s="13">
        <f ca="1">IFERROR(__xludf.DUMMYFUNCTION("""COMPUTED_VALUE"""),45876.6458333333)</f>
        <v>45876.645833333299</v>
      </c>
      <c r="B1386" s="14">
        <f ca="1">IFERROR(__xludf.DUMMYFUNCTION("""COMPUTED_VALUE"""),3047)</f>
        <v>3047</v>
      </c>
      <c r="C1386" s="15">
        <f t="shared" ca="1" si="10"/>
        <v>4.8478052963096818E-3</v>
      </c>
      <c r="D1386" s="14">
        <f t="shared" ca="1" si="11"/>
        <v>3308.9019999999996</v>
      </c>
      <c r="E1386" s="17"/>
      <c r="F1386" s="17"/>
    </row>
    <row r="1387" spans="1:6" ht="12.75" x14ac:dyDescent="0.2">
      <c r="A1387" s="13">
        <f ca="1">IFERROR(__xludf.DUMMYFUNCTION("""COMPUTED_VALUE"""),45877.6458333333)</f>
        <v>45877.645833333299</v>
      </c>
      <c r="B1387" s="14">
        <f ca="1">IFERROR(__xludf.DUMMYFUNCTION("""COMPUTED_VALUE"""),3036.4)</f>
        <v>3036.4</v>
      </c>
      <c r="C1387" s="15">
        <f t="shared" ca="1" si="10"/>
        <v>-3.4788316376763717E-3</v>
      </c>
      <c r="D1387" s="14">
        <f t="shared" ca="1" si="11"/>
        <v>3300.3619999999996</v>
      </c>
      <c r="E1387" s="17"/>
      <c r="F1387" s="17"/>
    </row>
    <row r="1388" spans="1:6" ht="12.75" x14ac:dyDescent="0.2">
      <c r="A1388" s="13">
        <f ca="1">IFERROR(__xludf.DUMMYFUNCTION("""COMPUTED_VALUE"""),45880.6458333333)</f>
        <v>45880.645833333299</v>
      </c>
      <c r="B1388" s="14">
        <f ca="1">IFERROR(__xludf.DUMMYFUNCTION("""COMPUTED_VALUE"""),3040.8)</f>
        <v>3040.8</v>
      </c>
      <c r="C1388" s="15">
        <f t="shared" ca="1" si="10"/>
        <v>1.4490844421024551E-3</v>
      </c>
      <c r="D1388" s="14">
        <f t="shared" ca="1" si="11"/>
        <v>3292.1819999999993</v>
      </c>
      <c r="E1388" s="17"/>
      <c r="F1388" s="17"/>
    </row>
    <row r="1389" spans="1:6" ht="12.75" x14ac:dyDescent="0.2">
      <c r="A1389" s="13">
        <f ca="1">IFERROR(__xludf.DUMMYFUNCTION("""COMPUTED_VALUE"""),45881.6458333333)</f>
        <v>45881.645833333299</v>
      </c>
      <c r="B1389" s="14">
        <f ca="1">IFERROR(__xludf.DUMMYFUNCTION("""COMPUTED_VALUE"""),3035.4)</f>
        <v>3035.4</v>
      </c>
      <c r="C1389" s="15">
        <f t="shared" ca="1" si="10"/>
        <v>-1.7758484609313729E-3</v>
      </c>
      <c r="D1389" s="14">
        <f t="shared" ca="1" si="11"/>
        <v>3284.7859999999991</v>
      </c>
      <c r="E1389" s="17"/>
      <c r="F1389" s="17"/>
    </row>
    <row r="1390" spans="1:6" ht="12.75" x14ac:dyDescent="0.2">
      <c r="A1390" s="13">
        <f ca="1">IFERROR(__xludf.DUMMYFUNCTION("""COMPUTED_VALUE"""),45882.6458333333)</f>
        <v>45882.645833333299</v>
      </c>
      <c r="B1390" s="14">
        <f ca="1">IFERROR(__xludf.DUMMYFUNCTION("""COMPUTED_VALUE"""),3036.2)</f>
        <v>3036.2</v>
      </c>
      <c r="C1390" s="15">
        <f t="shared" ca="1" si="10"/>
        <v>2.6355669763455936E-4</v>
      </c>
      <c r="D1390" s="14">
        <f t="shared" ca="1" si="11"/>
        <v>3277.8919999999994</v>
      </c>
      <c r="E1390" s="17"/>
      <c r="F1390" s="17"/>
    </row>
    <row r="1391" spans="1:6" ht="12.75" x14ac:dyDescent="0.2">
      <c r="A1391" s="13">
        <f ca="1">IFERROR(__xludf.DUMMYFUNCTION("""COMPUTED_VALUE"""),45883.6458333333)</f>
        <v>45883.645833333299</v>
      </c>
      <c r="B1391" s="14">
        <f ca="1">IFERROR(__xludf.DUMMYFUNCTION("""COMPUTED_VALUE"""),3022.3)</f>
        <v>3022.3</v>
      </c>
      <c r="C1391" s="15">
        <f t="shared" ca="1" si="10"/>
        <v>-4.5780910348460768E-3</v>
      </c>
      <c r="D1391" s="14">
        <f t="shared" ca="1" si="11"/>
        <v>3270.9159999999993</v>
      </c>
      <c r="E1391" s="17"/>
      <c r="F1391" s="17"/>
    </row>
    <row r="1392" spans="1:6" ht="12.75" x14ac:dyDescent="0.2">
      <c r="A1392" s="13">
        <f ca="1">IFERROR(__xludf.DUMMYFUNCTION("""COMPUTED_VALUE"""),45887.6458333333)</f>
        <v>45887.645833333299</v>
      </c>
      <c r="B1392" s="14">
        <f ca="1">IFERROR(__xludf.DUMMYFUNCTION("""COMPUTED_VALUE"""),3011.2)</f>
        <v>3011.2</v>
      </c>
      <c r="C1392" s="15">
        <f t="shared" ca="1" si="10"/>
        <v>-3.6726995996427814E-3</v>
      </c>
      <c r="D1392" s="14">
        <f t="shared" ca="1" si="11"/>
        <v>3263.4559999999997</v>
      </c>
      <c r="E1392" s="17"/>
      <c r="F1392" s="17"/>
    </row>
    <row r="1393" spans="1:6" ht="12.75" x14ac:dyDescent="0.2">
      <c r="A1393" s="13">
        <f ca="1">IFERROR(__xludf.DUMMYFUNCTION("""COMPUTED_VALUE"""),45888.6458333333)</f>
        <v>45888.645833333299</v>
      </c>
      <c r="B1393" s="14">
        <f ca="1">IFERROR(__xludf.DUMMYFUNCTION("""COMPUTED_VALUE"""),3016.2)</f>
        <v>3016.2</v>
      </c>
      <c r="C1393" s="15">
        <f t="shared" ca="1" si="10"/>
        <v>1.6604675876727981E-3</v>
      </c>
      <c r="D1393" s="14">
        <f t="shared" ca="1" si="11"/>
        <v>3255.3420000000001</v>
      </c>
      <c r="E1393" s="17"/>
      <c r="F1393" s="17"/>
    </row>
    <row r="1394" spans="1:6" ht="12.75" x14ac:dyDescent="0.2">
      <c r="A1394" s="13">
        <f ca="1">IFERROR(__xludf.DUMMYFUNCTION("""COMPUTED_VALUE"""),45889.6458333333)</f>
        <v>45889.645833333299</v>
      </c>
      <c r="B1394" s="14">
        <f ca="1">IFERROR(__xludf.DUMMYFUNCTION("""COMPUTED_VALUE"""),3098.6)</f>
        <v>3098.6</v>
      </c>
      <c r="C1394" s="15">
        <f t="shared" ca="1" si="10"/>
        <v>2.7319143292885206E-2</v>
      </c>
      <c r="D1394" s="14">
        <f t="shared" ca="1" si="11"/>
        <v>3248.0560000000005</v>
      </c>
      <c r="E1394" s="17"/>
      <c r="F1394" s="17"/>
    </row>
    <row r="1395" spans="1:6" ht="12.75" x14ac:dyDescent="0.2">
      <c r="A1395" s="13">
        <f ca="1">IFERROR(__xludf.DUMMYFUNCTION("""COMPUTED_VALUE"""),45890.6458333333)</f>
        <v>45890.645833333299</v>
      </c>
      <c r="B1395" s="14">
        <f ca="1">IFERROR(__xludf.DUMMYFUNCTION("""COMPUTED_VALUE"""),3102.6)</f>
        <v>3102.6</v>
      </c>
      <c r="C1395" s="15">
        <f t="shared" ca="1" si="10"/>
        <v>1.2909055702574612E-3</v>
      </c>
      <c r="D1395" s="14">
        <f t="shared" ca="1" si="11"/>
        <v>3240.6700000000005</v>
      </c>
      <c r="E1395" s="17"/>
      <c r="F1395" s="17"/>
    </row>
    <row r="1396" spans="1:6" ht="12.75" x14ac:dyDescent="0.2">
      <c r="A1396" s="13">
        <f ca="1">IFERROR(__xludf.DUMMYFUNCTION("""COMPUTED_VALUE"""),45891.6458333333)</f>
        <v>45891.645833333299</v>
      </c>
      <c r="B1396" s="14">
        <f ca="1">IFERROR(__xludf.DUMMYFUNCTION("""COMPUTED_VALUE"""),3054)</f>
        <v>3054</v>
      </c>
      <c r="C1396" s="15">
        <f t="shared" ca="1" si="10"/>
        <v>-1.5664281570295868E-2</v>
      </c>
      <c r="D1396" s="14">
        <f t="shared" ca="1" si="11"/>
        <v>3233.0660000000003</v>
      </c>
      <c r="E1396" s="17"/>
      <c r="F1396" s="17"/>
    </row>
    <row r="1397" spans="1:6" ht="12.75" x14ac:dyDescent="0.2">
      <c r="A1397" s="13">
        <f ca="1">IFERROR(__xludf.DUMMYFUNCTION("""COMPUTED_VALUE"""),45894.6458333333)</f>
        <v>45894.645833333299</v>
      </c>
      <c r="B1397" s="14">
        <f ca="1">IFERROR(__xludf.DUMMYFUNCTION("""COMPUTED_VALUE"""),3140.6)</f>
        <v>3140.6</v>
      </c>
      <c r="C1397" s="15">
        <f t="shared" ca="1" si="10"/>
        <v>2.8356254092992694E-2</v>
      </c>
      <c r="D1397" s="14">
        <f t="shared" ca="1" si="11"/>
        <v>3226.9640000000009</v>
      </c>
      <c r="E1397" s="17"/>
      <c r="F1397" s="17"/>
    </row>
    <row r="1398" spans="1:6" ht="12.75" x14ac:dyDescent="0.2">
      <c r="A1398" s="13">
        <f ca="1">IFERROR(__xludf.DUMMYFUNCTION("""COMPUTED_VALUE"""),45895.6458333333)</f>
        <v>45895.645833333299</v>
      </c>
      <c r="B1398" s="14">
        <f ca="1">IFERROR(__xludf.DUMMYFUNCTION("""COMPUTED_VALUE"""),3157.2)</f>
        <v>3157.2</v>
      </c>
      <c r="C1398" s="15">
        <f t="shared" ca="1" si="10"/>
        <v>5.2856142138444362E-3</v>
      </c>
      <c r="D1398" s="14">
        <f t="shared" ca="1" si="11"/>
        <v>3220.1820000000012</v>
      </c>
      <c r="E1398" s="17"/>
      <c r="F1398" s="17"/>
    </row>
    <row r="1399" spans="1:6" ht="12.75" x14ac:dyDescent="0.2">
      <c r="A1399" s="13">
        <f ca="1">IFERROR(__xludf.DUMMYFUNCTION("""COMPUTED_VALUE"""),45897.6458333333)</f>
        <v>45897.645833333299</v>
      </c>
      <c r="B1399" s="14">
        <f ca="1">IFERROR(__xludf.DUMMYFUNCTION("""COMPUTED_VALUE"""),3093.7)</f>
        <v>3093.7</v>
      </c>
      <c r="C1399" s="15">
        <f t="shared" ca="1" si="10"/>
        <v>-2.0112758140124143E-2</v>
      </c>
      <c r="D1399" s="14">
        <f t="shared" ca="1" si="11"/>
        <v>3211.7500000000014</v>
      </c>
      <c r="E1399" s="17"/>
      <c r="F1399" s="17"/>
    </row>
    <row r="1400" spans="1:6" ht="12.75" x14ac:dyDescent="0.2">
      <c r="A1400" s="13">
        <f ca="1">IFERROR(__xludf.DUMMYFUNCTION("""COMPUTED_VALUE"""),45898.6458333333)</f>
        <v>45898.645833333299</v>
      </c>
      <c r="B1400" s="14">
        <f ca="1">IFERROR(__xludf.DUMMYFUNCTION("""COMPUTED_VALUE"""),3084.7)</f>
        <v>3084.7</v>
      </c>
      <c r="C1400" s="15">
        <f t="shared" ca="1" si="10"/>
        <v>-2.9091379254614358E-3</v>
      </c>
      <c r="D1400" s="14">
        <f t="shared" ca="1" si="11"/>
        <v>3204.4160000000015</v>
      </c>
      <c r="E1400" s="17"/>
      <c r="F1400" s="17"/>
    </row>
    <row r="1401" spans="1:6" ht="12.75" x14ac:dyDescent="0.2">
      <c r="A1401" s="13">
        <f ca="1">IFERROR(__xludf.DUMMYFUNCTION("""COMPUTED_VALUE"""),45901.6458333333)</f>
        <v>45901.645833333299</v>
      </c>
      <c r="B1401" s="14">
        <f ca="1">IFERROR(__xludf.DUMMYFUNCTION("""COMPUTED_VALUE"""),3112.6)</f>
        <v>3112.6</v>
      </c>
      <c r="C1401" s="15">
        <f t="shared" ca="1" si="10"/>
        <v>9.0446396732259959E-3</v>
      </c>
      <c r="D1401" s="14">
        <f t="shared" ca="1" si="11"/>
        <v>3198.1880000000015</v>
      </c>
      <c r="E1401" s="17"/>
      <c r="F1401" s="17"/>
    </row>
    <row r="1402" spans="1:6" ht="12.75" x14ac:dyDescent="0.2">
      <c r="A1402" s="13">
        <f ca="1">IFERROR(__xludf.DUMMYFUNCTION("""COMPUTED_VALUE"""),45902.6458333333)</f>
        <v>45902.645833333299</v>
      </c>
      <c r="B1402" s="14">
        <f ca="1">IFERROR(__xludf.DUMMYFUNCTION("""COMPUTED_VALUE"""),3111.5)</f>
        <v>3111.5</v>
      </c>
      <c r="C1402" s="15">
        <f t="shared" ca="1" si="10"/>
        <v>-3.534023003276543E-4</v>
      </c>
      <c r="D1402" s="14">
        <f t="shared" ca="1" si="11"/>
        <v>3191.7040000000006</v>
      </c>
      <c r="E1402" s="17"/>
      <c r="F1402" s="17"/>
    </row>
    <row r="1403" spans="1:6" ht="12.75" x14ac:dyDescent="0.2">
      <c r="A1403" s="13">
        <f ca="1">IFERROR(__xludf.DUMMYFUNCTION("""COMPUTED_VALUE"""),45903.6458333333)</f>
        <v>45903.645833333299</v>
      </c>
      <c r="B1403" s="14">
        <f ca="1">IFERROR(__xludf.DUMMYFUNCTION("""COMPUTED_VALUE"""),3097.5)</f>
        <v>3097.5</v>
      </c>
      <c r="C1403" s="15">
        <f t="shared" ca="1" si="10"/>
        <v>-4.4994375703036882E-3</v>
      </c>
      <c r="D1403" s="14">
        <f t="shared" ca="1" si="11"/>
        <v>3185.7820000000006</v>
      </c>
      <c r="E1403" s="17"/>
      <c r="F1403" s="17"/>
    </row>
    <row r="1404" spans="1:6" ht="12.75" x14ac:dyDescent="0.2">
      <c r="A1404" s="13">
        <f ca="1">IFERROR(__xludf.DUMMYFUNCTION("""COMPUTED_VALUE"""),45904.6458333333)</f>
        <v>45904.645833333299</v>
      </c>
      <c r="B1404" s="14">
        <f ca="1">IFERROR(__xludf.DUMMYFUNCTION("""COMPUTED_VALUE"""),3095.7)</f>
        <v>3095.7</v>
      </c>
      <c r="C1404" s="15">
        <f t="shared" ca="1" si="10"/>
        <v>-5.811138014528705E-4</v>
      </c>
      <c r="D1404" s="14">
        <f t="shared" ca="1" si="11"/>
        <v>3179.8880000000017</v>
      </c>
      <c r="E1404" s="17"/>
      <c r="F1404" s="17"/>
    </row>
    <row r="1405" spans="1:6" ht="12.75" x14ac:dyDescent="0.2">
      <c r="A1405" s="13">
        <f ca="1">IFERROR(__xludf.DUMMYFUNCTION("""COMPUTED_VALUE"""),45905.6458333333)</f>
        <v>45905.645833333299</v>
      </c>
      <c r="B1405" s="14">
        <f ca="1">IFERROR(__xludf.DUMMYFUNCTION("""COMPUTED_VALUE"""),3048.3)</f>
        <v>3048.3</v>
      </c>
      <c r="C1405" s="15">
        <f t="shared" ca="1" si="10"/>
        <v>-1.5311561197790313E-2</v>
      </c>
      <c r="D1405" s="14">
        <f t="shared" ca="1" si="11"/>
        <v>3171.9580000000005</v>
      </c>
      <c r="E1405" s="17"/>
      <c r="F1405" s="17"/>
    </row>
    <row r="1406" spans="1:6" ht="12.75" x14ac:dyDescent="0.2">
      <c r="A1406" s="13">
        <f ca="1">IFERROR(__xludf.DUMMYFUNCTION("""COMPUTED_VALUE"""),45908.6458333333)</f>
        <v>45908.645833333299</v>
      </c>
      <c r="B1406" s="14">
        <f ca="1">IFERROR(__xludf.DUMMYFUNCTION("""COMPUTED_VALUE"""),3019)</f>
        <v>3019</v>
      </c>
      <c r="C1406" s="15">
        <f t="shared" ca="1" si="10"/>
        <v>-9.6119148377784569E-3</v>
      </c>
      <c r="D1406" s="14">
        <f t="shared" ca="1" si="11"/>
        <v>3163.5020000000009</v>
      </c>
      <c r="E1406" s="17"/>
      <c r="F1406" s="17"/>
    </row>
    <row r="1407" spans="1:6" ht="12.75" x14ac:dyDescent="0.2">
      <c r="A1407" s="13">
        <f ca="1">IFERROR(__xludf.DUMMYFUNCTION("""COMPUTED_VALUE"""),45909.6458333333)</f>
        <v>45909.645833333299</v>
      </c>
      <c r="B1407" s="14">
        <f ca="1">IFERROR(__xludf.DUMMYFUNCTION("""COMPUTED_VALUE"""),3049.4)</f>
        <v>3049.4</v>
      </c>
      <c r="C1407" s="15">
        <f t="shared" ca="1" si="10"/>
        <v>1.0069559456773902E-2</v>
      </c>
      <c r="D1407" s="14">
        <f t="shared" ca="1" si="11"/>
        <v>3155.6680000000006</v>
      </c>
      <c r="E1407" s="17"/>
      <c r="F1407" s="17"/>
    </row>
    <row r="1408" spans="1:6" ht="12.75" x14ac:dyDescent="0.2">
      <c r="A1408" s="13">
        <f ca="1">IFERROR(__xludf.DUMMYFUNCTION("""COMPUTED_VALUE"""),45910.6458333333)</f>
        <v>45910.645833333299</v>
      </c>
      <c r="B1408" s="14">
        <f ca="1">IFERROR(__xludf.DUMMYFUNCTION("""COMPUTED_VALUE"""),3110)</f>
        <v>3110</v>
      </c>
      <c r="C1408" s="15">
        <f t="shared" ca="1" si="10"/>
        <v>1.9872761854791143E-2</v>
      </c>
      <c r="D1408" s="14">
        <f t="shared" ca="1" si="11"/>
        <v>3148.6279999999997</v>
      </c>
      <c r="E1408" s="17"/>
      <c r="F1408" s="17"/>
    </row>
    <row r="1409" spans="1:6" ht="12.75" x14ac:dyDescent="0.2">
      <c r="A1409" s="13">
        <f ca="1">IFERROR(__xludf.DUMMYFUNCTION("""COMPUTED_VALUE"""),45911.6458333333)</f>
        <v>45911.645833333299</v>
      </c>
      <c r="B1409" s="14">
        <f ca="1">IFERROR(__xludf.DUMMYFUNCTION("""COMPUTED_VALUE"""),3124.2)</f>
        <v>3124.2</v>
      </c>
      <c r="C1409" s="15">
        <f t="shared" ca="1" si="10"/>
        <v>4.5659163987137319E-3</v>
      </c>
      <c r="D1409" s="14">
        <f t="shared" ca="1" si="11"/>
        <v>3142.518</v>
      </c>
      <c r="E1409" s="17"/>
      <c r="F1409" s="17"/>
    </row>
    <row r="1410" spans="1:6" ht="12.75" x14ac:dyDescent="0.2">
      <c r="A1410" s="13">
        <f ca="1">IFERROR(__xludf.DUMMYFUNCTION("""COMPUTED_VALUE"""),45912.6458333333)</f>
        <v>45912.645833333299</v>
      </c>
      <c r="B1410" s="14">
        <f ca="1">IFERROR(__xludf.DUMMYFUNCTION("""COMPUTED_VALUE"""),3133.4)</f>
        <v>3133.4</v>
      </c>
      <c r="C1410" s="15">
        <f t="shared" ca="1" si="10"/>
        <v>2.9447538569875586E-3</v>
      </c>
      <c r="D1410" s="14">
        <f t="shared" ca="1" si="11"/>
        <v>3136.72</v>
      </c>
      <c r="E1410" s="17"/>
      <c r="F1410" s="17"/>
    </row>
    <row r="1411" spans="1:6" ht="12.75" x14ac:dyDescent="0.2">
      <c r="A1411" s="13">
        <f ca="1">IFERROR(__xludf.DUMMYFUNCTION("""COMPUTED_VALUE"""),45915.6458333333)</f>
        <v>45915.645833333299</v>
      </c>
      <c r="B1411" s="14">
        <f ca="1">IFERROR(__xludf.DUMMYFUNCTION("""COMPUTED_VALUE"""),3111.9)</f>
        <v>3111.9</v>
      </c>
      <c r="C1411" s="15">
        <f t="shared" ca="1" si="10"/>
        <v>-6.8615561371034861E-3</v>
      </c>
      <c r="D1411" s="14">
        <f t="shared" ca="1" si="11"/>
        <v>3130.942</v>
      </c>
      <c r="E1411" s="17"/>
      <c r="F1411" s="17"/>
    </row>
    <row r="1412" spans="1:6" ht="12.75" x14ac:dyDescent="0.2">
      <c r="A1412" s="13">
        <f ca="1">IFERROR(__xludf.DUMMYFUNCTION("""COMPUTED_VALUE"""),45916.6458333333)</f>
        <v>45916.645833333299</v>
      </c>
      <c r="B1412" s="14">
        <f ca="1">IFERROR(__xludf.DUMMYFUNCTION("""COMPUTED_VALUE"""),3145.7)</f>
        <v>3145.7</v>
      </c>
      <c r="C1412" s="15">
        <f t="shared" ca="1" si="10"/>
        <v>1.0861531540216518E-2</v>
      </c>
      <c r="D1412" s="14">
        <f t="shared" ca="1" si="11"/>
        <v>3125.46</v>
      </c>
      <c r="E1412" s="17"/>
      <c r="F1412" s="17"/>
    </row>
    <row r="1413" spans="1:6" ht="12.75" x14ac:dyDescent="0.2">
      <c r="A1413" s="13">
        <f ca="1">IFERROR(__xludf.DUMMYFUNCTION("""COMPUTED_VALUE"""),45917.6458333333)</f>
        <v>45917.645833333299</v>
      </c>
      <c r="B1413" s="14">
        <f ca="1">IFERROR(__xludf.DUMMYFUNCTION("""COMPUTED_VALUE"""),3172.8)</f>
        <v>3172.8</v>
      </c>
      <c r="C1413" s="15">
        <f t="shared" ca="1" si="10"/>
        <v>8.614934672728003E-3</v>
      </c>
      <c r="D1413" s="14">
        <f t="shared" ca="1" si="11"/>
        <v>3120.6820000000002</v>
      </c>
      <c r="E1413" s="17"/>
      <c r="F1413" s="17"/>
    </row>
    <row r="1414" spans="1:6" ht="12.75" x14ac:dyDescent="0.2">
      <c r="A1414" s="13">
        <f ca="1">IFERROR(__xludf.DUMMYFUNCTION("""COMPUTED_VALUE"""),45918.6458333333)</f>
        <v>45918.645833333299</v>
      </c>
      <c r="B1414" s="14">
        <f ca="1">IFERROR(__xludf.DUMMYFUNCTION("""COMPUTED_VALUE"""),3176.7)</f>
        <v>3176.7</v>
      </c>
      <c r="C1414" s="15">
        <f t="shared" ca="1" si="10"/>
        <v>1.2291981845686806E-3</v>
      </c>
      <c r="D1414" s="14">
        <f t="shared" ca="1" si="11"/>
        <v>3116.0920000000006</v>
      </c>
      <c r="E1414" s="17"/>
      <c r="F1414" s="17"/>
    </row>
    <row r="1415" spans="1:6" ht="12.75" x14ac:dyDescent="0.2">
      <c r="A1415" s="13">
        <f ca="1">IFERROR(__xludf.DUMMYFUNCTION("""COMPUTED_VALUE"""),45919.6458333333)</f>
        <v>45919.645833333299</v>
      </c>
      <c r="B1415" s="14">
        <f ca="1">IFERROR(__xludf.DUMMYFUNCTION("""COMPUTED_VALUE"""),3169.2)</f>
        <v>3169.2</v>
      </c>
      <c r="C1415" s="15">
        <f t="shared" ca="1" si="10"/>
        <v>-2.3609405987344845E-3</v>
      </c>
      <c r="D1415" s="14">
        <f t="shared" ca="1" si="11"/>
        <v>3111.8000000000006</v>
      </c>
      <c r="E1415" s="17"/>
      <c r="F1415" s="17"/>
    </row>
    <row r="1416" spans="1:6" ht="12.75" x14ac:dyDescent="0.2">
      <c r="A1416" s="13">
        <f ca="1">IFERROR(__xludf.DUMMYFUNCTION("""COMPUTED_VALUE"""),45922.6458333333)</f>
        <v>45922.645833333299</v>
      </c>
      <c r="B1416" s="14">
        <f ca="1">IFERROR(__xludf.DUMMYFUNCTION("""COMPUTED_VALUE"""),3073.8)</f>
        <v>3073.8</v>
      </c>
      <c r="C1416" s="15">
        <f t="shared" ca="1" si="10"/>
        <v>-3.0102234002271744E-2</v>
      </c>
      <c r="D1416" s="14">
        <f t="shared" ca="1" si="11"/>
        <v>3105.6360000000004</v>
      </c>
      <c r="E1416" s="17"/>
      <c r="F1416" s="17"/>
    </row>
    <row r="1417" spans="1:6" ht="12.75" x14ac:dyDescent="0.2">
      <c r="A1417" s="13">
        <f ca="1">IFERROR(__xludf.DUMMYFUNCTION("""COMPUTED_VALUE"""),45923.6458333333)</f>
        <v>45923.645833333299</v>
      </c>
      <c r="B1417" s="14">
        <f ca="1">IFERROR(__xludf.DUMMYFUNCTION("""COMPUTED_VALUE"""),3062.4)</f>
        <v>3062.4</v>
      </c>
      <c r="C1417" s="15">
        <f t="shared" ca="1" si="10"/>
        <v>-3.7087643958618743E-3</v>
      </c>
      <c r="D1417" s="14">
        <f t="shared" ca="1" si="11"/>
        <v>3101.5640000000003</v>
      </c>
      <c r="E1417" s="17"/>
      <c r="F1417" s="17"/>
    </row>
    <row r="1418" spans="1:6" ht="12.75" x14ac:dyDescent="0.2">
      <c r="A1418" s="13">
        <f ca="1">IFERROR(__xludf.DUMMYFUNCTION("""COMPUTED_VALUE"""),45924.6458333333)</f>
        <v>45924.645833333299</v>
      </c>
      <c r="B1418" s="14">
        <f ca="1">IFERROR(__xludf.DUMMYFUNCTION("""COMPUTED_VALUE"""),3035.4)</f>
        <v>3035.4</v>
      </c>
      <c r="C1418" s="15">
        <f t="shared" ca="1" si="10"/>
        <v>-8.8166144200626517E-3</v>
      </c>
      <c r="D1418" s="14">
        <f t="shared" ca="1" si="11"/>
        <v>3097.8179999999998</v>
      </c>
      <c r="E1418" s="17"/>
      <c r="F1418" s="17"/>
    </row>
    <row r="1419" spans="1:6" ht="12.75" x14ac:dyDescent="0.2">
      <c r="A1419" s="13">
        <f ca="1">IFERROR(__xludf.DUMMYFUNCTION("""COMPUTED_VALUE"""),45925.6458333333)</f>
        <v>45925.645833333299</v>
      </c>
      <c r="B1419" s="14">
        <f ca="1">IFERROR(__xludf.DUMMYFUNCTION("""COMPUTED_VALUE"""),2957.4)</f>
        <v>2957.4</v>
      </c>
      <c r="C1419" s="15">
        <f t="shared" ca="1" si="10"/>
        <v>-2.5696778019371425E-2</v>
      </c>
      <c r="D1419" s="14">
        <f t="shared" ca="1" si="11"/>
        <v>3091.9199999999996</v>
      </c>
      <c r="E1419" s="17"/>
      <c r="F1419" s="17"/>
    </row>
    <row r="1420" spans="1:6" ht="12.75" x14ac:dyDescent="0.2">
      <c r="A1420" s="13">
        <f ca="1">IFERROR(__xludf.DUMMYFUNCTION("""COMPUTED_VALUE"""),45926.6458333333)</f>
        <v>45926.645833333299</v>
      </c>
      <c r="B1420" s="14">
        <f ca="1">IFERROR(__xludf.DUMMYFUNCTION("""COMPUTED_VALUE"""),2899.1)</f>
        <v>2899.1</v>
      </c>
      <c r="C1420" s="15">
        <f t="shared" ca="1" si="10"/>
        <v>-1.9713261648745539E-2</v>
      </c>
      <c r="D1420" s="14">
        <f t="shared" ca="1" si="11"/>
        <v>3085.24</v>
      </c>
      <c r="E1420" s="17"/>
      <c r="F1420" s="17"/>
    </row>
    <row r="1421" spans="1:6" ht="12.75" x14ac:dyDescent="0.2">
      <c r="A1421" s="13">
        <f ca="1">IFERROR(__xludf.DUMMYFUNCTION("""COMPUTED_VALUE"""),45929.6458333333)</f>
        <v>45929.645833333299</v>
      </c>
      <c r="B1421" s="14">
        <f ca="1">IFERROR(__xludf.DUMMYFUNCTION("""COMPUTED_VALUE"""),2896.1)</f>
        <v>2896.1</v>
      </c>
      <c r="C1421" s="15">
        <f t="shared" ca="1" si="10"/>
        <v>-1.0348039046600421E-3</v>
      </c>
      <c r="D1421" s="14">
        <f t="shared" ca="1" si="11"/>
        <v>3078.9780000000001</v>
      </c>
      <c r="E1421" s="17"/>
      <c r="F1421" s="17"/>
    </row>
    <row r="1422" spans="1:6" ht="12.75" x14ac:dyDescent="0.2">
      <c r="A1422" s="13">
        <f ca="1">IFERROR(__xludf.DUMMYFUNCTION("""COMPUTED_VALUE"""),45930.6458333333)</f>
        <v>45930.645833333299</v>
      </c>
      <c r="B1422" s="14">
        <f ca="1">IFERROR(__xludf.DUMMYFUNCTION("""COMPUTED_VALUE"""),2888.4)</f>
        <v>2888.4</v>
      </c>
      <c r="C1422" s="15">
        <f t="shared" ca="1" si="10"/>
        <v>-2.6587479714097473E-3</v>
      </c>
      <c r="D1422" s="14">
        <f t="shared" ca="1" si="11"/>
        <v>3072.9479999999994</v>
      </c>
      <c r="E1422" s="17"/>
      <c r="F1422" s="17"/>
    </row>
    <row r="1423" spans="1:6" ht="12.75" x14ac:dyDescent="0.2">
      <c r="A1423" s="13">
        <f ca="1">IFERROR(__xludf.DUMMYFUNCTION("""COMPUTED_VALUE"""),45931.6458333333)</f>
        <v>45931.645833333299</v>
      </c>
      <c r="B1423" s="14">
        <f ca="1">IFERROR(__xludf.DUMMYFUNCTION("""COMPUTED_VALUE"""),2914.2)</f>
        <v>2914.2</v>
      </c>
      <c r="C1423" s="15">
        <f t="shared" ca="1" si="10"/>
        <v>8.9322808475278404E-3</v>
      </c>
      <c r="D1423" s="14">
        <f t="shared" ca="1" si="11"/>
        <v>3068.0679999999993</v>
      </c>
      <c r="E1423" s="17"/>
      <c r="F1423" s="17"/>
    </row>
    <row r="1424" spans="1:6" ht="12.75" x14ac:dyDescent="0.2">
      <c r="A1424" s="13">
        <f ca="1">IFERROR(__xludf.DUMMYFUNCTION("""COMPUTED_VALUE"""),45933.6458333333)</f>
        <v>45933.645833333299</v>
      </c>
      <c r="B1424" s="14">
        <f ca="1">IFERROR(__xludf.DUMMYFUNCTION("""COMPUTED_VALUE"""),2901.9)</f>
        <v>2901.9</v>
      </c>
      <c r="C1424" s="15">
        <f t="shared" ca="1" si="10"/>
        <v>-4.2207123738932095E-3</v>
      </c>
      <c r="D1424" s="14">
        <f t="shared" ca="1" si="11"/>
        <v>3062.9139999999998</v>
      </c>
      <c r="E1424" s="17"/>
      <c r="F1424" s="17"/>
    </row>
    <row r="1425" spans="1:6" ht="12.75" x14ac:dyDescent="0.2">
      <c r="A1425" s="13">
        <f ca="1">IFERROR(__xludf.DUMMYFUNCTION("""COMPUTED_VALUE"""),45936.6458333333)</f>
        <v>45936.645833333299</v>
      </c>
      <c r="B1425" s="14">
        <f ca="1">IFERROR(__xludf.DUMMYFUNCTION("""COMPUTED_VALUE"""),2988.4)</f>
        <v>2988.4</v>
      </c>
      <c r="C1425" s="15">
        <f t="shared" ca="1" si="10"/>
        <v>2.9808056790378679E-2</v>
      </c>
      <c r="D1425" s="14">
        <f t="shared" ca="1" si="11"/>
        <v>3059.0999999999995</v>
      </c>
      <c r="E1425" s="17"/>
      <c r="F1425" s="17"/>
    </row>
    <row r="1426" spans="1:6" ht="12.75" x14ac:dyDescent="0.2">
      <c r="A1426" s="13">
        <f ca="1">IFERROR(__xludf.DUMMYFUNCTION("""COMPUTED_VALUE"""),45937.6458333333)</f>
        <v>45937.645833333299</v>
      </c>
      <c r="B1426" s="14">
        <f ca="1">IFERROR(__xludf.DUMMYFUNCTION("""COMPUTED_VALUE"""),2973.7)</f>
        <v>2973.7</v>
      </c>
      <c r="C1426" s="15">
        <f t="shared" ca="1" si="10"/>
        <v>-4.9190202114844928E-3</v>
      </c>
      <c r="D1426" s="14">
        <f t="shared" ca="1" si="11"/>
        <v>3055.6139999999996</v>
      </c>
      <c r="E1426" s="17"/>
      <c r="F1426" s="17"/>
    </row>
    <row r="1427" spans="1:6" ht="12.75" x14ac:dyDescent="0.2">
      <c r="A1427" s="13">
        <f ca="1">IFERROR(__xludf.DUMMYFUNCTION("""COMPUTED_VALUE"""),45938.6458333333)</f>
        <v>45938.645833333299</v>
      </c>
      <c r="B1427" s="14">
        <f ca="1">IFERROR(__xludf.DUMMYFUNCTION("""COMPUTED_VALUE"""),3027.2)</f>
        <v>3027.2</v>
      </c>
      <c r="C1427" s="15">
        <f t="shared" ca="1" si="10"/>
        <v>1.7991054914752613E-2</v>
      </c>
      <c r="D1427" s="14">
        <f t="shared" ca="1" si="11"/>
        <v>3053.4419999999996</v>
      </c>
      <c r="E1427" s="17"/>
      <c r="F1427" s="17"/>
    </row>
    <row r="1428" spans="1:6" ht="12.75" x14ac:dyDescent="0.2">
      <c r="A1428" s="13">
        <f ca="1">IFERROR(__xludf.DUMMYFUNCTION("""COMPUTED_VALUE"""),45939.6458333333)</f>
        <v>45939.645833333299</v>
      </c>
      <c r="B1428" s="14">
        <f ca="1">IFERROR(__xludf.DUMMYFUNCTION("""COMPUTED_VALUE"""),3061.7)</f>
        <v>3061.7</v>
      </c>
      <c r="C1428" s="15">
        <f t="shared" ca="1" si="10"/>
        <v>1.1396670190274794E-2</v>
      </c>
      <c r="D1428" s="14">
        <f t="shared" ca="1" si="11"/>
        <v>3053.0899999999992</v>
      </c>
      <c r="E1428" s="17"/>
      <c r="F1428" s="17"/>
    </row>
    <row r="1429" spans="1:6" ht="12.75" x14ac:dyDescent="0.2">
      <c r="A1429" s="13">
        <f ca="1">IFERROR(__xludf.DUMMYFUNCTION("""COMPUTED_VALUE"""),45940.6458333333)</f>
        <v>45940.645833333299</v>
      </c>
      <c r="B1429" s="14">
        <f ca="1">IFERROR(__xludf.DUMMYFUNCTION("""COMPUTED_VALUE"""),3028.3)</f>
        <v>3028.3</v>
      </c>
      <c r="C1429" s="15">
        <f t="shared" ca="1" si="10"/>
        <v>-1.09089721396608E-2</v>
      </c>
      <c r="D1429" s="14">
        <f t="shared" ca="1" si="11"/>
        <v>3052.5359999999996</v>
      </c>
      <c r="E1429" s="17"/>
      <c r="F1429" s="17"/>
    </row>
    <row r="1430" spans="1:6" ht="12.75" x14ac:dyDescent="0.2">
      <c r="A1430" s="13">
        <f ca="1">IFERROR(__xludf.DUMMYFUNCTION("""COMPUTED_VALUE"""),45943.6458333333)</f>
        <v>45943.645833333299</v>
      </c>
      <c r="B1430" s="14">
        <f ca="1">IFERROR(__xludf.DUMMYFUNCTION("""COMPUTED_VALUE"""),3007.2)</f>
        <v>3007.2</v>
      </c>
      <c r="C1430" s="15">
        <f t="shared" ca="1" si="10"/>
        <v>-6.9676055872933684E-3</v>
      </c>
      <c r="D1430" s="14">
        <f t="shared" ca="1" si="11"/>
        <v>3051.6079999999997</v>
      </c>
      <c r="E1430" s="17"/>
      <c r="F1430" s="17"/>
    </row>
    <row r="1431" spans="1:6" ht="12.75" x14ac:dyDescent="0.2">
      <c r="A1431" s="13">
        <f ca="1">IFERROR(__xludf.DUMMYFUNCTION("""COMPUTED_VALUE"""),45944.6458333333)</f>
        <v>45944.645833333299</v>
      </c>
      <c r="B1431" s="14">
        <f ca="1">IFERROR(__xludf.DUMMYFUNCTION("""COMPUTED_VALUE"""),2960.3)</f>
        <v>2960.3</v>
      </c>
      <c r="C1431" s="15">
        <f t="shared" ca="1" si="10"/>
        <v>-1.5595903165735447E-2</v>
      </c>
      <c r="D1431" s="14">
        <f t="shared" ca="1" si="11"/>
        <v>3050.0779999999995</v>
      </c>
      <c r="E1431" s="17"/>
      <c r="F1431" s="17"/>
    </row>
    <row r="1432" spans="1:6" ht="12.75" x14ac:dyDescent="0.2">
      <c r="A1432" s="13">
        <f ca="1">IFERROR(__xludf.DUMMYFUNCTION("""COMPUTED_VALUE"""),45945.6458333333)</f>
        <v>45945.645833333299</v>
      </c>
      <c r="B1432" s="14">
        <f ca="1">IFERROR(__xludf.DUMMYFUNCTION("""COMPUTED_VALUE"""),2969.8)</f>
        <v>2969.8</v>
      </c>
      <c r="C1432" s="15">
        <f t="shared" ca="1" si="10"/>
        <v>3.2091342093707453E-3</v>
      </c>
      <c r="D1432" s="14">
        <f t="shared" ca="1" si="11"/>
        <v>3049.4139999999989</v>
      </c>
      <c r="E1432" s="17"/>
      <c r="F1432" s="17"/>
    </row>
    <row r="1433" spans="1:6" ht="12.75" x14ac:dyDescent="0.2">
      <c r="A1433" s="13">
        <f ca="1">IFERROR(__xludf.DUMMYFUNCTION("""COMPUTED_VALUE"""),45946.6458333333)</f>
        <v>45946.645833333299</v>
      </c>
      <c r="B1433" s="14">
        <f ca="1">IFERROR(__xludf.DUMMYFUNCTION("""COMPUTED_VALUE"""),2970.7)</f>
        <v>2970.7</v>
      </c>
      <c r="C1433" s="15">
        <f t="shared" ca="1" si="10"/>
        <v>3.0305071048553067E-4</v>
      </c>
      <c r="D1433" s="14">
        <f t="shared" ca="1" si="11"/>
        <v>3047.3399999999988</v>
      </c>
      <c r="E1433" s="17"/>
      <c r="F1433" s="17"/>
    </row>
    <row r="1434" spans="1:6" ht="12.75" x14ac:dyDescent="0.2">
      <c r="A1434" s="13">
        <f ca="1">IFERROR(__xludf.DUMMYFUNCTION("""COMPUTED_VALUE"""),45947.6458333333)</f>
        <v>45947.645833333299</v>
      </c>
      <c r="B1434" s="14">
        <f ca="1">IFERROR(__xludf.DUMMYFUNCTION("""COMPUTED_VALUE"""),2962.2)</f>
        <v>2962.2</v>
      </c>
      <c r="C1434" s="15">
        <f t="shared" ca="1" si="10"/>
        <v>-2.8612784865520435E-3</v>
      </c>
      <c r="D1434" s="14">
        <f t="shared" ca="1" si="11"/>
        <v>3045.3059999999991</v>
      </c>
      <c r="E1434" s="17"/>
      <c r="F1434" s="17"/>
    </row>
    <row r="1435" spans="1:6" ht="12.75" x14ac:dyDescent="0.2">
      <c r="A1435" s="13">
        <f ca="1">IFERROR(__xludf.DUMMYFUNCTION("""COMPUTED_VALUE"""),45950.6458333333)</f>
        <v>45950.645833333299</v>
      </c>
      <c r="B1435" s="14">
        <f ca="1">IFERROR(__xludf.DUMMYFUNCTION("""COMPUTED_VALUE"""),3015.2)</f>
        <v>3015.2</v>
      </c>
      <c r="C1435" s="15">
        <f t="shared" ca="1" si="10"/>
        <v>1.7892107217608588E-2</v>
      </c>
      <c r="D1435" s="14">
        <f t="shared" ca="1" si="11"/>
        <v>3044.963999999999</v>
      </c>
      <c r="E1435" s="17"/>
      <c r="F1435" s="17"/>
    </row>
    <row r="1436" spans="1:6" ht="12.75" x14ac:dyDescent="0.2">
      <c r="A1436" s="13">
        <f ca="1">IFERROR(__xludf.DUMMYFUNCTION("""COMPUTED_VALUE"""),45951.6458333333)</f>
        <v>45951.645833333299</v>
      </c>
      <c r="B1436" s="14">
        <f ca="1">IFERROR(__xludf.DUMMYFUNCTION("""COMPUTED_VALUE"""),3006.7)</f>
        <v>3006.7</v>
      </c>
      <c r="C1436" s="15">
        <f t="shared" ca="1" si="10"/>
        <v>-2.8190501459273154E-3</v>
      </c>
      <c r="D1436" s="14">
        <f t="shared" ca="1" si="11"/>
        <v>3044.1579999999994</v>
      </c>
      <c r="E1436" s="17"/>
      <c r="F1436" s="17"/>
    </row>
    <row r="1437" spans="1:6" ht="12.75" x14ac:dyDescent="0.2">
      <c r="A1437" s="13">
        <f ca="1">IFERROR(__xludf.DUMMYFUNCTION("""COMPUTED_VALUE"""),45953.6458333333)</f>
        <v>45953.645833333299</v>
      </c>
      <c r="B1437" s="14">
        <f ca="1">IFERROR(__xludf.DUMMYFUNCTION("""COMPUTED_VALUE"""),3073.2)</f>
        <v>3073.2</v>
      </c>
      <c r="C1437" s="15">
        <f t="shared" ca="1" si="10"/>
        <v>2.2117271427146035E-2</v>
      </c>
      <c r="D1437" s="14">
        <f t="shared" ca="1" si="11"/>
        <v>3044.8939999999998</v>
      </c>
      <c r="E1437" s="17"/>
      <c r="F1437" s="17"/>
    </row>
    <row r="1438" spans="1:6" ht="12.75" x14ac:dyDescent="0.2">
      <c r="A1438" s="13">
        <f ca="1">IFERROR(__xludf.DUMMYFUNCTION("""COMPUTED_VALUE"""),45954.6458333333)</f>
        <v>45954.645833333299</v>
      </c>
      <c r="B1438" s="14">
        <f ca="1">IFERROR(__xludf.DUMMYFUNCTION("""COMPUTED_VALUE"""),3063.2)</f>
        <v>3063.2</v>
      </c>
      <c r="C1438" s="15">
        <f t="shared" ca="1" si="10"/>
        <v>-3.2539372640895126E-3</v>
      </c>
      <c r="D1438" s="14">
        <f t="shared" ca="1" si="11"/>
        <v>3045.3420000000001</v>
      </c>
      <c r="E1438" s="17"/>
      <c r="F1438" s="17"/>
    </row>
    <row r="1439" spans="1:6" ht="12.75" x14ac:dyDescent="0.2">
      <c r="A1439" s="13">
        <f ca="1">IFERROR(__xludf.DUMMYFUNCTION("""COMPUTED_VALUE"""),45957.6458333333)</f>
        <v>45957.645833333299</v>
      </c>
      <c r="B1439" s="14">
        <f ca="1">IFERROR(__xludf.DUMMYFUNCTION("""COMPUTED_VALUE"""),3084.9)</f>
        <v>3084.9</v>
      </c>
      <c r="C1439" s="15">
        <f t="shared" ca="1" si="10"/>
        <v>7.0840950639854405E-3</v>
      </c>
      <c r="D1439" s="14">
        <f t="shared" ca="1" si="11"/>
        <v>3046.3320000000008</v>
      </c>
      <c r="E1439" s="17"/>
      <c r="F1439" s="17"/>
    </row>
    <row r="1440" spans="1:6" ht="12.75" x14ac:dyDescent="0.2">
      <c r="A1440" s="13">
        <f ca="1">IFERROR(__xludf.DUMMYFUNCTION("""COMPUTED_VALUE"""),45958.6458333333)</f>
        <v>45958.645833333299</v>
      </c>
      <c r="B1440" s="14">
        <f ca="1">IFERROR(__xludf.DUMMYFUNCTION("""COMPUTED_VALUE"""),3057.9)</f>
        <v>3057.9</v>
      </c>
      <c r="C1440" s="15">
        <f t="shared" ca="1" si="10"/>
        <v>-8.7523096372653653E-3</v>
      </c>
      <c r="D1440" s="14">
        <f t="shared" ca="1" si="11"/>
        <v>3046.7660000000005</v>
      </c>
      <c r="E1440" s="17"/>
      <c r="F1440" s="17"/>
    </row>
    <row r="1441" spans="1:6" ht="12.75" x14ac:dyDescent="0.2">
      <c r="A1441" s="13">
        <f ca="1">IFERROR(__xludf.DUMMYFUNCTION("""COMPUTED_VALUE"""),45959.6458333333)</f>
        <v>45959.645833333299</v>
      </c>
      <c r="B1441" s="14">
        <f ca="1">IFERROR(__xludf.DUMMYFUNCTION("""COMPUTED_VALUE"""),3057.6)</f>
        <v>3057.6</v>
      </c>
      <c r="C1441" s="15">
        <f t="shared" ca="1" si="10"/>
        <v>-9.8106543706566463E-5</v>
      </c>
      <c r="D1441" s="14">
        <f t="shared" ca="1" si="11"/>
        <v>3047.4720000000002</v>
      </c>
      <c r="E1441" s="17"/>
      <c r="F1441" s="17"/>
    </row>
    <row r="1442" spans="1:6" ht="12.75" x14ac:dyDescent="0.2">
      <c r="A1442" s="13">
        <f ca="1">IFERROR(__xludf.DUMMYFUNCTION("""COMPUTED_VALUE"""),45960.6458333333)</f>
        <v>45960.645833333299</v>
      </c>
      <c r="B1442" s="14">
        <f ca="1">IFERROR(__xludf.DUMMYFUNCTION("""COMPUTED_VALUE"""),3035.3)</f>
        <v>3035.3</v>
      </c>
      <c r="C1442" s="15">
        <f t="shared" ca="1" si="10"/>
        <v>-7.2933019361589579E-3</v>
      </c>
      <c r="D1442" s="14">
        <f t="shared" ca="1" si="11"/>
        <v>3047.9539999999997</v>
      </c>
      <c r="E1442" s="17"/>
      <c r="F1442" s="17"/>
    </row>
    <row r="1443" spans="1:6" ht="12.75" x14ac:dyDescent="0.2">
      <c r="A1443" s="13">
        <f ca="1">IFERROR(__xludf.DUMMYFUNCTION("""COMPUTED_VALUE"""),45961.6458333333)</f>
        <v>45961.645833333299</v>
      </c>
      <c r="B1443" s="14">
        <f ca="1">IFERROR(__xludf.DUMMYFUNCTION("""COMPUTED_VALUE"""),3058)</f>
        <v>3058</v>
      </c>
      <c r="C1443" s="15">
        <f t="shared" ca="1" si="10"/>
        <v>7.4786676770006721E-3</v>
      </c>
      <c r="D1443" s="14">
        <f t="shared" ca="1" si="11"/>
        <v>3048.7899999999995</v>
      </c>
      <c r="E1443" s="17"/>
      <c r="F1443" s="17"/>
    </row>
    <row r="1444" spans="1:6" ht="12.75" x14ac:dyDescent="0.2">
      <c r="A1444" s="13">
        <f ca="1">IFERROR(__xludf.DUMMYFUNCTION("""COMPUTED_VALUE"""),45964.6458333333)</f>
        <v>45964.645833333299</v>
      </c>
      <c r="B1444" s="14">
        <f ca="1">IFERROR(__xludf.DUMMYFUNCTION("""COMPUTED_VALUE"""),3016.8)</f>
        <v>3016.8</v>
      </c>
      <c r="C1444" s="15">
        <f t="shared" ca="1" si="10"/>
        <v>-1.3472858077174577E-2</v>
      </c>
      <c r="D1444" s="14">
        <f t="shared" ca="1" si="11"/>
        <v>3047.1539999999986</v>
      </c>
      <c r="E1444" s="17"/>
      <c r="F1444" s="17"/>
    </row>
    <row r="1445" spans="1:6" ht="12.75" x14ac:dyDescent="0.2">
      <c r="A1445" s="13">
        <f ca="1">IFERROR(__xludf.DUMMYFUNCTION("""COMPUTED_VALUE"""),45965.6458333333)</f>
        <v>45965.645833333299</v>
      </c>
      <c r="B1445" s="14">
        <f ca="1">IFERROR(__xludf.DUMMYFUNCTION("""COMPUTED_VALUE"""),2990.2)</f>
        <v>2990.2</v>
      </c>
      <c r="C1445" s="15">
        <f t="shared" ca="1" si="10"/>
        <v>-8.8172898435429081E-3</v>
      </c>
      <c r="D1445" s="14">
        <f t="shared" ca="1" si="11"/>
        <v>3044.905999999999</v>
      </c>
      <c r="E1445" s="17"/>
      <c r="F1445" s="17"/>
    </row>
    <row r="1446" spans="1:6" ht="12.75" x14ac:dyDescent="0.2">
      <c r="A1446" s="13">
        <f ca="1">IFERROR(__xludf.DUMMYFUNCTION("""COMPUTED_VALUE"""),45967.6458333333)</f>
        <v>45967.645833333299</v>
      </c>
      <c r="B1446" s="14">
        <f ca="1">IFERROR(__xludf.DUMMYFUNCTION("""COMPUTED_VALUE"""),3010.9)</f>
        <v>3010.9</v>
      </c>
      <c r="C1446" s="15">
        <f t="shared" ca="1" si="10"/>
        <v>6.9226138719820085E-3</v>
      </c>
      <c r="D1446" s="14">
        <f t="shared" ca="1" si="11"/>
        <v>3044.043999999999</v>
      </c>
      <c r="E1446" s="17"/>
      <c r="F1446" s="17"/>
    </row>
    <row r="1447" spans="1:6" ht="12.75" x14ac:dyDescent="0.2">
      <c r="A1447" s="13">
        <f ca="1">IFERROR(__xludf.DUMMYFUNCTION("""COMPUTED_VALUE"""),45968.6458333333)</f>
        <v>45968.645833333299</v>
      </c>
      <c r="B1447" s="14">
        <f ca="1">IFERROR(__xludf.DUMMYFUNCTION("""COMPUTED_VALUE"""),2991.8)</f>
        <v>2991.8</v>
      </c>
      <c r="C1447" s="15">
        <f t="shared" ca="1" si="10"/>
        <v>-6.3436181872529307E-3</v>
      </c>
      <c r="D1447" s="14">
        <f t="shared" ca="1" si="11"/>
        <v>3041.0679999999988</v>
      </c>
      <c r="E1447" s="17"/>
      <c r="F1447" s="17"/>
    </row>
    <row r="1448" spans="1:6" ht="12.75" x14ac:dyDescent="0.2">
      <c r="A1448" s="13">
        <f ca="1">IFERROR(__xludf.DUMMYFUNCTION("""COMPUTED_VALUE"""),45971.6458333333)</f>
        <v>45971.645833333299</v>
      </c>
      <c r="B1448" s="14">
        <f ca="1">IFERROR(__xludf.DUMMYFUNCTION("""COMPUTED_VALUE"""),3025.2)</f>
        <v>3025.2</v>
      </c>
      <c r="C1448" s="15">
        <f t="shared" ca="1" si="10"/>
        <v>1.1163847850792052E-2</v>
      </c>
      <c r="D1448" s="14">
        <f t="shared" ca="1" si="11"/>
        <v>3038.4279999999994</v>
      </c>
      <c r="E1448" s="17"/>
      <c r="F1448" s="17"/>
    </row>
    <row r="1449" spans="1:6" ht="12.75" x14ac:dyDescent="0.2">
      <c r="A1449" s="13">
        <f ca="1">IFERROR(__xludf.DUMMYFUNCTION("""COMPUTED_VALUE"""),45972.6458333333)</f>
        <v>45972.645833333299</v>
      </c>
      <c r="B1449" s="14">
        <f ca="1">IFERROR(__xludf.DUMMYFUNCTION("""COMPUTED_VALUE"""),3047)</f>
        <v>3047</v>
      </c>
      <c r="C1449" s="15">
        <f t="shared" ca="1" si="10"/>
        <v>7.2061351315615418E-3</v>
      </c>
      <c r="D1449" s="14">
        <f t="shared" ca="1" si="11"/>
        <v>3037.4939999999992</v>
      </c>
      <c r="E1449" s="17"/>
      <c r="F1449" s="17"/>
    </row>
    <row r="1450" spans="1:6" ht="12.75" x14ac:dyDescent="0.2">
      <c r="A1450" s="13">
        <f ca="1">IFERROR(__xludf.DUMMYFUNCTION("""COMPUTED_VALUE"""),45973.6458333333)</f>
        <v>45973.645833333299</v>
      </c>
      <c r="B1450" s="14">
        <f ca="1">IFERROR(__xludf.DUMMYFUNCTION("""COMPUTED_VALUE"""),3131.8)</f>
        <v>3131.8</v>
      </c>
      <c r="C1450" s="15">
        <f t="shared" ca="1" si="10"/>
        <v>2.7830653101411196E-2</v>
      </c>
      <c r="D1450" s="14">
        <f t="shared" ca="1" si="11"/>
        <v>3038.4359999999992</v>
      </c>
      <c r="E1450" s="17"/>
      <c r="F1450" s="17"/>
    </row>
    <row r="1451" spans="1:6" ht="12.75" x14ac:dyDescent="0.2">
      <c r="A1451" s="13">
        <f ca="1">IFERROR(__xludf.DUMMYFUNCTION("""COMPUTED_VALUE"""),45974.6458333333)</f>
        <v>45974.645833333299</v>
      </c>
      <c r="B1451" s="14">
        <f ca="1">IFERROR(__xludf.DUMMYFUNCTION("""COMPUTED_VALUE"""),3105.7)</f>
        <v>3105.7</v>
      </c>
      <c r="C1451" s="15">
        <f t="shared" ca="1" si="10"/>
        <v>-8.3338655086533375E-3</v>
      </c>
      <c r="D1451" s="14">
        <f t="shared" ca="1" si="11"/>
        <v>3038.2979999999993</v>
      </c>
      <c r="E1451" s="17"/>
      <c r="F1451" s="17"/>
    </row>
    <row r="1452" spans="1:6" ht="12.75" x14ac:dyDescent="0.2">
      <c r="A1452" s="13">
        <f ca="1">IFERROR(__xludf.DUMMYFUNCTION("""COMPUTED_VALUE"""),45975.6458333333)</f>
        <v>45975.645833333299</v>
      </c>
      <c r="B1452" s="14">
        <f ca="1">IFERROR(__xludf.DUMMYFUNCTION("""COMPUTED_VALUE"""),3106)</f>
        <v>3106</v>
      </c>
      <c r="C1452" s="15">
        <f t="shared" ca="1" si="10"/>
        <v>9.6596580481111971E-5</v>
      </c>
      <c r="D1452" s="14">
        <f t="shared" ca="1" si="11"/>
        <v>3038.1879999999992</v>
      </c>
      <c r="E1452" s="17"/>
      <c r="F1452" s="17"/>
    </row>
    <row r="1453" spans="1:6" ht="12.75" x14ac:dyDescent="0.2">
      <c r="A1453" s="13">
        <f ca="1">IFERROR(__xludf.DUMMYFUNCTION("""COMPUTED_VALUE"""),45978.6458333333)</f>
        <v>45978.645833333299</v>
      </c>
      <c r="B1453" s="14">
        <f ca="1">IFERROR(__xludf.DUMMYFUNCTION("""COMPUTED_VALUE"""),3102.2)</f>
        <v>3102.2</v>
      </c>
      <c r="C1453" s="15">
        <f t="shared" ca="1" si="10"/>
        <v>-1.2234385061172803E-3</v>
      </c>
      <c r="D1453" s="14">
        <f t="shared" ca="1" si="11"/>
        <v>3038.2819999999997</v>
      </c>
      <c r="E1453" s="17"/>
      <c r="F1453" s="17"/>
    </row>
    <row r="1454" spans="1:6" ht="12.75" x14ac:dyDescent="0.2">
      <c r="A1454" s="13">
        <f ca="1">IFERROR(__xludf.DUMMYFUNCTION("""COMPUTED_VALUE"""),45979.6458333333)</f>
        <v>45979.645833333299</v>
      </c>
      <c r="B1454" s="14">
        <f ca="1">IFERROR(__xludf.DUMMYFUNCTION("""COMPUTED_VALUE"""),3087.1)</f>
        <v>3087.1</v>
      </c>
      <c r="C1454" s="15">
        <f t="shared" ca="1" si="10"/>
        <v>-4.8675133776029389E-3</v>
      </c>
      <c r="D1454" s="14">
        <f t="shared" ca="1" si="11"/>
        <v>3038.11</v>
      </c>
      <c r="E1454" s="17"/>
      <c r="F1454" s="17"/>
    </row>
    <row r="1455" spans="1:6" ht="12.75" x14ac:dyDescent="0.2">
      <c r="A1455" s="13">
        <f ca="1">IFERROR(__xludf.DUMMYFUNCTION("""COMPUTED_VALUE"""),45980.6458333333)</f>
        <v>45980.645833333299</v>
      </c>
      <c r="B1455" s="14">
        <f ca="1">IFERROR(__xludf.DUMMYFUNCTION("""COMPUTED_VALUE"""),3147.7)</f>
        <v>3147.7</v>
      </c>
      <c r="C1455" s="15">
        <f t="shared" ca="1" si="10"/>
        <v>1.9630073531793579E-2</v>
      </c>
      <c r="D1455" s="14">
        <f t="shared" ca="1" si="11"/>
        <v>3040.098</v>
      </c>
      <c r="E1455" s="17"/>
      <c r="F1455" s="17"/>
    </row>
    <row r="1456" spans="1:6" ht="12.75" x14ac:dyDescent="0.2">
      <c r="A1456" s="13">
        <f ca="1">IFERROR(__xludf.DUMMYFUNCTION("""COMPUTED_VALUE"""),45981.6458333333)</f>
        <v>45981.645833333299</v>
      </c>
      <c r="B1456" s="14">
        <f ca="1">IFERROR(__xludf.DUMMYFUNCTION("""COMPUTED_VALUE"""),3144.8)</f>
        <v>3144.8</v>
      </c>
      <c r="C1456" s="15">
        <f t="shared" ca="1" si="10"/>
        <v>-9.2130762143771694E-4</v>
      </c>
      <c r="D1456" s="14">
        <f t="shared" ca="1" si="11"/>
        <v>3042.614</v>
      </c>
      <c r="E1456" s="17"/>
      <c r="F1456" s="17"/>
    </row>
    <row r="1457" spans="1:6" ht="12.75" x14ac:dyDescent="0.2">
      <c r="A1457" s="13">
        <f ca="1">IFERROR(__xludf.DUMMYFUNCTION("""COMPUTED_VALUE"""),45982.6458333333)</f>
        <v>45982.645833333299</v>
      </c>
      <c r="B1457" s="14">
        <f ca="1">IFERROR(__xludf.DUMMYFUNCTION("""COMPUTED_VALUE"""),3150.6)</f>
        <v>3150.6</v>
      </c>
      <c r="C1457" s="15">
        <f t="shared" ca="1" si="10"/>
        <v>1.8443144238107223E-3</v>
      </c>
      <c r="D1457" s="14">
        <f t="shared" ca="1" si="11"/>
        <v>3044.6379999999999</v>
      </c>
      <c r="E1457" s="17"/>
      <c r="F1457" s="17"/>
    </row>
    <row r="1458" spans="1:6" ht="12.75" x14ac:dyDescent="0.2">
      <c r="A1458" s="13">
        <f ca="1">IFERROR(__xludf.DUMMYFUNCTION("""COMPUTED_VALUE"""),45985.6458333333)</f>
        <v>45985.645833333299</v>
      </c>
      <c r="B1458" s="14">
        <f ca="1">IFERROR(__xludf.DUMMYFUNCTION("""COMPUTED_VALUE"""),3141.2)</f>
        <v>3141.2</v>
      </c>
      <c r="C1458" s="15">
        <f t="shared" ca="1" si="10"/>
        <v>-2.9835586872342112E-3</v>
      </c>
      <c r="D1458" s="14">
        <f t="shared" ca="1" si="11"/>
        <v>3045.2620000000002</v>
      </c>
      <c r="E1458" s="17"/>
      <c r="F1458" s="17"/>
    </row>
    <row r="1459" spans="1:6" ht="12.75" x14ac:dyDescent="0.2">
      <c r="A1459" s="13">
        <f ca="1">IFERROR(__xludf.DUMMYFUNCTION("""COMPUTED_VALUE"""),45986.6458333333)</f>
        <v>45986.645833333299</v>
      </c>
      <c r="B1459" s="14">
        <f ca="1">IFERROR(__xludf.DUMMYFUNCTION("""COMPUTED_VALUE"""),3119.2)</f>
        <v>3119.2</v>
      </c>
      <c r="C1459" s="15">
        <f t="shared" ca="1" si="10"/>
        <v>-7.0036928562332568E-3</v>
      </c>
      <c r="D1459" s="14">
        <f t="shared" ca="1" si="11"/>
        <v>3045.1620000000003</v>
      </c>
      <c r="E1459" s="17"/>
      <c r="F1459" s="17"/>
    </row>
    <row r="1460" spans="1:6" ht="12.75" x14ac:dyDescent="0.2">
      <c r="A1460" s="13">
        <f ca="1">IFERROR(__xludf.DUMMYFUNCTION("""COMPUTED_VALUE"""),45987.6458333333)</f>
        <v>45987.645833333299</v>
      </c>
      <c r="B1460" s="14">
        <f ca="1">IFERROR(__xludf.DUMMYFUNCTION("""COMPUTED_VALUE"""),3162.9)</f>
        <v>3162.9</v>
      </c>
      <c r="C1460" s="15">
        <f t="shared" ca="1" si="10"/>
        <v>1.401000256476026E-2</v>
      </c>
      <c r="D1460" s="14">
        <f t="shared" ca="1" si="11"/>
        <v>3045.752</v>
      </c>
      <c r="E1460" s="17"/>
      <c r="F1460" s="17"/>
    </row>
    <row r="1461" spans="1:6" ht="12.75" x14ac:dyDescent="0.2">
      <c r="A1461" s="13">
        <f ca="1">IFERROR(__xludf.DUMMYFUNCTION("""COMPUTED_VALUE"""),45988.6458333333)</f>
        <v>45988.645833333299</v>
      </c>
      <c r="B1461" s="14">
        <f ca="1">IFERROR(__xludf.DUMMYFUNCTION("""COMPUTED_VALUE"""),3136.6)</f>
        <v>3136.6</v>
      </c>
      <c r="C1461" s="15">
        <f t="shared" ca="1" si="10"/>
        <v>-8.3151538145374015E-3</v>
      </c>
      <c r="D1461" s="14">
        <f t="shared" ca="1" si="11"/>
        <v>3046.2459999999996</v>
      </c>
      <c r="E1461" s="17"/>
      <c r="F1461" s="17"/>
    </row>
    <row r="1462" spans="1:6" ht="12.75" x14ac:dyDescent="0.2">
      <c r="A1462" s="13">
        <f ca="1">IFERROR(__xludf.DUMMYFUNCTION("""COMPUTED_VALUE"""),45989.6458333333)</f>
        <v>45989.645833333299</v>
      </c>
      <c r="B1462" s="14">
        <f ca="1">IFERROR(__xludf.DUMMYFUNCTION("""COMPUTED_VALUE"""),3137.5)</f>
        <v>3137.5</v>
      </c>
      <c r="C1462" s="15">
        <f t="shared" ca="1" si="10"/>
        <v>2.8693489765996283E-4</v>
      </c>
      <c r="D1462" s="14">
        <f t="shared" ca="1" si="11"/>
        <v>3046.0820000000003</v>
      </c>
      <c r="E1462" s="17"/>
      <c r="F1462" s="17"/>
    </row>
    <row r="1463" spans="1:6" ht="12.75" x14ac:dyDescent="0.2">
      <c r="A1463" s="13">
        <f ca="1">IFERROR(__xludf.DUMMYFUNCTION("""COMPUTED_VALUE"""),45992.6458333333)</f>
        <v>45992.645833333299</v>
      </c>
      <c r="B1463" s="14">
        <f ca="1">IFERROR(__xludf.DUMMYFUNCTION("""COMPUTED_VALUE"""),3133.4)</f>
        <v>3133.4</v>
      </c>
      <c r="C1463" s="15">
        <f t="shared" ca="1" si="10"/>
        <v>-1.3067729083665602E-3</v>
      </c>
      <c r="D1463" s="14">
        <f t="shared" ca="1" si="11"/>
        <v>3045.2939999999999</v>
      </c>
      <c r="E1463" s="17"/>
      <c r="F1463" s="17"/>
    </row>
    <row r="1464" spans="1:6" ht="12.75" x14ac:dyDescent="0.2">
      <c r="A1464" s="13">
        <f ca="1">IFERROR(__xludf.DUMMYFUNCTION("""COMPUTED_VALUE"""),45993.6458333333)</f>
        <v>45993.645833333299</v>
      </c>
      <c r="B1464" s="14">
        <f ca="1">IFERROR(__xludf.DUMMYFUNCTION("""COMPUTED_VALUE"""),3135.7)</f>
        <v>3135.7</v>
      </c>
      <c r="C1464" s="15">
        <f t="shared" ca="1" si="10"/>
        <v>7.3402693559709853E-4</v>
      </c>
      <c r="D1464" s="14">
        <f t="shared" ca="1" si="11"/>
        <v>3044.4740000000002</v>
      </c>
      <c r="E1464" s="17"/>
      <c r="F1464" s="17"/>
    </row>
    <row r="1465" spans="1:6" ht="12.75" x14ac:dyDescent="0.2">
      <c r="A1465" s="13">
        <f ca="1">IFERROR(__xludf.DUMMYFUNCTION("""COMPUTED_VALUE"""),45994.6458333333)</f>
        <v>45994.645833333299</v>
      </c>
      <c r="B1465" s="14">
        <f ca="1">IFERROR(__xludf.DUMMYFUNCTION("""COMPUTED_VALUE"""),3180)</f>
        <v>3180</v>
      </c>
      <c r="C1465" s="15">
        <f t="shared" ca="1" si="10"/>
        <v>1.412762700513448E-2</v>
      </c>
      <c r="D1465" s="14">
        <f t="shared" ca="1" si="11"/>
        <v>3044.69</v>
      </c>
      <c r="E1465" s="17"/>
      <c r="F1465" s="17"/>
    </row>
    <row r="1466" spans="1:6" ht="12.75" x14ac:dyDescent="0.2">
      <c r="A1466" s="13">
        <f ca="1">IFERROR(__xludf.DUMMYFUNCTION("""COMPUTED_VALUE"""),45995.6458333333)</f>
        <v>45995.645833333299</v>
      </c>
      <c r="B1466" s="14">
        <f ca="1">IFERROR(__xludf.DUMMYFUNCTION("""COMPUTED_VALUE"""),3229.2)</f>
        <v>3229.2</v>
      </c>
      <c r="C1466" s="15">
        <f t="shared" ca="1" si="10"/>
        <v>1.5471698113207477E-2</v>
      </c>
      <c r="D1466" s="14">
        <f t="shared" ca="1" si="11"/>
        <v>3047.7980000000007</v>
      </c>
      <c r="E1466" s="17"/>
      <c r="F1466" s="17"/>
    </row>
    <row r="1467" spans="1:6" ht="12.75" x14ac:dyDescent="0.2">
      <c r="A1467" s="13">
        <f ca="1">IFERROR(__xludf.DUMMYFUNCTION("""COMPUTED_VALUE"""),45996.6458333333)</f>
        <v>45996.645833333299</v>
      </c>
      <c r="B1467" s="14">
        <f ca="1">IFERROR(__xludf.DUMMYFUNCTION("""COMPUTED_VALUE"""),3238.2)</f>
        <v>3238.2</v>
      </c>
      <c r="C1467" s="15">
        <f t="shared" ca="1" si="10"/>
        <v>2.7870680044592699E-3</v>
      </c>
      <c r="D1467" s="14">
        <f t="shared" ca="1" si="11"/>
        <v>3051.3140000000003</v>
      </c>
      <c r="E1467" s="17"/>
      <c r="F1467" s="17"/>
    </row>
    <row r="1468" spans="1:6" ht="12.75" x14ac:dyDescent="0.2">
      <c r="A1468" s="13">
        <f ca="1">IFERROR(__xludf.DUMMYFUNCTION("""COMPUTED_VALUE"""),45999.6458333333)</f>
        <v>45999.645833333299</v>
      </c>
      <c r="B1468" s="14">
        <f ca="1">IFERROR(__xludf.DUMMYFUNCTION("""COMPUTED_VALUE"""),3236.5)</f>
        <v>3236.5</v>
      </c>
      <c r="C1468" s="15">
        <f t="shared" ca="1" si="10"/>
        <v>-5.2498301525538693E-4</v>
      </c>
      <c r="D1468" s="14">
        <f t="shared" ca="1" si="11"/>
        <v>3055.3360000000002</v>
      </c>
      <c r="E1468" s="17"/>
      <c r="F1468" s="17"/>
    </row>
    <row r="1469" spans="1:6" ht="12.75" x14ac:dyDescent="0.2">
      <c r="A1469" s="13">
        <f ca="1">IFERROR(__xludf.DUMMYFUNCTION("""COMPUTED_VALUE"""),46000.6458333333)</f>
        <v>46000.645833333299</v>
      </c>
      <c r="B1469" s="14">
        <f ca="1">IFERROR(__xludf.DUMMYFUNCTION("""COMPUTED_VALUE"""),3208.3)</f>
        <v>3208.3</v>
      </c>
      <c r="C1469" s="15">
        <f t="shared" ca="1" si="10"/>
        <v>-8.7131160203923752E-3</v>
      </c>
      <c r="D1469" s="14">
        <f t="shared" ca="1" si="11"/>
        <v>3060.3540000000003</v>
      </c>
      <c r="E1469" s="17"/>
      <c r="F1469" s="17"/>
    </row>
    <row r="1470" spans="1:6" ht="12.75" x14ac:dyDescent="0.2">
      <c r="A1470" s="13">
        <f ca="1">IFERROR(__xludf.DUMMYFUNCTION("""COMPUTED_VALUE"""),46001.6458333333)</f>
        <v>46001.645833333299</v>
      </c>
      <c r="B1470" s="14">
        <f ca="1">IFERROR(__xludf.DUMMYFUNCTION("""COMPUTED_VALUE"""),3189.2)</f>
        <v>3189.2</v>
      </c>
      <c r="C1470" s="15">
        <f t="shared" ca="1" si="10"/>
        <v>-5.9533086058037865E-3</v>
      </c>
      <c r="D1470" s="14">
        <f t="shared" ca="1" si="11"/>
        <v>3066.1560000000004</v>
      </c>
      <c r="E1470" s="17"/>
      <c r="F1470" s="17"/>
    </row>
    <row r="1471" spans="1:6" ht="12.75" x14ac:dyDescent="0.2">
      <c r="A1471" s="13">
        <f ca="1">IFERROR(__xludf.DUMMYFUNCTION("""COMPUTED_VALUE"""),46002.6458333333)</f>
        <v>46002.645833333299</v>
      </c>
      <c r="B1471" s="14">
        <f ca="1">IFERROR(__xludf.DUMMYFUNCTION("""COMPUTED_VALUE"""),3191.9)</f>
        <v>3191.9</v>
      </c>
      <c r="C1471" s="15">
        <f t="shared" ca="1" si="10"/>
        <v>8.4660729963625947E-4</v>
      </c>
      <c r="D1471" s="14">
        <f t="shared" ca="1" si="11"/>
        <v>3072.0720000000001</v>
      </c>
      <c r="E1471" s="17"/>
      <c r="F1471" s="17"/>
    </row>
    <row r="1472" spans="1:6" ht="12.75" x14ac:dyDescent="0.2">
      <c r="A1472" s="13">
        <f ca="1">IFERROR(__xludf.DUMMYFUNCTION("""COMPUTED_VALUE"""),46003.6458333333)</f>
        <v>46003.645833333299</v>
      </c>
      <c r="B1472" s="14">
        <f ca="1">IFERROR(__xludf.DUMMYFUNCTION("""COMPUTED_VALUE"""),3220.5)</f>
        <v>3220.5</v>
      </c>
      <c r="C1472" s="15">
        <f t="shared" ca="1" si="10"/>
        <v>8.9601804567811527E-3</v>
      </c>
      <c r="D1472" s="14">
        <f t="shared" ca="1" si="11"/>
        <v>3078.7139999999995</v>
      </c>
      <c r="E1472" s="17"/>
      <c r="F1472" s="17"/>
    </row>
    <row r="1473" spans="1:6" ht="12.75" x14ac:dyDescent="0.2">
      <c r="A1473" s="13">
        <f ca="1">IFERROR(__xludf.DUMMYFUNCTION("""COMPUTED_VALUE"""),46006.6458333333)</f>
        <v>46006.645833333299</v>
      </c>
      <c r="B1473" s="14">
        <f ca="1">IFERROR(__xludf.DUMMYFUNCTION("""COMPUTED_VALUE"""),3230.2)</f>
        <v>3230.2</v>
      </c>
      <c r="C1473" s="15">
        <f t="shared" ca="1" si="10"/>
        <v>3.0119546654245877E-3</v>
      </c>
      <c r="D1473" s="14">
        <f t="shared" ca="1" si="11"/>
        <v>3085.0340000000001</v>
      </c>
      <c r="E1473" s="17"/>
      <c r="F1473" s="17"/>
    </row>
    <row r="1474" spans="1:6" ht="12.75" x14ac:dyDescent="0.2">
      <c r="A1474" s="13">
        <f ca="1">IFERROR(__xludf.DUMMYFUNCTION("""COMPUTED_VALUE"""),46007.6458333333)</f>
        <v>46007.645833333299</v>
      </c>
      <c r="B1474" s="14">
        <f ca="1">IFERROR(__xludf.DUMMYFUNCTION("""COMPUTED_VALUE"""),3205.1)</f>
        <v>3205.1</v>
      </c>
      <c r="C1474" s="15">
        <f t="shared" ca="1" si="10"/>
        <v>-7.7704166924648099E-3</v>
      </c>
      <c r="D1474" s="14">
        <f t="shared" ca="1" si="11"/>
        <v>3091.098</v>
      </c>
      <c r="E1474" s="17"/>
      <c r="F1474" s="17"/>
    </row>
    <row r="1475" spans="1:6" ht="12.75" x14ac:dyDescent="0.2">
      <c r="A1475" s="13">
        <f ca="1">IFERROR(__xludf.DUMMYFUNCTION("""COMPUTED_VALUE"""),46008.6458333333)</f>
        <v>46008.645833333299</v>
      </c>
      <c r="B1475" s="14">
        <f ca="1">IFERROR(__xludf.DUMMYFUNCTION("""COMPUTED_VALUE"""),3217.8)</f>
        <v>3217.8</v>
      </c>
      <c r="C1475" s="15">
        <f t="shared" ca="1" si="10"/>
        <v>3.962434869426934E-3</v>
      </c>
      <c r="D1475" s="14">
        <f t="shared" ca="1" si="11"/>
        <v>3095.6859999999997</v>
      </c>
      <c r="E1475" s="17"/>
      <c r="F1475" s="17"/>
    </row>
    <row r="1476" spans="1:6" ht="12.75" x14ac:dyDescent="0.2">
      <c r="A1476" s="13">
        <f ca="1">IFERROR(__xludf.DUMMYFUNCTION("""COMPUTED_VALUE"""),46009.6458333333)</f>
        <v>46009.645833333299</v>
      </c>
      <c r="B1476" s="14">
        <f ca="1">IFERROR(__xludf.DUMMYFUNCTION("""COMPUTED_VALUE"""),3280.8)</f>
        <v>3280.8</v>
      </c>
      <c r="C1476" s="15">
        <f t="shared" ca="1" si="10"/>
        <v>1.9578594070482902E-2</v>
      </c>
      <c r="D1476" s="14">
        <f t="shared" ca="1" si="11"/>
        <v>3101.828</v>
      </c>
      <c r="E1476" s="17"/>
      <c r="F1476" s="17"/>
    </row>
    <row r="1477" spans="1:6" ht="12.75" x14ac:dyDescent="0.2">
      <c r="A1477" s="13">
        <f ca="1">IFERROR(__xludf.DUMMYFUNCTION("""COMPUTED_VALUE"""),46010.6458333333)</f>
        <v>46010.645833333299</v>
      </c>
      <c r="B1477" s="14">
        <f ca="1">IFERROR(__xludf.DUMMYFUNCTION("""COMPUTED_VALUE"""),3282)</f>
        <v>3282</v>
      </c>
      <c r="C1477" s="15">
        <f t="shared" ca="1" si="10"/>
        <v>3.6576444769553795E-4</v>
      </c>
      <c r="D1477" s="14">
        <f t="shared" ca="1" si="11"/>
        <v>3106.9239999999995</v>
      </c>
      <c r="E1477" s="17"/>
      <c r="F1477" s="17"/>
    </row>
    <row r="1478" spans="1:6" ht="12.75" x14ac:dyDescent="0.2">
      <c r="A1478" s="13">
        <f ca="1">IFERROR(__xludf.DUMMYFUNCTION("""COMPUTED_VALUE"""),46013.6458333333)</f>
        <v>46013.645833333299</v>
      </c>
      <c r="B1478" s="14">
        <f ca="1">IFERROR(__xludf.DUMMYFUNCTION("""COMPUTED_VALUE"""),3324.9)</f>
        <v>3324.9</v>
      </c>
      <c r="C1478" s="15">
        <f t="shared" ca="1" si="10"/>
        <v>1.3071297989031061E-2</v>
      </c>
      <c r="D1478" s="14">
        <f t="shared" ca="1" si="11"/>
        <v>3112.1880000000001</v>
      </c>
      <c r="E1478" s="17"/>
      <c r="F1478" s="17"/>
    </row>
    <row r="1479" spans="1:6" ht="12.75" x14ac:dyDescent="0.2">
      <c r="A1479" s="13">
        <f ca="1">IFERROR(__xludf.DUMMYFUNCTION("""COMPUTED_VALUE"""),46014.6458333333)</f>
        <v>46014.645833333299</v>
      </c>
      <c r="B1479" s="14">
        <f ca="1">IFERROR(__xludf.DUMMYFUNCTION("""COMPUTED_VALUE"""),3310)</f>
        <v>3310</v>
      </c>
      <c r="C1479" s="15">
        <f t="shared" ca="1" si="10"/>
        <v>-4.4813377845950297E-3</v>
      </c>
      <c r="D1479" s="14">
        <f t="shared" ca="1" si="11"/>
        <v>3117.8219999999997</v>
      </c>
      <c r="E1479" s="17"/>
      <c r="F1479" s="17"/>
    </row>
    <row r="1480" spans="1:6" ht="12.75" x14ac:dyDescent="0.2">
      <c r="A1480" s="13">
        <f ca="1">IFERROR(__xludf.DUMMYFUNCTION("""COMPUTED_VALUE"""),46015.6458333333)</f>
        <v>46015.645833333299</v>
      </c>
      <c r="B1480" s="14">
        <f ca="1">IFERROR(__xludf.DUMMYFUNCTION("""COMPUTED_VALUE"""),3319)</f>
        <v>3319</v>
      </c>
      <c r="C1480" s="15">
        <f t="shared" ca="1" si="10"/>
        <v>2.7190332326283428E-3</v>
      </c>
      <c r="D1480" s="14">
        <f t="shared" ca="1" si="11"/>
        <v>3124.0579999999991</v>
      </c>
      <c r="E1480" s="17"/>
      <c r="F1480" s="17"/>
    </row>
    <row r="1481" spans="1:6" ht="12.75" x14ac:dyDescent="0.2">
      <c r="A1481" s="13">
        <f ca="1">IFERROR(__xludf.DUMMYFUNCTION("""COMPUTED_VALUE"""),46017.6458333333)</f>
        <v>46017.645833333299</v>
      </c>
      <c r="B1481" s="14">
        <f ca="1">IFERROR(__xludf.DUMMYFUNCTION("""COMPUTED_VALUE"""),3280)</f>
        <v>3280</v>
      </c>
      <c r="C1481" s="15">
        <f t="shared" ca="1" si="10"/>
        <v>-1.1750527267249122E-2</v>
      </c>
      <c r="D1481" s="14">
        <f t="shared" ca="1" si="11"/>
        <v>3130.4519999999989</v>
      </c>
      <c r="E1481" s="17"/>
      <c r="F1481" s="17"/>
    </row>
    <row r="1482" spans="1:6" ht="12.75" x14ac:dyDescent="0.2">
      <c r="A1482" s="13">
        <f ca="1">IFERROR(__xludf.DUMMYFUNCTION("""COMPUTED_VALUE"""),46020.6458333333)</f>
        <v>46020.645833333299</v>
      </c>
      <c r="B1482" s="14">
        <f ca="1">IFERROR(__xludf.DUMMYFUNCTION("""COMPUTED_VALUE"""),3251.5)</f>
        <v>3251.5</v>
      </c>
      <c r="C1482" s="15">
        <f t="shared" ca="1" si="10"/>
        <v>-8.6890243902438824E-3</v>
      </c>
      <c r="D1482" s="14">
        <f t="shared" ca="1" si="11"/>
        <v>3136.0859999999993</v>
      </c>
      <c r="E1482" s="17"/>
      <c r="F1482" s="17"/>
    </row>
    <row r="1483" spans="1:6" ht="12.75" x14ac:dyDescent="0.2">
      <c r="A1483" s="13">
        <f ca="1">IFERROR(__xludf.DUMMYFUNCTION("""COMPUTED_VALUE"""),46021.6458333333)</f>
        <v>46021.645833333299</v>
      </c>
      <c r="B1483" s="14">
        <f ca="1">IFERROR(__xludf.DUMMYFUNCTION("""COMPUTED_VALUE"""),3246.8)</f>
        <v>3246.8</v>
      </c>
      <c r="C1483" s="15">
        <f t="shared" ca="1" si="10"/>
        <v>-1.4454866984467962E-3</v>
      </c>
      <c r="D1483" s="14">
        <f t="shared" ca="1" si="11"/>
        <v>3141.6079999999993</v>
      </c>
      <c r="E1483" s="17"/>
      <c r="F1483" s="17"/>
    </row>
    <row r="1484" spans="1:6" ht="12.75" x14ac:dyDescent="0.2">
      <c r="A1484" s="13">
        <f ca="1">IFERROR(__xludf.DUMMYFUNCTION("""COMPUTED_VALUE"""),46022.6458333333)</f>
        <v>46022.645833333299</v>
      </c>
      <c r="B1484" s="14">
        <f ca="1">IFERROR(__xludf.DUMMYFUNCTION("""COMPUTED_VALUE"""),3206.2)</f>
        <v>3206.2</v>
      </c>
      <c r="C1484" s="15">
        <f t="shared" ca="1" si="10"/>
        <v>-1.2504619933473071E-2</v>
      </c>
      <c r="D1484" s="14">
        <f t="shared" ca="1" si="11"/>
        <v>3146.4879999999994</v>
      </c>
      <c r="E1484" s="17"/>
      <c r="F1484" s="17"/>
    </row>
    <row r="1485" spans="1:6" ht="14.25" x14ac:dyDescent="0.2">
      <c r="A1485" s="3"/>
      <c r="B1485" s="3"/>
      <c r="C1485" s="6"/>
    </row>
    <row r="1486" spans="1:6" ht="14.25" x14ac:dyDescent="0.2">
      <c r="A1486" s="3"/>
      <c r="B1486" s="3"/>
      <c r="C1486" s="6"/>
    </row>
    <row r="1487" spans="1:6" ht="14.25" x14ac:dyDescent="0.2">
      <c r="A1487" s="3"/>
      <c r="B1487" s="3"/>
      <c r="C1487" s="6"/>
    </row>
    <row r="1488" spans="1:6" ht="14.25" x14ac:dyDescent="0.2">
      <c r="A1488" s="3"/>
      <c r="B1488" s="3"/>
      <c r="C1488" s="6"/>
    </row>
    <row r="1489" spans="1:3" ht="14.25" x14ac:dyDescent="0.2">
      <c r="A1489" s="3"/>
      <c r="B1489" s="3"/>
      <c r="C1489" s="6"/>
    </row>
    <row r="1490" spans="1:3" ht="14.25" x14ac:dyDescent="0.2">
      <c r="A1490" s="3"/>
      <c r="B1490" s="3"/>
      <c r="C1490" s="6"/>
    </row>
    <row r="1491" spans="1:3" ht="14.25" x14ac:dyDescent="0.2">
      <c r="A1491" s="3"/>
      <c r="B1491" s="3"/>
      <c r="C1491" s="6"/>
    </row>
    <row r="1492" spans="1:3" ht="14.25" x14ac:dyDescent="0.2">
      <c r="A1492" s="3"/>
      <c r="B1492" s="3"/>
      <c r="C1492" s="6"/>
    </row>
    <row r="1493" spans="1:3" ht="14.25" x14ac:dyDescent="0.2">
      <c r="A1493" s="3"/>
      <c r="B1493" s="3"/>
      <c r="C1493" s="6"/>
    </row>
    <row r="1494" spans="1:3" ht="14.25" x14ac:dyDescent="0.2">
      <c r="A1494" s="3"/>
      <c r="B1494" s="3"/>
      <c r="C1494" s="6"/>
    </row>
    <row r="1495" spans="1:3" ht="14.25" x14ac:dyDescent="0.2">
      <c r="A1495" s="3"/>
      <c r="B1495" s="3"/>
      <c r="C1495" s="6"/>
    </row>
    <row r="1496" spans="1:3" ht="14.25" x14ac:dyDescent="0.2">
      <c r="A1496" s="3"/>
      <c r="B1496" s="3"/>
      <c r="C1496" s="6"/>
    </row>
    <row r="1497" spans="1:3" ht="14.25" x14ac:dyDescent="0.2">
      <c r="A1497" s="3"/>
      <c r="B1497" s="3"/>
      <c r="C1497" s="6"/>
    </row>
    <row r="1498" spans="1:3" ht="14.25" x14ac:dyDescent="0.2">
      <c r="A1498" s="3"/>
      <c r="B1498" s="3"/>
      <c r="C1498" s="6"/>
    </row>
    <row r="1499" spans="1:3" ht="14.25" x14ac:dyDescent="0.2">
      <c r="A1499" s="3"/>
      <c r="B1499" s="3"/>
      <c r="C1499" s="6"/>
    </row>
    <row r="1500" spans="1:3" ht="14.25" x14ac:dyDescent="0.2">
      <c r="A1500" s="3"/>
      <c r="B1500" s="3"/>
      <c r="C1500" s="6"/>
    </row>
    <row r="1501" spans="1:3" ht="14.25" x14ac:dyDescent="0.2">
      <c r="A1501" s="3"/>
      <c r="B1501" s="3"/>
      <c r="C1501" s="6"/>
    </row>
    <row r="1502" spans="1:3" ht="14.25" x14ac:dyDescent="0.2">
      <c r="A1502" s="3"/>
      <c r="B1502" s="3"/>
      <c r="C1502" s="6"/>
    </row>
    <row r="1503" spans="1:3" ht="14.25" x14ac:dyDescent="0.2">
      <c r="A1503" s="3"/>
      <c r="B1503" s="3"/>
      <c r="C1503" s="6"/>
    </row>
    <row r="1504" spans="1:3" ht="14.25" x14ac:dyDescent="0.2">
      <c r="A1504" s="3"/>
      <c r="B1504" s="3"/>
      <c r="C1504" s="6"/>
    </row>
    <row r="1505" spans="1:3" ht="14.25" x14ac:dyDescent="0.2">
      <c r="A1505" s="3"/>
      <c r="B1505" s="3"/>
      <c r="C1505" s="6"/>
    </row>
    <row r="1506" spans="1:3" ht="14.25" x14ac:dyDescent="0.2">
      <c r="A1506" s="3"/>
      <c r="B1506" s="3"/>
      <c r="C1506" s="6"/>
    </row>
    <row r="1507" spans="1:3" ht="14.25" x14ac:dyDescent="0.2">
      <c r="A1507" s="3"/>
      <c r="B1507" s="3"/>
      <c r="C1507" s="6"/>
    </row>
    <row r="1508" spans="1:3" ht="14.25" x14ac:dyDescent="0.2">
      <c r="A1508" s="3"/>
      <c r="B1508" s="3"/>
      <c r="C1508" s="6"/>
    </row>
    <row r="1509" spans="1:3" ht="14.25" x14ac:dyDescent="0.2">
      <c r="A1509" s="3"/>
      <c r="B1509" s="3"/>
      <c r="C1509" s="6"/>
    </row>
    <row r="1510" spans="1:3" ht="14.25" x14ac:dyDescent="0.2">
      <c r="A1510" s="3"/>
      <c r="B1510" s="3"/>
      <c r="C1510" s="6"/>
    </row>
    <row r="1511" spans="1:3" ht="14.25" x14ac:dyDescent="0.2">
      <c r="A1511" s="3"/>
      <c r="B1511" s="3"/>
      <c r="C1511" s="6"/>
    </row>
    <row r="1512" spans="1:3" ht="14.25" x14ac:dyDescent="0.2">
      <c r="A1512" s="3"/>
      <c r="B1512" s="3"/>
      <c r="C1512" s="6"/>
    </row>
    <row r="1513" spans="1:3" ht="14.25" x14ac:dyDescent="0.2">
      <c r="A1513" s="3"/>
      <c r="B1513" s="3"/>
      <c r="C1513" s="6"/>
    </row>
    <row r="1514" spans="1:3" ht="14.25" x14ac:dyDescent="0.2">
      <c r="A1514" s="3"/>
      <c r="B1514" s="3"/>
      <c r="C1514" s="6"/>
    </row>
    <row r="1515" spans="1:3" ht="14.25" x14ac:dyDescent="0.2">
      <c r="A1515" s="3"/>
      <c r="B1515" s="3"/>
      <c r="C1515" s="6"/>
    </row>
    <row r="1516" spans="1:3" ht="14.25" x14ac:dyDescent="0.2">
      <c r="A1516" s="3"/>
      <c r="B1516" s="3"/>
      <c r="C1516" s="6"/>
    </row>
    <row r="1517" spans="1:3" ht="14.25" x14ac:dyDescent="0.2">
      <c r="A1517" s="3"/>
      <c r="B1517" s="3"/>
      <c r="C1517" s="6"/>
    </row>
    <row r="1518" spans="1:3" ht="14.25" x14ac:dyDescent="0.2">
      <c r="A1518" s="3"/>
      <c r="B1518" s="3"/>
      <c r="C1518" s="6"/>
    </row>
    <row r="1519" spans="1:3" ht="14.25" x14ac:dyDescent="0.2">
      <c r="A1519" s="3"/>
      <c r="B1519" s="3"/>
      <c r="C1519" s="6"/>
    </row>
    <row r="1520" spans="1:3" ht="14.25" x14ac:dyDescent="0.2">
      <c r="A1520" s="3"/>
      <c r="B1520" s="3"/>
      <c r="C1520" s="6"/>
    </row>
    <row r="1521" spans="1:3" ht="14.25" x14ac:dyDescent="0.2">
      <c r="A1521" s="3"/>
      <c r="B1521" s="3"/>
      <c r="C1521" s="6"/>
    </row>
    <row r="1522" spans="1:3" ht="14.25" x14ac:dyDescent="0.2">
      <c r="A1522" s="3"/>
      <c r="B1522" s="3"/>
      <c r="C1522" s="6"/>
    </row>
    <row r="1523" spans="1:3" ht="14.25" x14ac:dyDescent="0.2">
      <c r="A1523" s="3"/>
      <c r="B1523" s="3"/>
      <c r="C1523" s="6"/>
    </row>
    <row r="1524" spans="1:3" ht="14.25" x14ac:dyDescent="0.2">
      <c r="A1524" s="3"/>
      <c r="B1524" s="3"/>
      <c r="C1524" s="6"/>
    </row>
    <row r="1525" spans="1:3" ht="14.25" x14ac:dyDescent="0.2">
      <c r="A1525" s="3"/>
      <c r="B1525" s="3"/>
      <c r="C1525" s="6"/>
    </row>
    <row r="1526" spans="1:3" ht="14.25" x14ac:dyDescent="0.2">
      <c r="A1526" s="3"/>
      <c r="B1526" s="3"/>
      <c r="C1526" s="6"/>
    </row>
    <row r="1527" spans="1:3" ht="14.25" x14ac:dyDescent="0.2">
      <c r="A1527" s="3"/>
      <c r="B1527" s="3"/>
      <c r="C1527" s="6"/>
    </row>
    <row r="1528" spans="1:3" ht="14.25" x14ac:dyDescent="0.2">
      <c r="A1528" s="3"/>
      <c r="B1528" s="3"/>
      <c r="C1528" s="6"/>
    </row>
    <row r="1529" spans="1:3" ht="14.25" x14ac:dyDescent="0.2">
      <c r="A1529" s="3"/>
      <c r="B1529" s="3"/>
      <c r="C1529" s="6"/>
    </row>
    <row r="1530" spans="1:3" ht="14.25" x14ac:dyDescent="0.2">
      <c r="A1530" s="3"/>
      <c r="B1530" s="3"/>
      <c r="C1530" s="6"/>
    </row>
    <row r="1531" spans="1:3" ht="14.25" x14ac:dyDescent="0.2">
      <c r="A1531" s="3"/>
      <c r="B1531" s="3"/>
      <c r="C1531" s="6"/>
    </row>
    <row r="1532" spans="1:3" ht="14.25" x14ac:dyDescent="0.2">
      <c r="A1532" s="3"/>
      <c r="B1532" s="3"/>
      <c r="C1532" s="6"/>
    </row>
    <row r="1533" spans="1:3" ht="14.25" x14ac:dyDescent="0.2">
      <c r="A1533" s="3"/>
      <c r="B1533" s="3"/>
      <c r="C1533" s="6"/>
    </row>
    <row r="1534" spans="1:3" ht="14.25" x14ac:dyDescent="0.2">
      <c r="A1534" s="3"/>
      <c r="B1534" s="3"/>
      <c r="C1534" s="6"/>
    </row>
    <row r="1535" spans="1:3" ht="14.25" x14ac:dyDescent="0.2">
      <c r="A1535" s="3"/>
      <c r="B1535" s="3"/>
      <c r="C1535" s="6"/>
    </row>
    <row r="1536" spans="1:3" ht="14.25" x14ac:dyDescent="0.2">
      <c r="A1536" s="3"/>
      <c r="B1536" s="3"/>
      <c r="C1536" s="6"/>
    </row>
    <row r="1537" spans="1:3" ht="14.25" x14ac:dyDescent="0.2">
      <c r="A1537" s="3"/>
      <c r="B1537" s="3"/>
      <c r="C1537" s="6"/>
    </row>
    <row r="1538" spans="1:3" ht="14.25" x14ac:dyDescent="0.2">
      <c r="A1538" s="3"/>
      <c r="B1538" s="3"/>
      <c r="C1538" s="6"/>
    </row>
    <row r="1539" spans="1:3" ht="14.25" x14ac:dyDescent="0.2">
      <c r="A1539" s="3"/>
      <c r="B1539" s="3"/>
      <c r="C1539" s="6"/>
    </row>
    <row r="1540" spans="1:3" ht="14.25" x14ac:dyDescent="0.2">
      <c r="A1540" s="3"/>
      <c r="B1540" s="3"/>
      <c r="C1540" s="6"/>
    </row>
    <row r="1541" spans="1:3" ht="14.25" x14ac:dyDescent="0.2">
      <c r="A1541" s="3"/>
      <c r="B1541" s="3"/>
      <c r="C1541" s="6"/>
    </row>
    <row r="1542" spans="1:3" ht="14.25" x14ac:dyDescent="0.2">
      <c r="A1542" s="3"/>
      <c r="B1542" s="3"/>
      <c r="C1542" s="6"/>
    </row>
    <row r="1543" spans="1:3" ht="14.25" x14ac:dyDescent="0.2">
      <c r="A1543" s="3"/>
      <c r="B1543" s="3"/>
      <c r="C1543" s="6"/>
    </row>
    <row r="1544" spans="1:3" ht="14.25" x14ac:dyDescent="0.2">
      <c r="A1544" s="3"/>
      <c r="B1544" s="3"/>
      <c r="C1544" s="6"/>
    </row>
    <row r="1545" spans="1:3" ht="14.25" x14ac:dyDescent="0.2">
      <c r="A1545" s="3"/>
      <c r="B1545" s="3"/>
      <c r="C1545" s="6"/>
    </row>
    <row r="1546" spans="1:3" ht="14.25" x14ac:dyDescent="0.2">
      <c r="A1546" s="3"/>
      <c r="B1546" s="3"/>
      <c r="C1546" s="6"/>
    </row>
    <row r="1547" spans="1:3" ht="14.25" x14ac:dyDescent="0.2">
      <c r="A1547" s="3"/>
      <c r="B1547" s="3"/>
      <c r="C1547" s="6"/>
    </row>
    <row r="1548" spans="1:3" ht="14.25" x14ac:dyDescent="0.2">
      <c r="A1548" s="3"/>
      <c r="B1548" s="3"/>
      <c r="C1548" s="6"/>
    </row>
    <row r="1549" spans="1:3" ht="14.25" x14ac:dyDescent="0.2">
      <c r="A1549" s="3"/>
      <c r="B1549" s="3"/>
      <c r="C1549" s="6"/>
    </row>
    <row r="1550" spans="1:3" ht="14.25" x14ac:dyDescent="0.2">
      <c r="A1550" s="3"/>
      <c r="B1550" s="3"/>
      <c r="C1550" s="6"/>
    </row>
    <row r="1551" spans="1:3" ht="14.25" x14ac:dyDescent="0.2">
      <c r="A1551" s="3"/>
      <c r="B1551" s="3"/>
      <c r="C1551" s="6"/>
    </row>
    <row r="1552" spans="1:3" ht="14.25" x14ac:dyDescent="0.2">
      <c r="A1552" s="3"/>
      <c r="B1552" s="3"/>
      <c r="C1552" s="6"/>
    </row>
    <row r="1553" spans="1:3" ht="14.25" x14ac:dyDescent="0.2">
      <c r="A1553" s="3"/>
      <c r="B1553" s="3"/>
      <c r="C1553" s="6"/>
    </row>
    <row r="1554" spans="1:3" ht="14.25" x14ac:dyDescent="0.2">
      <c r="A1554" s="3"/>
      <c r="B1554" s="3"/>
      <c r="C1554" s="6"/>
    </row>
    <row r="1555" spans="1:3" ht="14.25" x14ac:dyDescent="0.2">
      <c r="A1555" s="3"/>
      <c r="B1555" s="3"/>
      <c r="C1555" s="6"/>
    </row>
    <row r="1556" spans="1:3" ht="14.25" x14ac:dyDescent="0.2">
      <c r="A1556" s="3"/>
      <c r="B1556" s="3"/>
      <c r="C1556" s="6"/>
    </row>
    <row r="1557" spans="1:3" ht="14.25" x14ac:dyDescent="0.2">
      <c r="A1557" s="3"/>
      <c r="B1557" s="3"/>
      <c r="C1557" s="6"/>
    </row>
    <row r="1558" spans="1:3" ht="14.25" x14ac:dyDescent="0.2">
      <c r="A1558" s="3"/>
      <c r="B1558" s="3"/>
      <c r="C1558" s="6"/>
    </row>
    <row r="1559" spans="1:3" ht="14.25" x14ac:dyDescent="0.2">
      <c r="A1559" s="3"/>
      <c r="B1559" s="3"/>
      <c r="C1559" s="6"/>
    </row>
    <row r="1560" spans="1:3" ht="14.25" x14ac:dyDescent="0.2">
      <c r="A1560" s="3"/>
      <c r="B1560" s="3"/>
      <c r="C1560" s="6"/>
    </row>
    <row r="1561" spans="1:3" ht="14.25" x14ac:dyDescent="0.2">
      <c r="A1561" s="3"/>
      <c r="B1561" s="3"/>
      <c r="C1561" s="6"/>
    </row>
    <row r="1562" spans="1:3" ht="14.25" x14ac:dyDescent="0.2">
      <c r="A1562" s="3"/>
      <c r="B1562" s="3"/>
      <c r="C1562" s="6"/>
    </row>
    <row r="1563" spans="1:3" ht="14.25" x14ac:dyDescent="0.2">
      <c r="A1563" s="3"/>
      <c r="B1563" s="3"/>
      <c r="C1563" s="6"/>
    </row>
    <row r="1564" spans="1:3" ht="14.25" x14ac:dyDescent="0.2">
      <c r="A1564" s="3"/>
      <c r="B1564" s="3"/>
      <c r="C1564" s="6"/>
    </row>
    <row r="1565" spans="1:3" ht="14.25" x14ac:dyDescent="0.2">
      <c r="A1565" s="3"/>
      <c r="B1565" s="3"/>
      <c r="C1565" s="6"/>
    </row>
    <row r="1566" spans="1:3" ht="14.25" x14ac:dyDescent="0.2">
      <c r="A1566" s="3"/>
      <c r="B1566" s="3"/>
      <c r="C1566" s="6"/>
    </row>
    <row r="1567" spans="1:3" ht="14.25" x14ac:dyDescent="0.2">
      <c r="A1567" s="3"/>
      <c r="B1567" s="3"/>
      <c r="C1567" s="6"/>
    </row>
    <row r="1568" spans="1:3" ht="14.25" x14ac:dyDescent="0.2">
      <c r="A1568" s="3"/>
      <c r="B1568" s="3"/>
      <c r="C1568" s="6"/>
    </row>
    <row r="1569" spans="1:3" ht="14.25" x14ac:dyDescent="0.2">
      <c r="A1569" s="3"/>
      <c r="B1569" s="3"/>
      <c r="C1569" s="6"/>
    </row>
    <row r="1570" spans="1:3" ht="14.25" x14ac:dyDescent="0.2">
      <c r="A1570" s="3"/>
      <c r="B1570" s="3"/>
      <c r="C1570" s="6"/>
    </row>
    <row r="1571" spans="1:3" ht="14.25" x14ac:dyDescent="0.2">
      <c r="A1571" s="3"/>
      <c r="B1571" s="3"/>
      <c r="C1571" s="6"/>
    </row>
    <row r="1572" spans="1:3" ht="14.25" x14ac:dyDescent="0.2">
      <c r="A1572" s="3"/>
      <c r="B1572" s="3"/>
      <c r="C1572" s="6"/>
    </row>
    <row r="1573" spans="1:3" ht="14.25" x14ac:dyDescent="0.2">
      <c r="A1573" s="3"/>
      <c r="B1573" s="3"/>
      <c r="C1573" s="6"/>
    </row>
    <row r="1574" spans="1:3" ht="14.25" x14ac:dyDescent="0.2">
      <c r="A1574" s="3"/>
      <c r="B1574" s="3"/>
      <c r="C1574" s="6"/>
    </row>
    <row r="1575" spans="1:3" ht="14.25" x14ac:dyDescent="0.2">
      <c r="A1575" s="3"/>
      <c r="B1575" s="3"/>
      <c r="C1575" s="6"/>
    </row>
    <row r="1576" spans="1:3" ht="14.25" x14ac:dyDescent="0.2">
      <c r="A1576" s="3"/>
      <c r="B1576" s="3"/>
      <c r="C1576" s="6"/>
    </row>
    <row r="1577" spans="1:3" ht="14.25" x14ac:dyDescent="0.2">
      <c r="A1577" s="3"/>
      <c r="B1577" s="3"/>
      <c r="C1577" s="6"/>
    </row>
    <row r="1578" spans="1:3" ht="14.25" x14ac:dyDescent="0.2">
      <c r="A1578" s="3"/>
      <c r="B1578" s="3"/>
      <c r="C1578" s="6"/>
    </row>
    <row r="1579" spans="1:3" ht="14.25" x14ac:dyDescent="0.2">
      <c r="A1579" s="3"/>
      <c r="B1579" s="3"/>
      <c r="C1579" s="6"/>
    </row>
    <row r="1580" spans="1:3" ht="14.25" x14ac:dyDescent="0.2">
      <c r="A1580" s="3"/>
      <c r="B1580" s="3"/>
      <c r="C1580" s="6"/>
    </row>
    <row r="1581" spans="1:3" ht="14.25" x14ac:dyDescent="0.2">
      <c r="A1581" s="3"/>
      <c r="B1581" s="3"/>
      <c r="C1581" s="6"/>
    </row>
    <row r="1582" spans="1:3" ht="14.25" x14ac:dyDescent="0.2">
      <c r="A1582" s="3"/>
      <c r="B1582" s="3"/>
      <c r="C1582" s="6"/>
    </row>
    <row r="1583" spans="1:3" ht="14.25" x14ac:dyDescent="0.2">
      <c r="A1583" s="3"/>
      <c r="B1583" s="3"/>
      <c r="C1583" s="6"/>
    </row>
    <row r="1584" spans="1:3" ht="14.25" x14ac:dyDescent="0.2">
      <c r="A1584" s="3"/>
      <c r="B1584" s="3"/>
      <c r="C1584" s="6"/>
    </row>
    <row r="1585" spans="1:3" ht="14.25" x14ac:dyDescent="0.2">
      <c r="A1585" s="3"/>
      <c r="B1585" s="3"/>
      <c r="C1585" s="6"/>
    </row>
    <row r="1586" spans="1:3" ht="14.25" x14ac:dyDescent="0.2">
      <c r="A1586" s="3"/>
      <c r="B1586" s="3"/>
      <c r="C1586" s="6"/>
    </row>
    <row r="1587" spans="1:3" ht="14.25" x14ac:dyDescent="0.2">
      <c r="A1587" s="3"/>
      <c r="B1587" s="3"/>
      <c r="C1587" s="6"/>
    </row>
    <row r="1588" spans="1:3" ht="14.25" x14ac:dyDescent="0.2">
      <c r="A1588" s="3"/>
      <c r="B1588" s="3"/>
      <c r="C1588" s="6"/>
    </row>
    <row r="1589" spans="1:3" ht="14.25" x14ac:dyDescent="0.2">
      <c r="A1589" s="3"/>
      <c r="B1589" s="3"/>
      <c r="C1589" s="6"/>
    </row>
    <row r="1590" spans="1:3" ht="14.25" x14ac:dyDescent="0.2">
      <c r="A1590" s="3"/>
      <c r="B1590" s="3"/>
      <c r="C1590" s="6"/>
    </row>
    <row r="1591" spans="1:3" ht="14.25" x14ac:dyDescent="0.2">
      <c r="A1591" s="3"/>
      <c r="B1591" s="3"/>
      <c r="C1591" s="6"/>
    </row>
    <row r="1592" spans="1:3" ht="14.25" x14ac:dyDescent="0.2">
      <c r="A1592" s="3"/>
      <c r="B1592" s="3"/>
      <c r="C1592" s="6"/>
    </row>
    <row r="1593" spans="1:3" ht="14.25" x14ac:dyDescent="0.2">
      <c r="A1593" s="3"/>
      <c r="B1593" s="3"/>
      <c r="C1593" s="6"/>
    </row>
    <row r="1594" spans="1:3" ht="14.25" x14ac:dyDescent="0.2">
      <c r="A1594" s="3"/>
      <c r="B1594" s="3"/>
      <c r="C1594" s="6"/>
    </row>
    <row r="1595" spans="1:3" ht="14.25" x14ac:dyDescent="0.2">
      <c r="A1595" s="3"/>
      <c r="B1595" s="3"/>
      <c r="C1595" s="6"/>
    </row>
    <row r="1596" spans="1:3" ht="14.25" x14ac:dyDescent="0.2">
      <c r="A1596" s="3"/>
      <c r="B1596" s="3"/>
      <c r="C1596" s="6"/>
    </row>
    <row r="1597" spans="1:3" ht="14.25" x14ac:dyDescent="0.2">
      <c r="A1597" s="3"/>
      <c r="B1597" s="3"/>
      <c r="C1597" s="6"/>
    </row>
    <row r="1598" spans="1:3" ht="14.25" x14ac:dyDescent="0.2">
      <c r="A1598" s="3"/>
      <c r="B1598" s="3"/>
      <c r="C1598" s="6"/>
    </row>
    <row r="1599" spans="1:3" ht="14.25" x14ac:dyDescent="0.2">
      <c r="A1599" s="3"/>
      <c r="B1599" s="3"/>
      <c r="C1599" s="6"/>
    </row>
    <row r="1600" spans="1:3" ht="14.25" x14ac:dyDescent="0.2">
      <c r="A1600" s="3"/>
      <c r="B1600" s="3"/>
      <c r="C1600" s="6"/>
    </row>
    <row r="1601" spans="1:3" ht="14.25" x14ac:dyDescent="0.2">
      <c r="A1601" s="3"/>
      <c r="B1601" s="3"/>
      <c r="C1601" s="6"/>
    </row>
    <row r="1602" spans="1:3" ht="14.25" x14ac:dyDescent="0.2">
      <c r="A1602" s="3"/>
      <c r="B1602" s="3"/>
      <c r="C1602" s="6"/>
    </row>
    <row r="1603" spans="1:3" ht="14.25" x14ac:dyDescent="0.2">
      <c r="A1603" s="3"/>
      <c r="B1603" s="3"/>
      <c r="C1603" s="6"/>
    </row>
    <row r="1604" spans="1:3" ht="14.25" x14ac:dyDescent="0.2">
      <c r="A1604" s="3"/>
      <c r="B1604" s="3"/>
      <c r="C1604" s="6"/>
    </row>
    <row r="1605" spans="1:3" ht="14.25" x14ac:dyDescent="0.2">
      <c r="A1605" s="3"/>
      <c r="B1605" s="3"/>
      <c r="C1605" s="6"/>
    </row>
    <row r="1606" spans="1:3" ht="14.25" x14ac:dyDescent="0.2">
      <c r="A1606" s="3"/>
      <c r="B1606" s="3"/>
      <c r="C1606" s="6"/>
    </row>
    <row r="1607" spans="1:3" ht="14.25" x14ac:dyDescent="0.2">
      <c r="A1607" s="3"/>
      <c r="B1607" s="3"/>
      <c r="C1607" s="6"/>
    </row>
    <row r="1608" spans="1:3" ht="14.25" x14ac:dyDescent="0.2">
      <c r="A1608" s="3"/>
      <c r="B1608" s="3"/>
      <c r="C1608" s="6"/>
    </row>
    <row r="1609" spans="1:3" ht="14.25" x14ac:dyDescent="0.2">
      <c r="A1609" s="3"/>
      <c r="B1609" s="3"/>
      <c r="C1609" s="6"/>
    </row>
    <row r="1610" spans="1:3" ht="14.25" x14ac:dyDescent="0.2">
      <c r="A1610" s="3"/>
      <c r="B1610" s="3"/>
      <c r="C1610" s="6"/>
    </row>
    <row r="1611" spans="1:3" ht="14.25" x14ac:dyDescent="0.2">
      <c r="A1611" s="3"/>
      <c r="B1611" s="3"/>
      <c r="C1611" s="6"/>
    </row>
    <row r="1612" spans="1:3" ht="14.25" x14ac:dyDescent="0.2">
      <c r="A1612" s="3"/>
      <c r="B1612" s="3"/>
      <c r="C1612" s="6"/>
    </row>
    <row r="1613" spans="1:3" ht="14.25" x14ac:dyDescent="0.2">
      <c r="A1613" s="3"/>
      <c r="B1613" s="3"/>
      <c r="C1613" s="6"/>
    </row>
    <row r="1614" spans="1:3" ht="14.25" x14ac:dyDescent="0.2">
      <c r="A1614" s="3"/>
      <c r="B1614" s="3"/>
      <c r="C1614" s="6"/>
    </row>
    <row r="1615" spans="1:3" ht="14.25" x14ac:dyDescent="0.2">
      <c r="A1615" s="3"/>
      <c r="B1615" s="3"/>
      <c r="C1615" s="6"/>
    </row>
    <row r="1616" spans="1:3" ht="14.25" x14ac:dyDescent="0.2">
      <c r="A1616" s="3"/>
      <c r="B1616" s="3"/>
      <c r="C1616" s="6"/>
    </row>
    <row r="1617" spans="1:3" ht="14.25" x14ac:dyDescent="0.2">
      <c r="A1617" s="3"/>
      <c r="B1617" s="3"/>
      <c r="C1617" s="6"/>
    </row>
    <row r="1618" spans="1:3" ht="14.25" x14ac:dyDescent="0.2">
      <c r="A1618" s="3"/>
      <c r="B1618" s="3"/>
      <c r="C1618" s="6"/>
    </row>
    <row r="1619" spans="1:3" ht="14.25" x14ac:dyDescent="0.2">
      <c r="A1619" s="3"/>
      <c r="B1619" s="3"/>
      <c r="C1619" s="6"/>
    </row>
    <row r="1620" spans="1:3" ht="14.25" x14ac:dyDescent="0.2">
      <c r="A1620" s="3"/>
      <c r="B1620" s="3"/>
      <c r="C1620" s="6"/>
    </row>
    <row r="1621" spans="1:3" ht="14.25" x14ac:dyDescent="0.2">
      <c r="A1621" s="3"/>
      <c r="B1621" s="3"/>
      <c r="C1621" s="6"/>
    </row>
    <row r="1622" spans="1:3" ht="14.25" x14ac:dyDescent="0.2">
      <c r="A1622" s="3"/>
      <c r="B1622" s="3"/>
      <c r="C1622" s="6"/>
    </row>
    <row r="1623" spans="1:3" ht="14.25" x14ac:dyDescent="0.2">
      <c r="A1623" s="3"/>
      <c r="B1623" s="3"/>
      <c r="C1623" s="6"/>
    </row>
    <row r="1624" spans="1:3" ht="14.25" x14ac:dyDescent="0.2">
      <c r="A1624" s="3"/>
      <c r="B1624" s="3"/>
      <c r="C1624" s="6"/>
    </row>
    <row r="1625" spans="1:3" ht="14.25" x14ac:dyDescent="0.2">
      <c r="A1625" s="3"/>
      <c r="B1625" s="3"/>
      <c r="C1625" s="6"/>
    </row>
    <row r="1626" spans="1:3" ht="14.25" x14ac:dyDescent="0.2">
      <c r="A1626" s="3"/>
      <c r="B1626" s="3"/>
      <c r="C1626" s="6"/>
    </row>
    <row r="1627" spans="1:3" ht="14.25" x14ac:dyDescent="0.2">
      <c r="A1627" s="3"/>
      <c r="B1627" s="3"/>
      <c r="C1627" s="6"/>
    </row>
    <row r="1628" spans="1:3" ht="14.25" x14ac:dyDescent="0.2">
      <c r="A1628" s="3"/>
      <c r="B1628" s="3"/>
      <c r="C1628" s="6"/>
    </row>
    <row r="1629" spans="1:3" ht="14.25" x14ac:dyDescent="0.2">
      <c r="A1629" s="3"/>
      <c r="B1629" s="3"/>
      <c r="C1629" s="6"/>
    </row>
    <row r="1630" spans="1:3" ht="14.25" x14ac:dyDescent="0.2">
      <c r="A1630" s="3"/>
      <c r="B1630" s="3"/>
      <c r="C1630" s="6"/>
    </row>
    <row r="1631" spans="1:3" ht="14.25" x14ac:dyDescent="0.2">
      <c r="A1631" s="3"/>
      <c r="B1631" s="3"/>
      <c r="C1631" s="6"/>
    </row>
    <row r="1632" spans="1:3" ht="14.25" x14ac:dyDescent="0.2">
      <c r="A1632" s="3"/>
      <c r="B1632" s="3"/>
      <c r="C1632" s="6"/>
    </row>
    <row r="1633" spans="1:3" ht="14.25" x14ac:dyDescent="0.2">
      <c r="A1633" s="3"/>
      <c r="B1633" s="3"/>
      <c r="C1633" s="6"/>
    </row>
    <row r="1634" spans="1:3" ht="14.25" x14ac:dyDescent="0.2">
      <c r="A1634" s="3"/>
      <c r="B1634" s="3"/>
      <c r="C1634" s="6"/>
    </row>
    <row r="1635" spans="1:3" ht="14.25" x14ac:dyDescent="0.2">
      <c r="A1635" s="3"/>
      <c r="B1635" s="3"/>
      <c r="C1635" s="6"/>
    </row>
    <row r="1636" spans="1:3" ht="14.25" x14ac:dyDescent="0.2">
      <c r="A1636" s="3"/>
      <c r="B1636" s="3"/>
      <c r="C1636" s="6"/>
    </row>
    <row r="1637" spans="1:3" ht="14.25" x14ac:dyDescent="0.2">
      <c r="A1637" s="3"/>
      <c r="B1637" s="3"/>
      <c r="C1637" s="6"/>
    </row>
    <row r="1638" spans="1:3" ht="14.25" x14ac:dyDescent="0.2">
      <c r="A1638" s="3"/>
      <c r="B1638" s="3"/>
      <c r="C1638" s="6"/>
    </row>
    <row r="1639" spans="1:3" ht="14.25" x14ac:dyDescent="0.2">
      <c r="A1639" s="3"/>
      <c r="B1639" s="3"/>
      <c r="C1639" s="6"/>
    </row>
    <row r="1640" spans="1:3" ht="14.25" x14ac:dyDescent="0.2">
      <c r="A1640" s="3"/>
      <c r="B1640" s="3"/>
      <c r="C1640" s="6"/>
    </row>
    <row r="1641" spans="1:3" ht="14.25" x14ac:dyDescent="0.2">
      <c r="A1641" s="3"/>
      <c r="B1641" s="3"/>
      <c r="C1641" s="6"/>
    </row>
    <row r="1642" spans="1:3" ht="14.25" x14ac:dyDescent="0.2">
      <c r="A1642" s="3"/>
      <c r="B1642" s="3"/>
      <c r="C1642" s="6"/>
    </row>
    <row r="1643" spans="1:3" ht="14.25" x14ac:dyDescent="0.2">
      <c r="A1643" s="3"/>
      <c r="B1643" s="3"/>
      <c r="C1643" s="6"/>
    </row>
    <row r="1644" spans="1:3" ht="14.25" x14ac:dyDescent="0.2">
      <c r="A1644" s="3"/>
      <c r="B1644" s="3"/>
      <c r="C1644" s="6"/>
    </row>
    <row r="1645" spans="1:3" ht="14.25" x14ac:dyDescent="0.2">
      <c r="A1645" s="3"/>
      <c r="B1645" s="3"/>
      <c r="C1645" s="6"/>
    </row>
    <row r="1646" spans="1:3" ht="14.25" x14ac:dyDescent="0.2">
      <c r="A1646" s="3"/>
      <c r="B1646" s="3"/>
      <c r="C1646" s="6"/>
    </row>
    <row r="1647" spans="1:3" ht="14.25" x14ac:dyDescent="0.2">
      <c r="A1647" s="3"/>
      <c r="B1647" s="3"/>
      <c r="C1647" s="6"/>
    </row>
    <row r="1648" spans="1:3" ht="14.25" x14ac:dyDescent="0.2">
      <c r="A1648" s="3"/>
      <c r="B1648" s="3"/>
      <c r="C1648" s="6"/>
    </row>
    <row r="1649" spans="1:3" ht="14.25" x14ac:dyDescent="0.2">
      <c r="A1649" s="3"/>
      <c r="B1649" s="3"/>
      <c r="C1649" s="6"/>
    </row>
    <row r="1650" spans="1:3" ht="14.25" x14ac:dyDescent="0.2">
      <c r="A1650" s="3"/>
      <c r="B1650" s="3"/>
      <c r="C1650" s="6"/>
    </row>
    <row r="1651" spans="1:3" ht="14.25" x14ac:dyDescent="0.2">
      <c r="A1651" s="3"/>
      <c r="B1651" s="3"/>
      <c r="C1651" s="6"/>
    </row>
    <row r="1652" spans="1:3" ht="14.25" x14ac:dyDescent="0.2">
      <c r="A1652" s="3"/>
      <c r="B1652" s="3"/>
      <c r="C1652" s="6"/>
    </row>
    <row r="1653" spans="1:3" ht="14.25" x14ac:dyDescent="0.2">
      <c r="A1653" s="3"/>
      <c r="B1653" s="3"/>
      <c r="C1653" s="6"/>
    </row>
    <row r="1654" spans="1:3" ht="14.25" x14ac:dyDescent="0.2">
      <c r="A1654" s="3"/>
      <c r="B1654" s="3"/>
      <c r="C1654" s="6"/>
    </row>
    <row r="1655" spans="1:3" ht="14.25" x14ac:dyDescent="0.2">
      <c r="A1655" s="3"/>
      <c r="B1655" s="3"/>
      <c r="C1655" s="6"/>
    </row>
    <row r="1656" spans="1:3" ht="14.25" x14ac:dyDescent="0.2">
      <c r="A1656" s="3"/>
      <c r="B1656" s="3"/>
      <c r="C1656" s="6"/>
    </row>
    <row r="1657" spans="1:3" ht="14.25" x14ac:dyDescent="0.2">
      <c r="A1657" s="3"/>
      <c r="B1657" s="3"/>
      <c r="C1657" s="6"/>
    </row>
    <row r="1658" spans="1:3" ht="14.25" x14ac:dyDescent="0.2">
      <c r="A1658" s="3"/>
      <c r="B1658" s="3"/>
      <c r="C1658" s="6"/>
    </row>
    <row r="1659" spans="1:3" ht="14.25" x14ac:dyDescent="0.2">
      <c r="A1659" s="3"/>
      <c r="B1659" s="3"/>
      <c r="C1659" s="6"/>
    </row>
    <row r="1660" spans="1:3" ht="14.25" x14ac:dyDescent="0.2">
      <c r="A1660" s="3"/>
      <c r="B1660" s="3"/>
      <c r="C1660" s="6"/>
    </row>
    <row r="1661" spans="1:3" ht="14.25" x14ac:dyDescent="0.2">
      <c r="A1661" s="3"/>
      <c r="B1661" s="3"/>
      <c r="C1661" s="6"/>
    </row>
    <row r="1662" spans="1:3" ht="14.25" x14ac:dyDescent="0.2">
      <c r="A1662" s="3"/>
      <c r="B1662" s="3"/>
      <c r="C1662" s="6"/>
    </row>
    <row r="1663" spans="1:3" ht="14.25" x14ac:dyDescent="0.2">
      <c r="A1663" s="3"/>
      <c r="B1663" s="3"/>
      <c r="C1663" s="6"/>
    </row>
    <row r="1664" spans="1:3" ht="14.25" x14ac:dyDescent="0.2">
      <c r="A1664" s="3"/>
      <c r="B1664" s="3"/>
      <c r="C1664" s="6"/>
    </row>
    <row r="1665" spans="1:3" ht="14.25" x14ac:dyDescent="0.2">
      <c r="A1665" s="3"/>
      <c r="B1665" s="3"/>
      <c r="C1665" s="6"/>
    </row>
    <row r="1666" spans="1:3" ht="14.25" x14ac:dyDescent="0.2">
      <c r="A1666" s="3"/>
      <c r="B1666" s="3"/>
      <c r="C1666" s="6"/>
    </row>
    <row r="1667" spans="1:3" ht="14.25" x14ac:dyDescent="0.2">
      <c r="A1667" s="3"/>
      <c r="B1667" s="3"/>
      <c r="C1667" s="6"/>
    </row>
    <row r="1668" spans="1:3" ht="14.25" x14ac:dyDescent="0.2">
      <c r="A1668" s="3"/>
      <c r="B1668" s="3"/>
      <c r="C1668" s="6"/>
    </row>
    <row r="1669" spans="1:3" ht="14.25" x14ac:dyDescent="0.2">
      <c r="A1669" s="3"/>
      <c r="B1669" s="3"/>
      <c r="C1669" s="6"/>
    </row>
    <row r="1670" spans="1:3" ht="14.25" x14ac:dyDescent="0.2">
      <c r="A1670" s="3"/>
      <c r="B1670" s="3"/>
      <c r="C1670" s="6"/>
    </row>
    <row r="1671" spans="1:3" ht="14.25" x14ac:dyDescent="0.2">
      <c r="A1671" s="3"/>
      <c r="B1671" s="3"/>
      <c r="C1671" s="6"/>
    </row>
    <row r="1672" spans="1:3" ht="14.25" x14ac:dyDescent="0.2">
      <c r="A1672" s="3"/>
      <c r="B1672" s="3"/>
      <c r="C1672" s="6"/>
    </row>
    <row r="1673" spans="1:3" ht="14.25" x14ac:dyDescent="0.2">
      <c r="A1673" s="3"/>
      <c r="B1673" s="3"/>
      <c r="C1673" s="6"/>
    </row>
    <row r="1674" spans="1:3" ht="14.25" x14ac:dyDescent="0.2">
      <c r="A1674" s="3"/>
      <c r="B1674" s="3"/>
      <c r="C1674" s="6"/>
    </row>
    <row r="1675" spans="1:3" ht="14.25" x14ac:dyDescent="0.2">
      <c r="A1675" s="3"/>
      <c r="B1675" s="3"/>
      <c r="C1675" s="6"/>
    </row>
    <row r="1676" spans="1:3" ht="14.25" x14ac:dyDescent="0.2">
      <c r="A1676" s="3"/>
      <c r="B1676" s="3"/>
      <c r="C1676" s="6"/>
    </row>
    <row r="1677" spans="1:3" ht="14.25" x14ac:dyDescent="0.2">
      <c r="A1677" s="3"/>
      <c r="B1677" s="3"/>
      <c r="C1677" s="6"/>
    </row>
    <row r="1678" spans="1:3" ht="14.25" x14ac:dyDescent="0.2">
      <c r="A1678" s="3"/>
      <c r="B1678" s="3"/>
      <c r="C1678" s="6"/>
    </row>
    <row r="1679" spans="1:3" ht="14.25" x14ac:dyDescent="0.2">
      <c r="A1679" s="3"/>
      <c r="B1679" s="3"/>
      <c r="C1679" s="6"/>
    </row>
    <row r="1680" spans="1:3" ht="14.25" x14ac:dyDescent="0.2">
      <c r="A1680" s="3"/>
      <c r="B1680" s="3"/>
      <c r="C1680" s="6"/>
    </row>
    <row r="1681" spans="1:3" ht="14.25" x14ac:dyDescent="0.2">
      <c r="A1681" s="3"/>
      <c r="B1681" s="3"/>
      <c r="C1681" s="6"/>
    </row>
    <row r="1682" spans="1:3" ht="14.25" x14ac:dyDescent="0.2">
      <c r="A1682" s="3"/>
      <c r="B1682" s="3"/>
      <c r="C1682" s="6"/>
    </row>
    <row r="1683" spans="1:3" ht="14.25" x14ac:dyDescent="0.2">
      <c r="A1683" s="3"/>
      <c r="B1683" s="3"/>
      <c r="C1683" s="6"/>
    </row>
    <row r="1684" spans="1:3" ht="14.25" x14ac:dyDescent="0.2">
      <c r="A1684" s="3"/>
      <c r="B1684" s="3"/>
      <c r="C1684" s="6"/>
    </row>
    <row r="1685" spans="1:3" ht="14.25" x14ac:dyDescent="0.2">
      <c r="A1685" s="3"/>
      <c r="B1685" s="3"/>
      <c r="C1685" s="6"/>
    </row>
    <row r="1686" spans="1:3" ht="14.25" x14ac:dyDescent="0.2">
      <c r="A1686" s="3"/>
      <c r="B1686" s="3"/>
      <c r="C1686" s="6"/>
    </row>
    <row r="1687" spans="1:3" ht="14.25" x14ac:dyDescent="0.2">
      <c r="A1687" s="3"/>
      <c r="B1687" s="3"/>
      <c r="C1687" s="6"/>
    </row>
    <row r="1688" spans="1:3" ht="14.25" x14ac:dyDescent="0.2">
      <c r="A1688" s="3"/>
      <c r="B1688" s="3"/>
      <c r="C1688" s="6"/>
    </row>
    <row r="1689" spans="1:3" ht="14.25" x14ac:dyDescent="0.2">
      <c r="A1689" s="3"/>
      <c r="B1689" s="3"/>
      <c r="C1689" s="6"/>
    </row>
    <row r="1690" spans="1:3" ht="14.25" x14ac:dyDescent="0.2">
      <c r="A1690" s="3"/>
      <c r="B1690" s="3"/>
      <c r="C1690" s="6"/>
    </row>
    <row r="1691" spans="1:3" ht="14.25" x14ac:dyDescent="0.2">
      <c r="A1691" s="3"/>
      <c r="B1691" s="3"/>
      <c r="C1691" s="6"/>
    </row>
    <row r="1692" spans="1:3" ht="14.25" x14ac:dyDescent="0.2">
      <c r="A1692" s="3"/>
      <c r="B1692" s="3"/>
      <c r="C1692" s="6"/>
    </row>
    <row r="1693" spans="1:3" ht="14.25" x14ac:dyDescent="0.2">
      <c r="A1693" s="3"/>
      <c r="B1693" s="3"/>
      <c r="C1693" s="6"/>
    </row>
    <row r="1694" spans="1:3" ht="14.25" x14ac:dyDescent="0.2">
      <c r="A1694" s="3"/>
      <c r="B1694" s="3"/>
      <c r="C1694" s="6"/>
    </row>
    <row r="1695" spans="1:3" ht="14.25" x14ac:dyDescent="0.2">
      <c r="A1695" s="3"/>
      <c r="B1695" s="3"/>
      <c r="C1695" s="6"/>
    </row>
    <row r="1696" spans="1:3" ht="14.25" x14ac:dyDescent="0.2">
      <c r="A1696" s="3"/>
      <c r="B1696" s="3"/>
      <c r="C1696" s="6"/>
    </row>
    <row r="1697" spans="1:3" ht="14.25" x14ac:dyDescent="0.2">
      <c r="A1697" s="3"/>
      <c r="B1697" s="3"/>
      <c r="C1697" s="6"/>
    </row>
    <row r="1698" spans="1:3" ht="14.25" x14ac:dyDescent="0.2">
      <c r="A1698" s="3"/>
      <c r="B1698" s="3"/>
      <c r="C1698" s="6"/>
    </row>
    <row r="1699" spans="1:3" ht="14.25" x14ac:dyDescent="0.2">
      <c r="A1699" s="3"/>
      <c r="B1699" s="3"/>
      <c r="C1699" s="6"/>
    </row>
    <row r="1700" spans="1:3" ht="14.25" x14ac:dyDescent="0.2">
      <c r="A1700" s="3"/>
      <c r="B1700" s="3"/>
      <c r="C1700" s="6"/>
    </row>
    <row r="1701" spans="1:3" ht="14.25" x14ac:dyDescent="0.2">
      <c r="A1701" s="3"/>
      <c r="B1701" s="3"/>
      <c r="C1701" s="6"/>
    </row>
    <row r="1702" spans="1:3" ht="14.25" x14ac:dyDescent="0.2">
      <c r="A1702" s="3"/>
      <c r="B1702" s="3"/>
      <c r="C1702" s="6"/>
    </row>
    <row r="1703" spans="1:3" ht="14.25" x14ac:dyDescent="0.2">
      <c r="A1703" s="3"/>
      <c r="B1703" s="3"/>
      <c r="C1703" s="6"/>
    </row>
    <row r="1704" spans="1:3" ht="14.25" x14ac:dyDescent="0.2">
      <c r="A1704" s="3"/>
      <c r="B1704" s="3"/>
      <c r="C1704" s="6"/>
    </row>
    <row r="1705" spans="1:3" ht="14.25" x14ac:dyDescent="0.2">
      <c r="A1705" s="3"/>
      <c r="B1705" s="3"/>
      <c r="C1705" s="6"/>
    </row>
    <row r="1706" spans="1:3" ht="14.25" x14ac:dyDescent="0.2">
      <c r="A1706" s="3"/>
      <c r="B1706" s="3"/>
      <c r="C1706" s="6"/>
    </row>
    <row r="1707" spans="1:3" ht="14.25" x14ac:dyDescent="0.2">
      <c r="A1707" s="3"/>
      <c r="B1707" s="3"/>
      <c r="C1707" s="6"/>
    </row>
    <row r="1708" spans="1:3" ht="14.25" x14ac:dyDescent="0.2">
      <c r="A1708" s="3"/>
      <c r="B1708" s="3"/>
      <c r="C1708" s="6"/>
    </row>
    <row r="1709" spans="1:3" ht="14.25" x14ac:dyDescent="0.2">
      <c r="A1709" s="3"/>
      <c r="B1709" s="3"/>
      <c r="C1709" s="6"/>
    </row>
    <row r="1710" spans="1:3" ht="14.25" x14ac:dyDescent="0.2">
      <c r="A1710" s="3"/>
      <c r="B1710" s="3"/>
      <c r="C1710" s="6"/>
    </row>
    <row r="1711" spans="1:3" ht="14.25" x14ac:dyDescent="0.2">
      <c r="A1711" s="3"/>
      <c r="B1711" s="3"/>
      <c r="C1711" s="6"/>
    </row>
    <row r="1712" spans="1:3" ht="14.25" x14ac:dyDescent="0.2">
      <c r="A1712" s="3"/>
      <c r="B1712" s="3"/>
      <c r="C1712" s="6"/>
    </row>
    <row r="1713" spans="1:3" ht="14.25" x14ac:dyDescent="0.2">
      <c r="A1713" s="3"/>
      <c r="B1713" s="3"/>
      <c r="C1713" s="6"/>
    </row>
    <row r="1714" spans="1:3" ht="14.25" x14ac:dyDescent="0.2">
      <c r="A1714" s="3"/>
      <c r="B1714" s="3"/>
      <c r="C1714" s="6"/>
    </row>
    <row r="1715" spans="1:3" ht="14.25" x14ac:dyDescent="0.2">
      <c r="A1715" s="3"/>
      <c r="B1715" s="3"/>
      <c r="C1715" s="6"/>
    </row>
    <row r="1716" spans="1:3" ht="14.25" x14ac:dyDescent="0.2">
      <c r="A1716" s="3"/>
      <c r="B1716" s="3"/>
      <c r="C1716" s="6"/>
    </row>
    <row r="1717" spans="1:3" ht="14.25" x14ac:dyDescent="0.2">
      <c r="A1717" s="3"/>
      <c r="B1717" s="3"/>
      <c r="C1717" s="6"/>
    </row>
    <row r="1718" spans="1:3" ht="14.25" x14ac:dyDescent="0.2">
      <c r="A1718" s="3"/>
      <c r="B1718" s="3"/>
      <c r="C1718" s="6"/>
    </row>
    <row r="1719" spans="1:3" ht="14.25" x14ac:dyDescent="0.2">
      <c r="A1719" s="3"/>
      <c r="B1719" s="3"/>
      <c r="C1719" s="6"/>
    </row>
    <row r="1720" spans="1:3" ht="14.25" x14ac:dyDescent="0.2">
      <c r="A1720" s="3"/>
      <c r="B1720" s="3"/>
      <c r="C1720" s="6"/>
    </row>
    <row r="1721" spans="1:3" ht="14.25" x14ac:dyDescent="0.2">
      <c r="A1721" s="3"/>
      <c r="B1721" s="3"/>
      <c r="C1721" s="6"/>
    </row>
    <row r="1722" spans="1:3" ht="14.25" x14ac:dyDescent="0.2">
      <c r="A1722" s="3"/>
      <c r="B1722" s="3"/>
      <c r="C1722" s="6"/>
    </row>
    <row r="1723" spans="1:3" ht="14.25" x14ac:dyDescent="0.2">
      <c r="A1723" s="3"/>
      <c r="B1723" s="3"/>
      <c r="C1723" s="6"/>
    </row>
    <row r="1724" spans="1:3" ht="14.25" x14ac:dyDescent="0.2">
      <c r="A1724" s="3"/>
      <c r="B1724" s="3"/>
      <c r="C1724" s="6"/>
    </row>
    <row r="1725" spans="1:3" ht="14.25" x14ac:dyDescent="0.2">
      <c r="A1725" s="3"/>
      <c r="B1725" s="3"/>
      <c r="C1725" s="6"/>
    </row>
    <row r="1726" spans="1:3" ht="14.25" x14ac:dyDescent="0.2">
      <c r="A1726" s="3"/>
      <c r="B1726" s="3"/>
      <c r="C1726" s="6"/>
    </row>
    <row r="1727" spans="1:3" ht="14.25" x14ac:dyDescent="0.2">
      <c r="A1727" s="3"/>
      <c r="B1727" s="3"/>
      <c r="C1727" s="6"/>
    </row>
    <row r="1728" spans="1:3" ht="14.25" x14ac:dyDescent="0.2">
      <c r="A1728" s="3"/>
      <c r="B1728" s="3"/>
      <c r="C1728" s="6"/>
    </row>
    <row r="1729" spans="1:3" ht="14.25" x14ac:dyDescent="0.2">
      <c r="A1729" s="3"/>
      <c r="B1729" s="3"/>
      <c r="C1729" s="6"/>
    </row>
    <row r="1730" spans="1:3" ht="14.25" x14ac:dyDescent="0.2">
      <c r="A1730" s="3"/>
      <c r="B1730" s="3"/>
      <c r="C1730" s="6"/>
    </row>
    <row r="1731" spans="1:3" ht="14.25" x14ac:dyDescent="0.2">
      <c r="A1731" s="3"/>
      <c r="B1731" s="3"/>
      <c r="C1731" s="6"/>
    </row>
    <row r="1732" spans="1:3" ht="14.25" x14ac:dyDescent="0.2">
      <c r="A1732" s="3"/>
      <c r="B1732" s="3"/>
      <c r="C1732" s="6"/>
    </row>
    <row r="1733" spans="1:3" ht="14.25" x14ac:dyDescent="0.2">
      <c r="A1733" s="3"/>
      <c r="B1733" s="3"/>
      <c r="C1733" s="6"/>
    </row>
    <row r="1734" spans="1:3" ht="14.25" x14ac:dyDescent="0.2">
      <c r="A1734" s="3"/>
      <c r="B1734" s="3"/>
      <c r="C1734" s="6"/>
    </row>
    <row r="1735" spans="1:3" ht="14.25" x14ac:dyDescent="0.2">
      <c r="A1735" s="3"/>
      <c r="B1735" s="3"/>
      <c r="C1735" s="6"/>
    </row>
    <row r="1736" spans="1:3" ht="14.25" x14ac:dyDescent="0.2">
      <c r="A1736" s="3"/>
      <c r="B1736" s="3"/>
      <c r="C1736" s="6"/>
    </row>
    <row r="1737" spans="1:3" ht="14.25" x14ac:dyDescent="0.2">
      <c r="A1737" s="3"/>
      <c r="B1737" s="3"/>
      <c r="C1737" s="6"/>
    </row>
    <row r="1738" spans="1:3" ht="14.25" x14ac:dyDescent="0.2">
      <c r="A1738" s="3"/>
      <c r="B1738" s="3"/>
      <c r="C1738" s="6"/>
    </row>
    <row r="1739" spans="1:3" ht="14.25" x14ac:dyDescent="0.2">
      <c r="A1739" s="3"/>
      <c r="B1739" s="3"/>
      <c r="C1739" s="6"/>
    </row>
    <row r="1740" spans="1:3" ht="14.25" x14ac:dyDescent="0.2">
      <c r="A1740" s="3"/>
      <c r="B1740" s="3"/>
      <c r="C1740" s="6"/>
    </row>
    <row r="1741" spans="1:3" ht="14.25" x14ac:dyDescent="0.2">
      <c r="A1741" s="3"/>
      <c r="B1741" s="3"/>
      <c r="C1741" s="6"/>
    </row>
    <row r="1742" spans="1:3" ht="14.25" x14ac:dyDescent="0.2">
      <c r="A1742" s="3"/>
      <c r="B1742" s="3"/>
      <c r="C1742" s="6"/>
    </row>
    <row r="1743" spans="1:3" ht="14.25" x14ac:dyDescent="0.2">
      <c r="A1743" s="3"/>
      <c r="B1743" s="3"/>
      <c r="C1743" s="6"/>
    </row>
    <row r="1744" spans="1:3" ht="14.25" x14ac:dyDescent="0.2">
      <c r="A1744" s="3"/>
      <c r="B1744" s="3"/>
      <c r="C1744" s="6"/>
    </row>
    <row r="1745" spans="1:3" ht="14.25" x14ac:dyDescent="0.2">
      <c r="A1745" s="3"/>
      <c r="B1745" s="3"/>
      <c r="C1745" s="6"/>
    </row>
    <row r="1746" spans="1:3" ht="14.25" x14ac:dyDescent="0.2">
      <c r="A1746" s="3"/>
      <c r="B1746" s="3"/>
      <c r="C1746" s="6"/>
    </row>
    <row r="1747" spans="1:3" ht="14.25" x14ac:dyDescent="0.2">
      <c r="A1747" s="3"/>
      <c r="B1747" s="3"/>
      <c r="C1747" s="6"/>
    </row>
    <row r="1748" spans="1:3" ht="14.25" x14ac:dyDescent="0.2">
      <c r="A1748" s="3"/>
      <c r="B1748" s="3"/>
      <c r="C1748" s="6"/>
    </row>
    <row r="1749" spans="1:3" ht="14.25" x14ac:dyDescent="0.2">
      <c r="A1749" s="3"/>
      <c r="B1749" s="3"/>
      <c r="C1749" s="6"/>
    </row>
    <row r="1750" spans="1:3" ht="14.25" x14ac:dyDescent="0.2">
      <c r="A1750" s="3"/>
      <c r="B1750" s="3"/>
      <c r="C1750" s="6"/>
    </row>
    <row r="1751" spans="1:3" ht="14.25" x14ac:dyDescent="0.2">
      <c r="A1751" s="3"/>
      <c r="B1751" s="3"/>
      <c r="C1751" s="6"/>
    </row>
    <row r="1752" spans="1:3" ht="14.25" x14ac:dyDescent="0.2">
      <c r="A1752" s="3"/>
      <c r="B1752" s="3"/>
      <c r="C1752" s="6"/>
    </row>
    <row r="1753" spans="1:3" ht="14.25" x14ac:dyDescent="0.2">
      <c r="A1753" s="3"/>
      <c r="B1753" s="3"/>
      <c r="C1753" s="6"/>
    </row>
    <row r="1754" spans="1:3" ht="14.25" x14ac:dyDescent="0.2">
      <c r="A1754" s="3"/>
      <c r="B1754" s="3"/>
      <c r="C1754" s="6"/>
    </row>
    <row r="1755" spans="1:3" ht="14.25" x14ac:dyDescent="0.2">
      <c r="A1755" s="3"/>
      <c r="B1755" s="3"/>
      <c r="C1755" s="6"/>
    </row>
    <row r="1756" spans="1:3" ht="14.25" x14ac:dyDescent="0.2">
      <c r="A1756" s="3"/>
      <c r="B1756" s="3"/>
      <c r="C1756" s="6"/>
    </row>
    <row r="1757" spans="1:3" ht="14.25" x14ac:dyDescent="0.2">
      <c r="A1757" s="3"/>
      <c r="B1757" s="3"/>
      <c r="C1757" s="6"/>
    </row>
    <row r="1758" spans="1:3" ht="14.25" x14ac:dyDescent="0.2">
      <c r="A1758" s="3"/>
      <c r="B1758" s="3"/>
      <c r="C1758" s="6"/>
    </row>
    <row r="1759" spans="1:3" ht="14.25" x14ac:dyDescent="0.2">
      <c r="A1759" s="3"/>
      <c r="B1759" s="3"/>
      <c r="C1759" s="6"/>
    </row>
    <row r="1760" spans="1:3" ht="14.25" x14ac:dyDescent="0.2">
      <c r="A1760" s="3"/>
      <c r="B1760" s="3"/>
      <c r="C1760" s="6"/>
    </row>
    <row r="1761" spans="1:3" ht="14.25" x14ac:dyDescent="0.2">
      <c r="A1761" s="3"/>
      <c r="B1761" s="3"/>
      <c r="C1761" s="6"/>
    </row>
    <row r="1762" spans="1:3" ht="14.25" x14ac:dyDescent="0.2">
      <c r="A1762" s="3"/>
      <c r="B1762" s="3"/>
      <c r="C1762" s="6"/>
    </row>
    <row r="1763" spans="1:3" ht="14.25" x14ac:dyDescent="0.2">
      <c r="A1763" s="3"/>
      <c r="B1763" s="3"/>
      <c r="C1763" s="6"/>
    </row>
    <row r="1764" spans="1:3" ht="14.25" x14ac:dyDescent="0.2">
      <c r="A1764" s="3"/>
      <c r="B1764" s="3"/>
      <c r="C1764" s="6"/>
    </row>
    <row r="1765" spans="1:3" ht="14.25" x14ac:dyDescent="0.2">
      <c r="A1765" s="3"/>
      <c r="B1765" s="3"/>
      <c r="C1765" s="6"/>
    </row>
    <row r="1766" spans="1:3" ht="14.25" x14ac:dyDescent="0.2">
      <c r="A1766" s="3"/>
      <c r="B1766" s="3"/>
      <c r="C1766" s="6"/>
    </row>
    <row r="1767" spans="1:3" ht="14.25" x14ac:dyDescent="0.2">
      <c r="A1767" s="3"/>
      <c r="B1767" s="3"/>
      <c r="C1767" s="6"/>
    </row>
    <row r="1768" spans="1:3" ht="14.25" x14ac:dyDescent="0.2">
      <c r="A1768" s="3"/>
      <c r="B1768" s="3"/>
      <c r="C1768" s="6"/>
    </row>
    <row r="1769" spans="1:3" ht="14.25" x14ac:dyDescent="0.2">
      <c r="A1769" s="3"/>
      <c r="B1769" s="3"/>
      <c r="C1769" s="6"/>
    </row>
    <row r="1770" spans="1:3" ht="14.25" x14ac:dyDescent="0.2">
      <c r="A1770" s="3"/>
      <c r="B1770" s="3"/>
      <c r="C1770" s="6"/>
    </row>
    <row r="1771" spans="1:3" ht="14.25" x14ac:dyDescent="0.2">
      <c r="A1771" s="3"/>
      <c r="B1771" s="3"/>
      <c r="C1771" s="6"/>
    </row>
    <row r="1772" spans="1:3" ht="14.25" x14ac:dyDescent="0.2">
      <c r="A1772" s="3"/>
      <c r="B1772" s="3"/>
      <c r="C1772" s="6"/>
    </row>
    <row r="1773" spans="1:3" ht="14.25" x14ac:dyDescent="0.2">
      <c r="A1773" s="3"/>
      <c r="B1773" s="3"/>
      <c r="C1773" s="6"/>
    </row>
    <row r="1774" spans="1:3" ht="14.25" x14ac:dyDescent="0.2">
      <c r="A1774" s="3"/>
      <c r="B1774" s="3"/>
      <c r="C1774" s="6"/>
    </row>
    <row r="1775" spans="1:3" ht="14.25" x14ac:dyDescent="0.2">
      <c r="A1775" s="3"/>
      <c r="B1775" s="3"/>
      <c r="C1775" s="6"/>
    </row>
    <row r="1776" spans="1:3" ht="14.25" x14ac:dyDescent="0.2">
      <c r="A1776" s="3"/>
      <c r="B1776" s="3"/>
      <c r="C1776" s="6"/>
    </row>
    <row r="1777" spans="1:3" ht="14.25" x14ac:dyDescent="0.2">
      <c r="A1777" s="3"/>
      <c r="B1777" s="3"/>
      <c r="C1777" s="6"/>
    </row>
    <row r="1778" spans="1:3" ht="14.25" x14ac:dyDescent="0.2">
      <c r="A1778" s="3"/>
      <c r="B1778" s="3"/>
      <c r="C1778" s="6"/>
    </row>
    <row r="1779" spans="1:3" ht="14.25" x14ac:dyDescent="0.2">
      <c r="A1779" s="3"/>
      <c r="B1779" s="3"/>
      <c r="C1779" s="6"/>
    </row>
    <row r="1780" spans="1:3" ht="14.25" x14ac:dyDescent="0.2">
      <c r="A1780" s="3"/>
      <c r="B1780" s="3"/>
      <c r="C1780" s="6"/>
    </row>
    <row r="1781" spans="1:3" ht="14.25" x14ac:dyDescent="0.2">
      <c r="A1781" s="3"/>
      <c r="B1781" s="3"/>
      <c r="C1781" s="6"/>
    </row>
    <row r="1782" spans="1:3" ht="14.25" x14ac:dyDescent="0.2">
      <c r="A1782" s="3"/>
      <c r="B1782" s="3"/>
      <c r="C1782" s="6"/>
    </row>
    <row r="1783" spans="1:3" ht="14.25" x14ac:dyDescent="0.2">
      <c r="A1783" s="3"/>
      <c r="B1783" s="3"/>
      <c r="C1783" s="6"/>
    </row>
    <row r="1784" spans="1:3" ht="14.25" x14ac:dyDescent="0.2">
      <c r="A1784" s="3"/>
      <c r="B1784" s="3"/>
      <c r="C1784" s="6"/>
    </row>
    <row r="1785" spans="1:3" ht="14.25" x14ac:dyDescent="0.2">
      <c r="A1785" s="3"/>
      <c r="B1785" s="3"/>
      <c r="C1785" s="6"/>
    </row>
    <row r="1786" spans="1:3" ht="14.25" x14ac:dyDescent="0.2">
      <c r="A1786" s="3"/>
      <c r="B1786" s="3"/>
      <c r="C1786" s="6"/>
    </row>
    <row r="1787" spans="1:3" ht="14.25" x14ac:dyDescent="0.2">
      <c r="A1787" s="3"/>
      <c r="B1787" s="3"/>
      <c r="C1787" s="6"/>
    </row>
    <row r="1788" spans="1:3" ht="14.25" x14ac:dyDescent="0.2">
      <c r="A1788" s="3"/>
      <c r="B1788" s="3"/>
      <c r="C1788" s="6"/>
    </row>
    <row r="1789" spans="1:3" ht="14.25" x14ac:dyDescent="0.2">
      <c r="A1789" s="3"/>
      <c r="B1789" s="3"/>
      <c r="C1789" s="6"/>
    </row>
    <row r="1790" spans="1:3" ht="14.25" x14ac:dyDescent="0.2">
      <c r="A1790" s="3"/>
      <c r="B1790" s="3"/>
      <c r="C1790" s="6"/>
    </row>
    <row r="1791" spans="1:3" ht="14.25" x14ac:dyDescent="0.2">
      <c r="A1791" s="3"/>
      <c r="B1791" s="3"/>
      <c r="C1791" s="6"/>
    </row>
    <row r="1792" spans="1:3" ht="14.25" x14ac:dyDescent="0.2">
      <c r="A1792" s="3"/>
      <c r="B1792" s="3"/>
      <c r="C1792" s="6"/>
    </row>
    <row r="1793" spans="1:3" ht="14.25" x14ac:dyDescent="0.2">
      <c r="A1793" s="3"/>
      <c r="B1793" s="3"/>
      <c r="C1793" s="6"/>
    </row>
    <row r="1794" spans="1:3" ht="14.25" x14ac:dyDescent="0.2">
      <c r="A1794" s="3"/>
      <c r="B1794" s="3"/>
      <c r="C1794" s="6"/>
    </row>
    <row r="1795" spans="1:3" ht="14.25" x14ac:dyDescent="0.2">
      <c r="A1795" s="3"/>
      <c r="B1795" s="3"/>
      <c r="C1795" s="6"/>
    </row>
    <row r="1796" spans="1:3" ht="14.25" x14ac:dyDescent="0.2">
      <c r="A1796" s="3"/>
      <c r="B1796" s="3"/>
      <c r="C1796" s="6"/>
    </row>
    <row r="1797" spans="1:3" ht="14.25" x14ac:dyDescent="0.2">
      <c r="A1797" s="3"/>
      <c r="B1797" s="3"/>
      <c r="C1797" s="6"/>
    </row>
    <row r="1798" spans="1:3" ht="14.25" x14ac:dyDescent="0.2">
      <c r="A1798" s="3"/>
      <c r="B1798" s="3"/>
      <c r="C1798" s="6"/>
    </row>
    <row r="1799" spans="1:3" ht="14.25" x14ac:dyDescent="0.2">
      <c r="A1799" s="3"/>
      <c r="B1799" s="3"/>
      <c r="C1799" s="6"/>
    </row>
    <row r="1800" spans="1:3" ht="14.25" x14ac:dyDescent="0.2">
      <c r="A1800" s="3"/>
      <c r="B1800" s="3"/>
      <c r="C1800" s="6"/>
    </row>
    <row r="1801" spans="1:3" ht="14.25" x14ac:dyDescent="0.2">
      <c r="A1801" s="3"/>
      <c r="B1801" s="3"/>
      <c r="C1801" s="6"/>
    </row>
    <row r="1802" spans="1:3" ht="14.25" x14ac:dyDescent="0.2">
      <c r="A1802" s="3"/>
      <c r="B1802" s="3"/>
      <c r="C1802" s="6"/>
    </row>
    <row r="1803" spans="1:3" ht="14.25" x14ac:dyDescent="0.2">
      <c r="A1803" s="3"/>
      <c r="B1803" s="3"/>
      <c r="C1803" s="6"/>
    </row>
    <row r="1804" spans="1:3" ht="14.25" x14ac:dyDescent="0.2">
      <c r="A1804" s="3"/>
      <c r="B1804" s="3"/>
      <c r="C1804" s="6"/>
    </row>
    <row r="1805" spans="1:3" ht="14.25" x14ac:dyDescent="0.2">
      <c r="A1805" s="3"/>
      <c r="B1805" s="3"/>
      <c r="C1805" s="6"/>
    </row>
    <row r="1806" spans="1:3" ht="14.25" x14ac:dyDescent="0.2">
      <c r="A1806" s="3"/>
      <c r="B1806" s="3"/>
      <c r="C1806" s="6"/>
    </row>
    <row r="1807" spans="1:3" ht="14.25" x14ac:dyDescent="0.2">
      <c r="A1807" s="3"/>
      <c r="B1807" s="3"/>
      <c r="C1807" s="6"/>
    </row>
    <row r="1808" spans="1:3" ht="14.25" x14ac:dyDescent="0.2">
      <c r="A1808" s="3"/>
      <c r="B1808" s="3"/>
      <c r="C1808" s="6"/>
    </row>
    <row r="1809" spans="1:3" ht="14.25" x14ac:dyDescent="0.2">
      <c r="A1809" s="3"/>
      <c r="B1809" s="3"/>
      <c r="C1809" s="6"/>
    </row>
    <row r="1810" spans="1:3" ht="14.25" x14ac:dyDescent="0.2">
      <c r="A1810" s="3"/>
      <c r="B1810" s="3"/>
      <c r="C1810" s="6"/>
    </row>
    <row r="1811" spans="1:3" ht="14.25" x14ac:dyDescent="0.2">
      <c r="A1811" s="3"/>
      <c r="B1811" s="3"/>
      <c r="C1811" s="6"/>
    </row>
    <row r="1812" spans="1:3" ht="14.25" x14ac:dyDescent="0.2">
      <c r="A1812" s="3"/>
      <c r="B1812" s="3"/>
      <c r="C1812" s="6"/>
    </row>
    <row r="1813" spans="1:3" ht="14.25" x14ac:dyDescent="0.2">
      <c r="A1813" s="3"/>
      <c r="B1813" s="3"/>
      <c r="C1813" s="6"/>
    </row>
    <row r="1814" spans="1:3" ht="14.25" x14ac:dyDescent="0.2">
      <c r="A1814" s="3"/>
      <c r="B1814" s="3"/>
      <c r="C1814" s="6"/>
    </row>
    <row r="1815" spans="1:3" ht="14.25" x14ac:dyDescent="0.2">
      <c r="A1815" s="3"/>
      <c r="B1815" s="3"/>
      <c r="C1815" s="6"/>
    </row>
    <row r="1816" spans="1:3" ht="14.25" x14ac:dyDescent="0.2">
      <c r="A1816" s="3"/>
      <c r="B1816" s="3"/>
      <c r="C1816" s="6"/>
    </row>
    <row r="1817" spans="1:3" ht="14.25" x14ac:dyDescent="0.2">
      <c r="A1817" s="3"/>
      <c r="B1817" s="3"/>
      <c r="C1817" s="6"/>
    </row>
    <row r="1818" spans="1:3" ht="14.25" x14ac:dyDescent="0.2">
      <c r="A1818" s="3"/>
      <c r="B1818" s="3"/>
      <c r="C1818" s="6"/>
    </row>
    <row r="1819" spans="1:3" ht="14.25" x14ac:dyDescent="0.2">
      <c r="A1819" s="3"/>
      <c r="B1819" s="3"/>
      <c r="C1819" s="6"/>
    </row>
    <row r="1820" spans="1:3" ht="14.25" x14ac:dyDescent="0.2">
      <c r="A1820" s="3"/>
      <c r="B1820" s="3"/>
      <c r="C1820" s="6"/>
    </row>
    <row r="1821" spans="1:3" ht="14.25" x14ac:dyDescent="0.2">
      <c r="A1821" s="3"/>
      <c r="B1821" s="3"/>
      <c r="C1821" s="6"/>
    </row>
    <row r="1822" spans="1:3" ht="14.25" x14ac:dyDescent="0.2">
      <c r="A1822" s="3"/>
      <c r="B1822" s="3"/>
      <c r="C1822" s="6"/>
    </row>
    <row r="1823" spans="1:3" ht="14.25" x14ac:dyDescent="0.2">
      <c r="A1823" s="3"/>
      <c r="B1823" s="3"/>
      <c r="C1823" s="6"/>
    </row>
    <row r="1824" spans="1:3" ht="14.25" x14ac:dyDescent="0.2">
      <c r="A1824" s="3"/>
      <c r="B1824" s="3"/>
      <c r="C1824" s="6"/>
    </row>
    <row r="1825" spans="1:3" ht="14.25" x14ac:dyDescent="0.2">
      <c r="A1825" s="3"/>
      <c r="B1825" s="3"/>
      <c r="C1825" s="6"/>
    </row>
    <row r="1826" spans="1:3" ht="14.25" x14ac:dyDescent="0.2">
      <c r="A1826" s="3"/>
      <c r="B1826" s="3"/>
      <c r="C1826" s="6"/>
    </row>
    <row r="1827" spans="1:3" ht="14.25" x14ac:dyDescent="0.2">
      <c r="A1827" s="3"/>
      <c r="B1827" s="3"/>
      <c r="C1827" s="6"/>
    </row>
    <row r="1828" spans="1:3" ht="14.25" x14ac:dyDescent="0.2">
      <c r="A1828" s="3"/>
      <c r="B1828" s="3"/>
      <c r="C1828" s="6"/>
    </row>
    <row r="1829" spans="1:3" ht="14.25" x14ac:dyDescent="0.2">
      <c r="A1829" s="3"/>
      <c r="B1829" s="3"/>
      <c r="C1829" s="6"/>
    </row>
    <row r="1830" spans="1:3" ht="14.25" x14ac:dyDescent="0.2">
      <c r="A1830" s="3"/>
      <c r="B1830" s="3"/>
      <c r="C1830" s="6"/>
    </row>
    <row r="1831" spans="1:3" ht="14.25" x14ac:dyDescent="0.2">
      <c r="A1831" s="3"/>
      <c r="B1831" s="3"/>
      <c r="C1831" s="6"/>
    </row>
    <row r="1832" spans="1:3" ht="14.25" x14ac:dyDescent="0.2">
      <c r="A1832" s="3"/>
      <c r="B1832" s="3"/>
      <c r="C1832" s="6"/>
    </row>
    <row r="1833" spans="1:3" ht="14.25" x14ac:dyDescent="0.2">
      <c r="A1833" s="3"/>
      <c r="B1833" s="3"/>
      <c r="C1833" s="6"/>
    </row>
    <row r="1834" spans="1:3" ht="14.25" x14ac:dyDescent="0.2">
      <c r="A1834" s="3"/>
      <c r="B1834" s="3"/>
      <c r="C1834" s="6"/>
    </row>
    <row r="1835" spans="1:3" ht="14.25" x14ac:dyDescent="0.2">
      <c r="A1835" s="3"/>
      <c r="B1835" s="3"/>
      <c r="C1835" s="6"/>
    </row>
    <row r="1836" spans="1:3" ht="14.25" x14ac:dyDescent="0.2">
      <c r="A1836" s="3"/>
      <c r="B1836" s="3"/>
      <c r="C1836" s="6"/>
    </row>
    <row r="1837" spans="1:3" ht="14.25" x14ac:dyDescent="0.2">
      <c r="A1837" s="3"/>
      <c r="B1837" s="3"/>
      <c r="C1837" s="6"/>
    </row>
    <row r="1838" spans="1:3" ht="14.25" x14ac:dyDescent="0.2">
      <c r="A1838" s="3"/>
      <c r="B1838" s="3"/>
      <c r="C1838" s="6"/>
    </row>
    <row r="1839" spans="1:3" ht="14.25" x14ac:dyDescent="0.2">
      <c r="A1839" s="3"/>
      <c r="B1839" s="3"/>
      <c r="C1839" s="6"/>
    </row>
    <row r="1840" spans="1:3" ht="14.25" x14ac:dyDescent="0.2">
      <c r="A1840" s="3"/>
      <c r="B1840" s="3"/>
      <c r="C1840" s="6"/>
    </row>
    <row r="1841" spans="1:3" ht="14.25" x14ac:dyDescent="0.2">
      <c r="A1841" s="3"/>
      <c r="B1841" s="3"/>
      <c r="C1841" s="6"/>
    </row>
    <row r="1842" spans="1:3" ht="14.25" x14ac:dyDescent="0.2">
      <c r="A1842" s="3"/>
      <c r="B1842" s="3"/>
      <c r="C1842" s="6"/>
    </row>
    <row r="1843" spans="1:3" ht="14.25" x14ac:dyDescent="0.2">
      <c r="A1843" s="3"/>
      <c r="B1843" s="3"/>
      <c r="C1843" s="6"/>
    </row>
    <row r="1844" spans="1:3" ht="14.25" x14ac:dyDescent="0.2">
      <c r="A1844" s="3"/>
      <c r="B1844" s="3"/>
      <c r="C1844" s="6"/>
    </row>
    <row r="1845" spans="1:3" ht="14.25" x14ac:dyDescent="0.2">
      <c r="A1845" s="3"/>
      <c r="B1845" s="3"/>
      <c r="C1845" s="6"/>
    </row>
    <row r="1846" spans="1:3" ht="14.25" x14ac:dyDescent="0.2">
      <c r="A1846" s="3"/>
      <c r="B1846" s="3"/>
      <c r="C1846" s="6"/>
    </row>
    <row r="1847" spans="1:3" ht="14.25" x14ac:dyDescent="0.2">
      <c r="A1847" s="3"/>
      <c r="B1847" s="3"/>
      <c r="C1847" s="6"/>
    </row>
    <row r="1848" spans="1:3" ht="14.25" x14ac:dyDescent="0.2">
      <c r="A1848" s="3"/>
      <c r="B1848" s="3"/>
      <c r="C1848" s="6"/>
    </row>
    <row r="1849" spans="1:3" ht="14.25" x14ac:dyDescent="0.2">
      <c r="A1849" s="3"/>
      <c r="B1849" s="3"/>
      <c r="C1849" s="6"/>
    </row>
    <row r="1850" spans="1:3" ht="14.25" x14ac:dyDescent="0.2">
      <c r="A1850" s="3"/>
      <c r="B1850" s="3"/>
      <c r="C1850" s="6"/>
    </row>
    <row r="1851" spans="1:3" ht="14.25" x14ac:dyDescent="0.2">
      <c r="A1851" s="3"/>
      <c r="B1851" s="3"/>
      <c r="C1851" s="6"/>
    </row>
    <row r="1852" spans="1:3" ht="14.25" x14ac:dyDescent="0.2">
      <c r="A1852" s="3"/>
      <c r="B1852" s="3"/>
      <c r="C1852" s="6"/>
    </row>
    <row r="1853" spans="1:3" ht="14.25" x14ac:dyDescent="0.2">
      <c r="A1853" s="3"/>
      <c r="B1853" s="3"/>
      <c r="C1853" s="6"/>
    </row>
    <row r="1854" spans="1:3" ht="14.25" x14ac:dyDescent="0.2">
      <c r="A1854" s="3"/>
      <c r="B1854" s="3"/>
      <c r="C1854" s="6"/>
    </row>
    <row r="1855" spans="1:3" ht="14.25" x14ac:dyDescent="0.2">
      <c r="A1855" s="3"/>
      <c r="B1855" s="3"/>
      <c r="C1855" s="6"/>
    </row>
    <row r="1856" spans="1:3" ht="14.25" x14ac:dyDescent="0.2">
      <c r="A1856" s="3"/>
      <c r="B1856" s="3"/>
      <c r="C1856" s="6"/>
    </row>
    <row r="1857" spans="1:3" ht="14.25" x14ac:dyDescent="0.2">
      <c r="A1857" s="3"/>
      <c r="B1857" s="3"/>
      <c r="C1857" s="6"/>
    </row>
    <row r="1858" spans="1:3" ht="14.25" x14ac:dyDescent="0.2">
      <c r="A1858" s="3"/>
      <c r="B1858" s="3"/>
      <c r="C1858" s="6"/>
    </row>
    <row r="1859" spans="1:3" ht="14.25" x14ac:dyDescent="0.2">
      <c r="A1859" s="3"/>
      <c r="B1859" s="3"/>
      <c r="C1859" s="6"/>
    </row>
    <row r="1860" spans="1:3" ht="14.25" x14ac:dyDescent="0.2">
      <c r="A1860" s="3"/>
      <c r="B1860" s="3"/>
      <c r="C1860" s="6"/>
    </row>
    <row r="1861" spans="1:3" ht="14.25" x14ac:dyDescent="0.2">
      <c r="A1861" s="3"/>
      <c r="B1861" s="3"/>
      <c r="C1861" s="6"/>
    </row>
    <row r="1862" spans="1:3" ht="14.25" x14ac:dyDescent="0.2">
      <c r="A1862" s="3"/>
      <c r="B1862" s="3"/>
      <c r="C1862" s="6"/>
    </row>
    <row r="1863" spans="1:3" ht="14.25" x14ac:dyDescent="0.2">
      <c r="A1863" s="3"/>
      <c r="B1863" s="3"/>
      <c r="C1863" s="6"/>
    </row>
    <row r="1864" spans="1:3" ht="14.25" x14ac:dyDescent="0.2">
      <c r="A1864" s="3"/>
      <c r="B1864" s="3"/>
      <c r="C1864" s="6"/>
    </row>
    <row r="1865" spans="1:3" ht="14.25" x14ac:dyDescent="0.2">
      <c r="A1865" s="3"/>
      <c r="B1865" s="3"/>
      <c r="C1865" s="6"/>
    </row>
    <row r="1866" spans="1:3" ht="14.25" x14ac:dyDescent="0.2">
      <c r="A1866" s="3"/>
      <c r="B1866" s="3"/>
      <c r="C1866" s="6"/>
    </row>
    <row r="1867" spans="1:3" ht="14.25" x14ac:dyDescent="0.2">
      <c r="A1867" s="3"/>
      <c r="B1867" s="3"/>
      <c r="C1867" s="6"/>
    </row>
    <row r="1868" spans="1:3" ht="14.25" x14ac:dyDescent="0.2">
      <c r="A1868" s="3"/>
      <c r="B1868" s="3"/>
      <c r="C1868" s="6"/>
    </row>
    <row r="1869" spans="1:3" ht="14.25" x14ac:dyDescent="0.2">
      <c r="A1869" s="3"/>
      <c r="B1869" s="3"/>
      <c r="C1869" s="6"/>
    </row>
    <row r="1870" spans="1:3" ht="14.25" x14ac:dyDescent="0.2">
      <c r="A1870" s="3"/>
      <c r="B1870" s="3"/>
      <c r="C1870" s="6"/>
    </row>
    <row r="1871" spans="1:3" ht="14.25" x14ac:dyDescent="0.2">
      <c r="A1871" s="3"/>
      <c r="B1871" s="3"/>
      <c r="C1871" s="6"/>
    </row>
    <row r="1872" spans="1:3" ht="14.25" x14ac:dyDescent="0.2">
      <c r="A1872" s="3"/>
      <c r="B1872" s="3"/>
      <c r="C1872" s="6"/>
    </row>
    <row r="1873" spans="1:3" ht="14.25" x14ac:dyDescent="0.2">
      <c r="A1873" s="3"/>
      <c r="B1873" s="3"/>
      <c r="C1873" s="6"/>
    </row>
    <row r="1874" spans="1:3" ht="14.25" x14ac:dyDescent="0.2">
      <c r="A1874" s="3"/>
      <c r="B1874" s="3"/>
      <c r="C1874" s="6"/>
    </row>
    <row r="1875" spans="1:3" ht="14.25" x14ac:dyDescent="0.2">
      <c r="A1875" s="3"/>
      <c r="B1875" s="3"/>
      <c r="C1875" s="6"/>
    </row>
    <row r="1876" spans="1:3" ht="14.25" x14ac:dyDescent="0.2">
      <c r="A1876" s="3"/>
      <c r="B1876" s="3"/>
      <c r="C1876" s="6"/>
    </row>
    <row r="1877" spans="1:3" ht="14.25" x14ac:dyDescent="0.2">
      <c r="A1877" s="3"/>
      <c r="B1877" s="3"/>
      <c r="C1877" s="6"/>
    </row>
    <row r="1878" spans="1:3" ht="14.25" x14ac:dyDescent="0.2">
      <c r="A1878" s="3"/>
      <c r="B1878" s="3"/>
      <c r="C1878" s="6"/>
    </row>
    <row r="1879" spans="1:3" ht="14.25" x14ac:dyDescent="0.2">
      <c r="A1879" s="3"/>
      <c r="B1879" s="3"/>
      <c r="C1879" s="6"/>
    </row>
    <row r="1880" spans="1:3" ht="14.25" x14ac:dyDescent="0.2">
      <c r="A1880" s="3"/>
      <c r="B1880" s="3"/>
      <c r="C1880" s="6"/>
    </row>
    <row r="1881" spans="1:3" ht="14.25" x14ac:dyDescent="0.2">
      <c r="A1881" s="3"/>
      <c r="B1881" s="3"/>
      <c r="C1881" s="6"/>
    </row>
    <row r="1882" spans="1:3" ht="14.25" x14ac:dyDescent="0.2">
      <c r="A1882" s="3"/>
      <c r="B1882" s="3"/>
      <c r="C1882" s="6"/>
    </row>
    <row r="1883" spans="1:3" ht="14.25" x14ac:dyDescent="0.2">
      <c r="A1883" s="3"/>
      <c r="B1883" s="3"/>
      <c r="C1883" s="6"/>
    </row>
    <row r="1884" spans="1:3" ht="14.25" x14ac:dyDescent="0.2">
      <c r="A1884" s="3"/>
      <c r="B1884" s="3"/>
      <c r="C1884" s="6"/>
    </row>
    <row r="1885" spans="1:3" ht="14.25" x14ac:dyDescent="0.2">
      <c r="A1885" s="3"/>
      <c r="B1885" s="3"/>
      <c r="C1885" s="6"/>
    </row>
    <row r="1886" spans="1:3" ht="14.25" x14ac:dyDescent="0.2">
      <c r="A1886" s="3"/>
      <c r="B1886" s="3"/>
      <c r="C1886" s="6"/>
    </row>
    <row r="1887" spans="1:3" ht="14.25" x14ac:dyDescent="0.2">
      <c r="A1887" s="3"/>
      <c r="B1887" s="3"/>
      <c r="C1887" s="6"/>
    </row>
    <row r="1888" spans="1:3" ht="14.25" x14ac:dyDescent="0.2">
      <c r="A1888" s="3"/>
      <c r="B1888" s="3"/>
      <c r="C1888" s="6"/>
    </row>
    <row r="1889" spans="1:3" ht="14.25" x14ac:dyDescent="0.2">
      <c r="A1889" s="3"/>
      <c r="B1889" s="3"/>
      <c r="C1889" s="6"/>
    </row>
    <row r="1890" spans="1:3" ht="14.25" x14ac:dyDescent="0.2">
      <c r="A1890" s="3"/>
      <c r="B1890" s="3"/>
      <c r="C1890" s="6"/>
    </row>
    <row r="1891" spans="1:3" ht="14.25" x14ac:dyDescent="0.2">
      <c r="A1891" s="3"/>
      <c r="B1891" s="3"/>
      <c r="C1891" s="6"/>
    </row>
    <row r="1892" spans="1:3" ht="14.25" x14ac:dyDescent="0.2">
      <c r="A1892" s="3"/>
      <c r="B1892" s="3"/>
      <c r="C1892" s="6"/>
    </row>
    <row r="1893" spans="1:3" ht="14.25" x14ac:dyDescent="0.2">
      <c r="A1893" s="3"/>
      <c r="B1893" s="3"/>
      <c r="C1893" s="6"/>
    </row>
    <row r="1894" spans="1:3" ht="14.25" x14ac:dyDescent="0.2">
      <c r="A1894" s="3"/>
      <c r="B1894" s="3"/>
      <c r="C1894" s="6"/>
    </row>
    <row r="1895" spans="1:3" ht="14.25" x14ac:dyDescent="0.2">
      <c r="A1895" s="3"/>
      <c r="B1895" s="3"/>
      <c r="C1895" s="6"/>
    </row>
    <row r="1896" spans="1:3" ht="14.25" x14ac:dyDescent="0.2">
      <c r="A1896" s="3"/>
      <c r="B1896" s="3"/>
      <c r="C1896" s="6"/>
    </row>
    <row r="1897" spans="1:3" ht="14.25" x14ac:dyDescent="0.2">
      <c r="A1897" s="3"/>
      <c r="B1897" s="3"/>
      <c r="C1897" s="6"/>
    </row>
    <row r="1898" spans="1:3" ht="14.25" x14ac:dyDescent="0.2">
      <c r="A1898" s="3"/>
      <c r="B1898" s="3"/>
      <c r="C1898" s="6"/>
    </row>
    <row r="1899" spans="1:3" ht="14.25" x14ac:dyDescent="0.2">
      <c r="A1899" s="3"/>
      <c r="B1899" s="3"/>
      <c r="C1899" s="6"/>
    </row>
    <row r="1900" spans="1:3" ht="14.25" x14ac:dyDescent="0.2">
      <c r="A1900" s="3"/>
      <c r="B1900" s="3"/>
      <c r="C1900" s="6"/>
    </row>
    <row r="1901" spans="1:3" ht="14.25" x14ac:dyDescent="0.2">
      <c r="A1901" s="3"/>
      <c r="B1901" s="3"/>
      <c r="C1901" s="6"/>
    </row>
    <row r="1902" spans="1:3" ht="14.25" x14ac:dyDescent="0.2">
      <c r="A1902" s="3"/>
      <c r="B1902" s="3"/>
      <c r="C1902" s="6"/>
    </row>
    <row r="1903" spans="1:3" ht="14.25" x14ac:dyDescent="0.2">
      <c r="A1903" s="3"/>
      <c r="B1903" s="3"/>
      <c r="C1903" s="6"/>
    </row>
    <row r="1904" spans="1:3" ht="14.25" x14ac:dyDescent="0.2">
      <c r="A1904" s="3"/>
      <c r="B1904" s="3"/>
      <c r="C1904" s="6"/>
    </row>
    <row r="1905" spans="1:3" ht="14.25" x14ac:dyDescent="0.2">
      <c r="A1905" s="3"/>
      <c r="B1905" s="3"/>
      <c r="C1905" s="6"/>
    </row>
    <row r="1906" spans="1:3" ht="14.25" x14ac:dyDescent="0.2">
      <c r="A1906" s="3"/>
      <c r="B1906" s="3"/>
      <c r="C1906" s="6"/>
    </row>
    <row r="1907" spans="1:3" ht="14.25" x14ac:dyDescent="0.2">
      <c r="A1907" s="3"/>
      <c r="B1907" s="3"/>
      <c r="C1907" s="6"/>
    </row>
    <row r="1908" spans="1:3" ht="14.25" x14ac:dyDescent="0.2">
      <c r="A1908" s="3"/>
      <c r="B1908" s="3"/>
      <c r="C1908" s="6"/>
    </row>
    <row r="1909" spans="1:3" ht="14.25" x14ac:dyDescent="0.2">
      <c r="A1909" s="3"/>
      <c r="B1909" s="3"/>
      <c r="C1909" s="6"/>
    </row>
    <row r="1910" spans="1:3" ht="14.25" x14ac:dyDescent="0.2">
      <c r="A1910" s="3"/>
      <c r="B1910" s="3"/>
      <c r="C1910" s="6"/>
    </row>
    <row r="1911" spans="1:3" ht="14.25" x14ac:dyDescent="0.2">
      <c r="A1911" s="3"/>
      <c r="B1911" s="3"/>
      <c r="C1911" s="6"/>
    </row>
    <row r="1912" spans="1:3" ht="14.25" x14ac:dyDescent="0.2">
      <c r="A1912" s="3"/>
      <c r="B1912" s="3"/>
      <c r="C1912" s="6"/>
    </row>
    <row r="1913" spans="1:3" ht="14.25" x14ac:dyDescent="0.2">
      <c r="A1913" s="3"/>
      <c r="B1913" s="3"/>
      <c r="C1913" s="6"/>
    </row>
    <row r="1914" spans="1:3" ht="14.25" x14ac:dyDescent="0.2">
      <c r="A1914" s="3"/>
      <c r="B1914" s="3"/>
      <c r="C1914" s="6"/>
    </row>
    <row r="1915" spans="1:3" ht="14.25" x14ac:dyDescent="0.2">
      <c r="A1915" s="3"/>
      <c r="B1915" s="3"/>
      <c r="C1915" s="6"/>
    </row>
    <row r="1916" spans="1:3" ht="14.25" x14ac:dyDescent="0.2">
      <c r="A1916" s="3"/>
      <c r="B1916" s="3"/>
      <c r="C1916" s="6"/>
    </row>
    <row r="1917" spans="1:3" ht="14.25" x14ac:dyDescent="0.2">
      <c r="A1917" s="3"/>
      <c r="B1917" s="3"/>
      <c r="C1917" s="6"/>
    </row>
    <row r="1918" spans="1:3" ht="14.25" x14ac:dyDescent="0.2">
      <c r="A1918" s="3"/>
      <c r="B1918" s="3"/>
      <c r="C1918" s="6"/>
    </row>
    <row r="1919" spans="1:3" ht="14.25" x14ac:dyDescent="0.2">
      <c r="A1919" s="3"/>
      <c r="B1919" s="3"/>
      <c r="C1919" s="6"/>
    </row>
    <row r="1920" spans="1:3" ht="14.25" x14ac:dyDescent="0.2">
      <c r="A1920" s="3"/>
      <c r="B1920" s="3"/>
      <c r="C1920" s="6"/>
    </row>
    <row r="1921" spans="1:3" ht="14.25" x14ac:dyDescent="0.2">
      <c r="A1921" s="3"/>
      <c r="B1921" s="3"/>
      <c r="C1921" s="6"/>
    </row>
    <row r="1922" spans="1:3" ht="14.25" x14ac:dyDescent="0.2">
      <c r="A1922" s="3"/>
      <c r="B1922" s="3"/>
      <c r="C1922" s="6"/>
    </row>
    <row r="1923" spans="1:3" ht="14.25" x14ac:dyDescent="0.2">
      <c r="A1923" s="3"/>
      <c r="B1923" s="3"/>
      <c r="C1923" s="6"/>
    </row>
    <row r="1924" spans="1:3" ht="14.25" x14ac:dyDescent="0.2">
      <c r="A1924" s="3"/>
      <c r="B1924" s="3"/>
      <c r="C1924" s="6"/>
    </row>
    <row r="1925" spans="1:3" ht="14.25" x14ac:dyDescent="0.2">
      <c r="A1925" s="3"/>
      <c r="B1925" s="3"/>
      <c r="C1925" s="6"/>
    </row>
    <row r="1926" spans="1:3" ht="14.25" x14ac:dyDescent="0.2">
      <c r="A1926" s="3"/>
      <c r="B1926" s="3"/>
      <c r="C1926" s="6"/>
    </row>
    <row r="1927" spans="1:3" ht="14.25" x14ac:dyDescent="0.2">
      <c r="A1927" s="3"/>
      <c r="B1927" s="3"/>
      <c r="C1927" s="6"/>
    </row>
    <row r="1928" spans="1:3" ht="14.25" x14ac:dyDescent="0.2">
      <c r="A1928" s="3"/>
      <c r="B1928" s="3"/>
      <c r="C1928" s="6"/>
    </row>
    <row r="1929" spans="1:3" ht="14.25" x14ac:dyDescent="0.2">
      <c r="A1929" s="3"/>
      <c r="B1929" s="3"/>
      <c r="C1929" s="6"/>
    </row>
    <row r="1930" spans="1:3" ht="14.25" x14ac:dyDescent="0.2">
      <c r="A1930" s="3"/>
      <c r="B1930" s="3"/>
      <c r="C1930" s="6"/>
    </row>
    <row r="1931" spans="1:3" ht="14.25" x14ac:dyDescent="0.2">
      <c r="A1931" s="3"/>
      <c r="B1931" s="3"/>
      <c r="C1931" s="6"/>
    </row>
    <row r="1932" spans="1:3" ht="14.25" x14ac:dyDescent="0.2">
      <c r="A1932" s="3"/>
      <c r="B1932" s="3"/>
      <c r="C1932" s="6"/>
    </row>
    <row r="1933" spans="1:3" ht="14.25" x14ac:dyDescent="0.2">
      <c r="A1933" s="3"/>
      <c r="B1933" s="3"/>
      <c r="C1933" s="6"/>
    </row>
    <row r="1934" spans="1:3" ht="14.25" x14ac:dyDescent="0.2">
      <c r="A1934" s="3"/>
      <c r="B1934" s="3"/>
      <c r="C1934" s="6"/>
    </row>
    <row r="1935" spans="1:3" ht="14.25" x14ac:dyDescent="0.2">
      <c r="A1935" s="3"/>
      <c r="B1935" s="3"/>
      <c r="C1935" s="6"/>
    </row>
    <row r="1936" spans="1:3" ht="14.25" x14ac:dyDescent="0.2">
      <c r="A1936" s="3"/>
      <c r="B1936" s="3"/>
      <c r="C1936" s="6"/>
    </row>
    <row r="1937" spans="1:3" ht="14.25" x14ac:dyDescent="0.2">
      <c r="A1937" s="3"/>
      <c r="B1937" s="3"/>
      <c r="C1937" s="6"/>
    </row>
    <row r="1938" spans="1:3" ht="14.25" x14ac:dyDescent="0.2">
      <c r="A1938" s="3"/>
      <c r="B1938" s="3"/>
      <c r="C1938" s="6"/>
    </row>
    <row r="1939" spans="1:3" ht="14.25" x14ac:dyDescent="0.2">
      <c r="A1939" s="3"/>
      <c r="B1939" s="3"/>
      <c r="C1939" s="6"/>
    </row>
    <row r="1940" spans="1:3" ht="14.25" x14ac:dyDescent="0.2">
      <c r="A1940" s="3"/>
      <c r="B1940" s="3"/>
      <c r="C1940" s="6"/>
    </row>
    <row r="1941" spans="1:3" ht="14.25" x14ac:dyDescent="0.2">
      <c r="A1941" s="3"/>
      <c r="B1941" s="3"/>
      <c r="C1941" s="6"/>
    </row>
    <row r="1942" spans="1:3" ht="14.25" x14ac:dyDescent="0.2">
      <c r="A1942" s="3"/>
      <c r="B1942" s="3"/>
      <c r="C1942" s="6"/>
    </row>
    <row r="1943" spans="1:3" ht="14.25" x14ac:dyDescent="0.2">
      <c r="A1943" s="3"/>
      <c r="B1943" s="3"/>
      <c r="C1943" s="6"/>
    </row>
    <row r="1944" spans="1:3" ht="14.25" x14ac:dyDescent="0.2">
      <c r="A1944" s="3"/>
      <c r="B1944" s="3"/>
      <c r="C1944" s="6"/>
    </row>
    <row r="1945" spans="1:3" ht="14.25" x14ac:dyDescent="0.2">
      <c r="A1945" s="3"/>
      <c r="B1945" s="3"/>
      <c r="C1945" s="6"/>
    </row>
    <row r="1946" spans="1:3" ht="14.25" x14ac:dyDescent="0.2">
      <c r="A1946" s="3"/>
      <c r="B1946" s="3"/>
      <c r="C1946" s="6"/>
    </row>
    <row r="1947" spans="1:3" ht="14.25" x14ac:dyDescent="0.2">
      <c r="A1947" s="3"/>
      <c r="B1947" s="3"/>
      <c r="C1947" s="6"/>
    </row>
    <row r="1948" spans="1:3" ht="14.25" x14ac:dyDescent="0.2">
      <c r="A1948" s="3"/>
      <c r="B1948" s="3"/>
      <c r="C1948" s="6"/>
    </row>
    <row r="1949" spans="1:3" ht="14.25" x14ac:dyDescent="0.2">
      <c r="A1949" s="3"/>
      <c r="B1949" s="3"/>
      <c r="C1949" s="6"/>
    </row>
    <row r="1950" spans="1:3" ht="14.25" x14ac:dyDescent="0.2">
      <c r="A1950" s="3"/>
      <c r="B1950" s="3"/>
      <c r="C1950" s="6"/>
    </row>
    <row r="1951" spans="1:3" ht="14.25" x14ac:dyDescent="0.2">
      <c r="A1951" s="3"/>
      <c r="B1951" s="3"/>
      <c r="C1951" s="6"/>
    </row>
    <row r="1952" spans="1:3" ht="14.25" x14ac:dyDescent="0.2">
      <c r="A1952" s="3"/>
      <c r="B1952" s="3"/>
      <c r="C1952" s="6"/>
    </row>
    <row r="1953" spans="1:3" ht="14.25" x14ac:dyDescent="0.2">
      <c r="A1953" s="3"/>
      <c r="B1953" s="3"/>
      <c r="C1953" s="6"/>
    </row>
    <row r="1954" spans="1:3" ht="14.25" x14ac:dyDescent="0.2">
      <c r="A1954" s="3"/>
      <c r="B1954" s="3"/>
      <c r="C1954" s="6"/>
    </row>
    <row r="1955" spans="1:3" ht="14.25" x14ac:dyDescent="0.2">
      <c r="A1955" s="3"/>
      <c r="B1955" s="3"/>
      <c r="C1955" s="6"/>
    </row>
    <row r="1956" spans="1:3" ht="14.25" x14ac:dyDescent="0.2">
      <c r="A1956" s="3"/>
      <c r="B1956" s="3"/>
      <c r="C1956" s="6"/>
    </row>
    <row r="1957" spans="1:3" ht="14.25" x14ac:dyDescent="0.2">
      <c r="A1957" s="3"/>
      <c r="B1957" s="3"/>
      <c r="C1957" s="6"/>
    </row>
    <row r="1958" spans="1:3" ht="14.25" x14ac:dyDescent="0.2">
      <c r="A1958" s="3"/>
      <c r="B1958" s="3"/>
      <c r="C1958" s="6"/>
    </row>
    <row r="1959" spans="1:3" ht="14.25" x14ac:dyDescent="0.2">
      <c r="A1959" s="3"/>
      <c r="B1959" s="3"/>
      <c r="C1959" s="6"/>
    </row>
    <row r="1960" spans="1:3" ht="14.25" x14ac:dyDescent="0.2">
      <c r="A1960" s="3"/>
      <c r="B1960" s="3"/>
      <c r="C1960" s="6"/>
    </row>
    <row r="1961" spans="1:3" ht="14.25" x14ac:dyDescent="0.2">
      <c r="A1961" s="3"/>
      <c r="B1961" s="3"/>
      <c r="C1961" s="6"/>
    </row>
    <row r="1962" spans="1:3" ht="14.25" x14ac:dyDescent="0.2">
      <c r="A1962" s="3"/>
      <c r="B1962" s="3"/>
      <c r="C1962" s="6"/>
    </row>
    <row r="1963" spans="1:3" ht="14.25" x14ac:dyDescent="0.2">
      <c r="A1963" s="3"/>
      <c r="B1963" s="3"/>
      <c r="C1963" s="6"/>
    </row>
    <row r="1964" spans="1:3" ht="14.25" x14ac:dyDescent="0.2">
      <c r="A1964" s="3"/>
      <c r="B1964" s="3"/>
      <c r="C1964" s="6"/>
    </row>
    <row r="1965" spans="1:3" ht="14.25" x14ac:dyDescent="0.2">
      <c r="A1965" s="3"/>
      <c r="B1965" s="3"/>
      <c r="C1965" s="6"/>
    </row>
    <row r="1966" spans="1:3" ht="14.25" x14ac:dyDescent="0.2">
      <c r="A1966" s="3"/>
      <c r="B1966" s="3"/>
      <c r="C1966" s="6"/>
    </row>
    <row r="1967" spans="1:3" ht="14.25" x14ac:dyDescent="0.2">
      <c r="A1967" s="3"/>
      <c r="B1967" s="3"/>
      <c r="C1967" s="6"/>
    </row>
    <row r="1968" spans="1:3" ht="14.25" x14ac:dyDescent="0.2">
      <c r="A1968" s="3"/>
      <c r="B1968" s="3"/>
      <c r="C1968" s="6"/>
    </row>
    <row r="1969" spans="1:3" ht="14.25" x14ac:dyDescent="0.2">
      <c r="A1969" s="3"/>
      <c r="B1969" s="3"/>
      <c r="C1969" s="6"/>
    </row>
    <row r="1970" spans="1:3" ht="14.25" x14ac:dyDescent="0.2">
      <c r="A1970" s="3"/>
      <c r="B1970" s="3"/>
      <c r="C1970" s="6"/>
    </row>
    <row r="1971" spans="1:3" ht="14.25" x14ac:dyDescent="0.2">
      <c r="A1971" s="3"/>
      <c r="B1971" s="3"/>
      <c r="C1971" s="6"/>
    </row>
    <row r="1972" spans="1:3" ht="14.25" x14ac:dyDescent="0.2">
      <c r="A1972" s="3"/>
      <c r="B1972" s="3"/>
      <c r="C1972" s="6"/>
    </row>
    <row r="1973" spans="1:3" ht="14.25" x14ac:dyDescent="0.2">
      <c r="A1973" s="3"/>
      <c r="B1973" s="3"/>
      <c r="C1973" s="6"/>
    </row>
    <row r="1974" spans="1:3" ht="14.25" x14ac:dyDescent="0.2">
      <c r="A1974" s="3"/>
      <c r="B1974" s="3"/>
      <c r="C1974" s="6"/>
    </row>
    <row r="1975" spans="1:3" ht="14.25" x14ac:dyDescent="0.2">
      <c r="A1975" s="3"/>
      <c r="B1975" s="3"/>
      <c r="C1975" s="6"/>
    </row>
    <row r="1976" spans="1:3" ht="14.25" x14ac:dyDescent="0.2">
      <c r="A1976" s="3"/>
      <c r="B1976" s="3"/>
      <c r="C1976" s="6"/>
    </row>
    <row r="1977" spans="1:3" ht="14.25" x14ac:dyDescent="0.2">
      <c r="A1977" s="3"/>
      <c r="B1977" s="3"/>
      <c r="C1977" s="6"/>
    </row>
    <row r="1978" spans="1:3" ht="14.25" x14ac:dyDescent="0.2">
      <c r="A1978" s="3"/>
      <c r="B1978" s="3"/>
      <c r="C1978" s="6"/>
    </row>
    <row r="1979" spans="1:3" ht="14.25" x14ac:dyDescent="0.2">
      <c r="A1979" s="3"/>
      <c r="B1979" s="3"/>
      <c r="C1979" s="6"/>
    </row>
    <row r="1980" spans="1:3" ht="14.25" x14ac:dyDescent="0.2">
      <c r="A1980" s="3"/>
      <c r="B1980" s="3"/>
      <c r="C1980" s="6"/>
    </row>
    <row r="1981" spans="1:3" ht="14.25" x14ac:dyDescent="0.2">
      <c r="A1981" s="3"/>
      <c r="B1981" s="3"/>
      <c r="C1981" s="6"/>
    </row>
    <row r="1982" spans="1:3" ht="14.25" x14ac:dyDescent="0.2">
      <c r="A1982" s="3"/>
      <c r="B1982" s="3"/>
      <c r="C1982" s="6"/>
    </row>
    <row r="1983" spans="1:3" ht="14.25" x14ac:dyDescent="0.2">
      <c r="A1983" s="3"/>
      <c r="B1983" s="3"/>
      <c r="C1983" s="6"/>
    </row>
    <row r="1984" spans="1:3" ht="14.25" x14ac:dyDescent="0.2">
      <c r="A1984" s="3"/>
      <c r="B1984" s="3"/>
      <c r="C198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84"/>
  <sheetViews>
    <sheetView showGridLines="0" workbookViewId="0">
      <selection activeCell="E7" sqref="E7"/>
    </sheetView>
  </sheetViews>
  <sheetFormatPr defaultColWidth="12.5703125" defaultRowHeight="15.75" customHeight="1" x14ac:dyDescent="0.2"/>
  <cols>
    <col min="1" max="1" width="18.140625" bestFit="1" customWidth="1"/>
    <col min="2" max="2" width="8" bestFit="1" customWidth="1"/>
    <col min="3" max="3" width="13.5703125" bestFit="1" customWidth="1"/>
    <col min="4" max="4" width="21.7109375" bestFit="1" customWidth="1"/>
    <col min="5" max="5" width="24" bestFit="1" customWidth="1"/>
    <col min="6" max="6" width="7.85546875" bestFit="1" customWidth="1"/>
  </cols>
  <sheetData>
    <row r="1" spans="1:6" x14ac:dyDescent="0.25">
      <c r="A1" s="1" t="str">
        <f ca="1">IFERROR(__xludf.DUMMYFUNCTION("GOOGLEFINANCE(""NSE:HDFCBANK"", ""CLOSE"",DATE(2020,1,1),DATE(2025,12,31),""DAILY"")"),"Date")</f>
        <v>Date</v>
      </c>
      <c r="B1" s="1" t="str">
        <f ca="1">IFERROR(__xludf.DUMMYFUNCTION("""COMPUTED_VALUE"""),"Close")</f>
        <v>Close</v>
      </c>
      <c r="C1" s="2" t="s">
        <v>0</v>
      </c>
      <c r="D1" s="1" t="s">
        <v>7</v>
      </c>
      <c r="E1" s="1" t="s">
        <v>8</v>
      </c>
      <c r="F1" s="5"/>
    </row>
    <row r="2" spans="1:6" ht="12.75" x14ac:dyDescent="0.2">
      <c r="A2" s="8">
        <f ca="1">IFERROR(__xludf.DUMMYFUNCTION("""COMPUTED_VALUE"""),43831.6458333333)</f>
        <v>43831.645833333299</v>
      </c>
      <c r="B2" s="7">
        <f ca="1">IFERROR(__xludf.DUMMYFUNCTION("""COMPUTED_VALUE"""),639.3)</f>
        <v>639.29999999999995</v>
      </c>
      <c r="C2" s="6"/>
      <c r="E2" s="12" t="s">
        <v>3</v>
      </c>
      <c r="F2" s="11">
        <f ca="1">AVERAGE(C:C)</f>
        <v>4.27682745136142E-4</v>
      </c>
    </row>
    <row r="3" spans="1:6" ht="12.75" x14ac:dyDescent="0.2">
      <c r="A3" s="8">
        <f ca="1">IFERROR(__xludf.DUMMYFUNCTION("""COMPUTED_VALUE"""),43832.6458333333)</f>
        <v>43832.645833333299</v>
      </c>
      <c r="B3" s="7">
        <f ca="1">IFERROR(__xludf.DUMMYFUNCTION("""COMPUTED_VALUE"""),643.38)</f>
        <v>643.38</v>
      </c>
      <c r="C3" s="6">
        <f t="shared" ref="C3:C257" ca="1" si="0">(B3/B2)-1</f>
        <v>6.3819802909432788E-3</v>
      </c>
      <c r="E3" s="12" t="s">
        <v>9</v>
      </c>
      <c r="F3" s="11">
        <f ca="1">STDEV(C:C)</f>
        <v>1.6209389850954062E-2</v>
      </c>
    </row>
    <row r="4" spans="1:6" ht="12.75" x14ac:dyDescent="0.2">
      <c r="A4" s="8">
        <f ca="1">IFERROR(__xludf.DUMMYFUNCTION("""COMPUTED_VALUE"""),43833.6458333333)</f>
        <v>43833.645833333299</v>
      </c>
      <c r="B4" s="7">
        <f ca="1">IFERROR(__xludf.DUMMYFUNCTION("""COMPUTED_VALUE"""),634.2)</f>
        <v>634.20000000000005</v>
      </c>
      <c r="C4" s="6">
        <f t="shared" ca="1" si="0"/>
        <v>-1.4268395038701809E-2</v>
      </c>
      <c r="E4" s="12" t="s">
        <v>5</v>
      </c>
      <c r="F4" s="11">
        <f ca="1">(B1484/B2)*(1/5)-1</f>
        <v>-0.68991083998122948</v>
      </c>
    </row>
    <row r="5" spans="1:6" ht="15.75" customHeight="1" x14ac:dyDescent="0.2">
      <c r="A5" s="8">
        <f ca="1">IFERROR(__xludf.DUMMYFUNCTION("""COMPUTED_VALUE"""),43836.6458333333)</f>
        <v>43836.645833333299</v>
      </c>
      <c r="B5" s="7">
        <f ca="1">IFERROR(__xludf.DUMMYFUNCTION("""COMPUTED_VALUE"""),620.48)</f>
        <v>620.48</v>
      </c>
      <c r="C5" s="6">
        <f t="shared" ca="1" si="0"/>
        <v>-2.1633554083885231E-2</v>
      </c>
    </row>
    <row r="6" spans="1:6" ht="15.75" customHeight="1" x14ac:dyDescent="0.2">
      <c r="A6" s="8">
        <f ca="1">IFERROR(__xludf.DUMMYFUNCTION("""COMPUTED_VALUE"""),43837.6458333333)</f>
        <v>43837.645833333299</v>
      </c>
      <c r="B6" s="7">
        <f ca="1">IFERROR(__xludf.DUMMYFUNCTION("""COMPUTED_VALUE"""),630.3)</f>
        <v>630.29999999999995</v>
      </c>
      <c r="C6" s="6">
        <f t="shared" ca="1" si="0"/>
        <v>1.5826456936565148E-2</v>
      </c>
    </row>
    <row r="7" spans="1:6" ht="15.75" customHeight="1" x14ac:dyDescent="0.2">
      <c r="A7" s="8">
        <f ca="1">IFERROR(__xludf.DUMMYFUNCTION("""COMPUTED_VALUE"""),43838.6458333333)</f>
        <v>43838.645833333299</v>
      </c>
      <c r="B7" s="7">
        <f ca="1">IFERROR(__xludf.DUMMYFUNCTION("""COMPUTED_VALUE"""),628.65)</f>
        <v>628.65</v>
      </c>
      <c r="C7" s="6">
        <f t="shared" ca="1" si="0"/>
        <v>-2.6178010471203939E-3</v>
      </c>
    </row>
    <row r="8" spans="1:6" ht="15.75" customHeight="1" x14ac:dyDescent="0.2">
      <c r="A8" s="8">
        <f ca="1">IFERROR(__xludf.DUMMYFUNCTION("""COMPUTED_VALUE"""),43839.6458333333)</f>
        <v>43839.645833333299</v>
      </c>
      <c r="B8" s="7">
        <f ca="1">IFERROR(__xludf.DUMMYFUNCTION("""COMPUTED_VALUE"""),635.7)</f>
        <v>635.70000000000005</v>
      </c>
      <c r="C8" s="6">
        <f t="shared" ca="1" si="0"/>
        <v>1.1214507277499619E-2</v>
      </c>
    </row>
    <row r="9" spans="1:6" ht="15.75" customHeight="1" x14ac:dyDescent="0.2">
      <c r="A9" s="8">
        <f ca="1">IFERROR(__xludf.DUMMYFUNCTION("""COMPUTED_VALUE"""),43840.6458333333)</f>
        <v>43840.645833333299</v>
      </c>
      <c r="B9" s="7">
        <f ca="1">IFERROR(__xludf.DUMMYFUNCTION("""COMPUTED_VALUE"""),641.35)</f>
        <v>641.35</v>
      </c>
      <c r="C9" s="6">
        <f t="shared" ca="1" si="0"/>
        <v>8.8878401761836034E-3</v>
      </c>
    </row>
    <row r="10" spans="1:6" ht="15.75" customHeight="1" x14ac:dyDescent="0.2">
      <c r="A10" s="8">
        <f ca="1">IFERROR(__xludf.DUMMYFUNCTION("""COMPUTED_VALUE"""),43843.6458333333)</f>
        <v>43843.645833333299</v>
      </c>
      <c r="B10" s="7">
        <f ca="1">IFERROR(__xludf.DUMMYFUNCTION("""COMPUTED_VALUE"""),643)</f>
        <v>643</v>
      </c>
      <c r="C10" s="6">
        <f t="shared" ca="1" si="0"/>
        <v>2.5726982147034061E-3</v>
      </c>
    </row>
    <row r="11" spans="1:6" ht="15.75" customHeight="1" x14ac:dyDescent="0.2">
      <c r="A11" s="8">
        <f ca="1">IFERROR(__xludf.DUMMYFUNCTION("""COMPUTED_VALUE"""),43844.6458333333)</f>
        <v>43844.645833333299</v>
      </c>
      <c r="B11" s="7">
        <f ca="1">IFERROR(__xludf.DUMMYFUNCTION("""COMPUTED_VALUE"""),644.75)</f>
        <v>644.75</v>
      </c>
      <c r="C11" s="6">
        <f t="shared" ca="1" si="0"/>
        <v>2.7216174183515296E-3</v>
      </c>
    </row>
    <row r="12" spans="1:6" ht="15.75" customHeight="1" x14ac:dyDescent="0.2">
      <c r="A12" s="8">
        <f ca="1">IFERROR(__xludf.DUMMYFUNCTION("""COMPUTED_VALUE"""),43845.6458333333)</f>
        <v>43845.645833333299</v>
      </c>
      <c r="B12" s="7">
        <f ca="1">IFERROR(__xludf.DUMMYFUNCTION("""COMPUTED_VALUE"""),642.13)</f>
        <v>642.13</v>
      </c>
      <c r="C12" s="6">
        <f t="shared" ca="1" si="0"/>
        <v>-4.0635905389686533E-3</v>
      </c>
    </row>
    <row r="13" spans="1:6" ht="15.75" customHeight="1" x14ac:dyDescent="0.2">
      <c r="A13" s="8">
        <f ca="1">IFERROR(__xludf.DUMMYFUNCTION("""COMPUTED_VALUE"""),43846.6458333333)</f>
        <v>43846.645833333299</v>
      </c>
      <c r="B13" s="7">
        <f ca="1">IFERROR(__xludf.DUMMYFUNCTION("""COMPUTED_VALUE"""),643.83)</f>
        <v>643.83000000000004</v>
      </c>
      <c r="C13" s="6">
        <f t="shared" ca="1" si="0"/>
        <v>2.6474389921045116E-3</v>
      </c>
    </row>
    <row r="14" spans="1:6" ht="15.75" customHeight="1" x14ac:dyDescent="0.2">
      <c r="A14" s="8">
        <f ca="1">IFERROR(__xludf.DUMMYFUNCTION("""COMPUTED_VALUE"""),43847.6458333333)</f>
        <v>43847.645833333299</v>
      </c>
      <c r="B14" s="7">
        <f ca="1">IFERROR(__xludf.DUMMYFUNCTION("""COMPUTED_VALUE"""),639.08)</f>
        <v>639.08000000000004</v>
      </c>
      <c r="C14" s="6">
        <f t="shared" ca="1" si="0"/>
        <v>-7.3777239333364664E-3</v>
      </c>
    </row>
    <row r="15" spans="1:6" ht="15.75" customHeight="1" x14ac:dyDescent="0.2">
      <c r="A15" s="8">
        <f ca="1">IFERROR(__xludf.DUMMYFUNCTION("""COMPUTED_VALUE"""),43850.6458333333)</f>
        <v>43850.645833333299</v>
      </c>
      <c r="B15" s="7">
        <f ca="1">IFERROR(__xludf.DUMMYFUNCTION("""COMPUTED_VALUE"""),627.45)</f>
        <v>627.45000000000005</v>
      </c>
      <c r="C15" s="6">
        <f t="shared" ca="1" si="0"/>
        <v>-1.8198034674845043E-2</v>
      </c>
    </row>
    <row r="16" spans="1:6" ht="15.75" customHeight="1" x14ac:dyDescent="0.2">
      <c r="A16" s="8">
        <f ca="1">IFERROR(__xludf.DUMMYFUNCTION("""COMPUTED_VALUE"""),43851.6458333333)</f>
        <v>43851.645833333299</v>
      </c>
      <c r="B16" s="7">
        <f ca="1">IFERROR(__xludf.DUMMYFUNCTION("""COMPUTED_VALUE"""),622.17)</f>
        <v>622.16999999999996</v>
      </c>
      <c r="C16" s="6">
        <f t="shared" ca="1" si="0"/>
        <v>-8.4150131484581614E-3</v>
      </c>
    </row>
    <row r="17" spans="1:3" ht="15.75" customHeight="1" x14ac:dyDescent="0.2">
      <c r="A17" s="8">
        <f ca="1">IFERROR(__xludf.DUMMYFUNCTION("""COMPUTED_VALUE"""),43852.6458333333)</f>
        <v>43852.645833333299</v>
      </c>
      <c r="B17" s="7">
        <f ca="1">IFERROR(__xludf.DUMMYFUNCTION("""COMPUTED_VALUE"""),620.42)</f>
        <v>620.41999999999996</v>
      </c>
      <c r="C17" s="6">
        <f t="shared" ca="1" si="0"/>
        <v>-2.8127360689200742E-3</v>
      </c>
    </row>
    <row r="18" spans="1:3" ht="15.75" customHeight="1" x14ac:dyDescent="0.2">
      <c r="A18" s="8">
        <f ca="1">IFERROR(__xludf.DUMMYFUNCTION("""COMPUTED_VALUE"""),43853.6458333333)</f>
        <v>43853.645833333299</v>
      </c>
      <c r="B18" s="7">
        <f ca="1">IFERROR(__xludf.DUMMYFUNCTION("""COMPUTED_VALUE"""),622.42)</f>
        <v>622.41999999999996</v>
      </c>
      <c r="C18" s="6">
        <f t="shared" ca="1" si="0"/>
        <v>3.223622707198448E-3</v>
      </c>
    </row>
    <row r="19" spans="1:3" ht="15.75" customHeight="1" x14ac:dyDescent="0.2">
      <c r="A19" s="8">
        <f ca="1">IFERROR(__xludf.DUMMYFUNCTION("""COMPUTED_VALUE"""),43854.6458333333)</f>
        <v>43854.645833333299</v>
      </c>
      <c r="B19" s="7">
        <f ca="1">IFERROR(__xludf.DUMMYFUNCTION("""COMPUTED_VALUE"""),622.28)</f>
        <v>622.28</v>
      </c>
      <c r="C19" s="6">
        <f t="shared" ca="1" si="0"/>
        <v>-2.2492850486810489E-4</v>
      </c>
    </row>
    <row r="20" spans="1:3" ht="15.75" customHeight="1" x14ac:dyDescent="0.2">
      <c r="A20" s="8">
        <f ca="1">IFERROR(__xludf.DUMMYFUNCTION("""COMPUTED_VALUE"""),43857.6458333333)</f>
        <v>43857.645833333299</v>
      </c>
      <c r="B20" s="7">
        <f ca="1">IFERROR(__xludf.DUMMYFUNCTION("""COMPUTED_VALUE"""),606.6)</f>
        <v>606.6</v>
      </c>
      <c r="C20" s="6">
        <f t="shared" ca="1" si="0"/>
        <v>-2.5197660217265438E-2</v>
      </c>
    </row>
    <row r="21" spans="1:3" ht="15.75" customHeight="1" x14ac:dyDescent="0.2">
      <c r="A21" s="8">
        <f ca="1">IFERROR(__xludf.DUMMYFUNCTION("""COMPUTED_VALUE"""),43858.6458333333)</f>
        <v>43858.645833333299</v>
      </c>
      <c r="B21" s="7">
        <f ca="1">IFERROR(__xludf.DUMMYFUNCTION("""COMPUTED_VALUE"""),611.6)</f>
        <v>611.6</v>
      </c>
      <c r="C21" s="6">
        <f t="shared" ca="1" si="0"/>
        <v>8.2426640290140796E-3</v>
      </c>
    </row>
    <row r="22" spans="1:3" ht="15.75" customHeight="1" x14ac:dyDescent="0.2">
      <c r="A22" s="8">
        <f ca="1">IFERROR(__xludf.DUMMYFUNCTION("""COMPUTED_VALUE"""),43859.6458333333)</f>
        <v>43859.645833333299</v>
      </c>
      <c r="B22" s="7">
        <f ca="1">IFERROR(__xludf.DUMMYFUNCTION("""COMPUTED_VALUE"""),617.92)</f>
        <v>617.91999999999996</v>
      </c>
      <c r="C22" s="6">
        <f t="shared" ca="1" si="0"/>
        <v>1.0333551340745428E-2</v>
      </c>
    </row>
    <row r="23" spans="1:3" ht="15.75" customHeight="1" x14ac:dyDescent="0.2">
      <c r="A23" s="8">
        <f ca="1">IFERROR(__xludf.DUMMYFUNCTION("""COMPUTED_VALUE"""),43860.6458333333)</f>
        <v>43860.645833333299</v>
      </c>
      <c r="B23" s="7">
        <f ca="1">IFERROR(__xludf.DUMMYFUNCTION("""COMPUTED_VALUE"""),613.03)</f>
        <v>613.03</v>
      </c>
      <c r="C23" s="6">
        <f t="shared" ca="1" si="0"/>
        <v>-7.9136457793889114E-3</v>
      </c>
    </row>
    <row r="24" spans="1:3" ht="15.75" customHeight="1" x14ac:dyDescent="0.2">
      <c r="A24" s="8">
        <f ca="1">IFERROR(__xludf.DUMMYFUNCTION("""COMPUTED_VALUE"""),43861.6458333333)</f>
        <v>43861.645833333299</v>
      </c>
      <c r="B24" s="7">
        <f ca="1">IFERROR(__xludf.DUMMYFUNCTION("""COMPUTED_VALUE"""),613.15)</f>
        <v>613.15</v>
      </c>
      <c r="C24" s="6">
        <f t="shared" ca="1" si="0"/>
        <v>1.957489845521021E-4</v>
      </c>
    </row>
    <row r="25" spans="1:3" ht="15.75" customHeight="1" x14ac:dyDescent="0.2">
      <c r="A25" s="8">
        <f ca="1">IFERROR(__xludf.DUMMYFUNCTION("""COMPUTED_VALUE"""),43862.7083333333)</f>
        <v>43862.708333333299</v>
      </c>
      <c r="B25" s="7">
        <f ca="1">IFERROR(__xludf.DUMMYFUNCTION("""COMPUTED_VALUE"""),599.88)</f>
        <v>599.88</v>
      </c>
      <c r="C25" s="6">
        <f t="shared" ca="1" si="0"/>
        <v>-2.1642338742558942E-2</v>
      </c>
    </row>
    <row r="26" spans="1:3" ht="15.75" customHeight="1" x14ac:dyDescent="0.2">
      <c r="A26" s="8">
        <f ca="1">IFERROR(__xludf.DUMMYFUNCTION("""COMPUTED_VALUE"""),43864.6458333333)</f>
        <v>43864.645833333299</v>
      </c>
      <c r="B26" s="7">
        <f ca="1">IFERROR(__xludf.DUMMYFUNCTION("""COMPUTED_VALUE"""),596.4)</f>
        <v>596.4</v>
      </c>
      <c r="C26" s="6">
        <f t="shared" ca="1" si="0"/>
        <v>-5.801160232046465E-3</v>
      </c>
    </row>
    <row r="27" spans="1:3" ht="15.75" customHeight="1" x14ac:dyDescent="0.2">
      <c r="A27" s="8">
        <f ca="1">IFERROR(__xludf.DUMMYFUNCTION("""COMPUTED_VALUE"""),43865.6458333333)</f>
        <v>43865.645833333299</v>
      </c>
      <c r="B27" s="7">
        <f ca="1">IFERROR(__xludf.DUMMYFUNCTION("""COMPUTED_VALUE"""),614.9)</f>
        <v>614.9</v>
      </c>
      <c r="C27" s="6">
        <f t="shared" ca="1" si="0"/>
        <v>3.1019450033534568E-2</v>
      </c>
    </row>
    <row r="28" spans="1:3" ht="15.75" customHeight="1" x14ac:dyDescent="0.2">
      <c r="A28" s="8">
        <f ca="1">IFERROR(__xludf.DUMMYFUNCTION("""COMPUTED_VALUE"""),43866.6458333333)</f>
        <v>43866.645833333299</v>
      </c>
      <c r="B28" s="7">
        <f ca="1">IFERROR(__xludf.DUMMYFUNCTION("""COMPUTED_VALUE"""),622.33)</f>
        <v>622.33000000000004</v>
      </c>
      <c r="C28" s="6">
        <f t="shared" ca="1" si="0"/>
        <v>1.2083265571637858E-2</v>
      </c>
    </row>
    <row r="29" spans="1:3" ht="15.75" customHeight="1" x14ac:dyDescent="0.2">
      <c r="A29" s="8">
        <f ca="1">IFERROR(__xludf.DUMMYFUNCTION("""COMPUTED_VALUE"""),43867.6458333333)</f>
        <v>43867.645833333299</v>
      </c>
      <c r="B29" s="7">
        <f ca="1">IFERROR(__xludf.DUMMYFUNCTION("""COMPUTED_VALUE"""),619.9)</f>
        <v>619.9</v>
      </c>
      <c r="C29" s="6">
        <f t="shared" ca="1" si="0"/>
        <v>-3.9046807963621921E-3</v>
      </c>
    </row>
    <row r="30" spans="1:3" ht="15.75" customHeight="1" x14ac:dyDescent="0.2">
      <c r="A30" s="8">
        <f ca="1">IFERROR(__xludf.DUMMYFUNCTION("""COMPUTED_VALUE"""),43868.6458333333)</f>
        <v>43868.645833333299</v>
      </c>
      <c r="B30" s="7">
        <f ca="1">IFERROR(__xludf.DUMMYFUNCTION("""COMPUTED_VALUE"""),621.1)</f>
        <v>621.1</v>
      </c>
      <c r="C30" s="6">
        <f t="shared" ca="1" si="0"/>
        <v>1.9357960961445819E-3</v>
      </c>
    </row>
    <row r="31" spans="1:3" ht="15.75" customHeight="1" x14ac:dyDescent="0.2">
      <c r="A31" s="8">
        <f ca="1">IFERROR(__xludf.DUMMYFUNCTION("""COMPUTED_VALUE"""),43871.6458333333)</f>
        <v>43871.645833333299</v>
      </c>
      <c r="B31" s="7">
        <f ca="1">IFERROR(__xludf.DUMMYFUNCTION("""COMPUTED_VALUE"""),620.15)</f>
        <v>620.15</v>
      </c>
      <c r="C31" s="6">
        <f t="shared" ca="1" si="0"/>
        <v>-1.5295443567864275E-3</v>
      </c>
    </row>
    <row r="32" spans="1:3" ht="15.75" customHeight="1" x14ac:dyDescent="0.2">
      <c r="A32" s="8">
        <f ca="1">IFERROR(__xludf.DUMMYFUNCTION("""COMPUTED_VALUE"""),43872.6458333333)</f>
        <v>43872.645833333299</v>
      </c>
      <c r="B32" s="7">
        <f ca="1">IFERROR(__xludf.DUMMYFUNCTION("""COMPUTED_VALUE"""),620.3)</f>
        <v>620.29999999999995</v>
      </c>
      <c r="C32" s="6">
        <f t="shared" ca="1" si="0"/>
        <v>2.4187696525035385E-4</v>
      </c>
    </row>
    <row r="33" spans="1:3" ht="15.75" customHeight="1" x14ac:dyDescent="0.2">
      <c r="A33" s="8">
        <f ca="1">IFERROR(__xludf.DUMMYFUNCTION("""COMPUTED_VALUE"""),43873.6458333333)</f>
        <v>43873.645833333299</v>
      </c>
      <c r="B33" s="7">
        <f ca="1">IFERROR(__xludf.DUMMYFUNCTION("""COMPUTED_VALUE"""),624.5)</f>
        <v>624.5</v>
      </c>
      <c r="C33" s="6">
        <f t="shared" ca="1" si="0"/>
        <v>6.7709172980816579E-3</v>
      </c>
    </row>
    <row r="34" spans="1:3" ht="15.75" customHeight="1" x14ac:dyDescent="0.2">
      <c r="A34" s="8">
        <f ca="1">IFERROR(__xludf.DUMMYFUNCTION("""COMPUTED_VALUE"""),43874.6458333333)</f>
        <v>43874.645833333299</v>
      </c>
      <c r="B34" s="7">
        <f ca="1">IFERROR(__xludf.DUMMYFUNCTION("""COMPUTED_VALUE"""),620.7)</f>
        <v>620.70000000000005</v>
      </c>
      <c r="C34" s="6">
        <f t="shared" ca="1" si="0"/>
        <v>-6.0848678943153933E-3</v>
      </c>
    </row>
    <row r="35" spans="1:3" ht="15.75" customHeight="1" x14ac:dyDescent="0.2">
      <c r="A35" s="8">
        <f ca="1">IFERROR(__xludf.DUMMYFUNCTION("""COMPUTED_VALUE"""),43875.6458333333)</f>
        <v>43875.645833333299</v>
      </c>
      <c r="B35" s="7">
        <f ca="1">IFERROR(__xludf.DUMMYFUNCTION("""COMPUTED_VALUE"""),609.67)</f>
        <v>609.66999999999996</v>
      </c>
      <c r="C35" s="6">
        <f t="shared" ca="1" si="0"/>
        <v>-1.7770259384566001E-2</v>
      </c>
    </row>
    <row r="36" spans="1:3" ht="15.75" customHeight="1" x14ac:dyDescent="0.2">
      <c r="A36" s="8">
        <f ca="1">IFERROR(__xludf.DUMMYFUNCTION("""COMPUTED_VALUE"""),43878.6458333333)</f>
        <v>43878.645833333299</v>
      </c>
      <c r="B36" s="7">
        <f ca="1">IFERROR(__xludf.DUMMYFUNCTION("""COMPUTED_VALUE"""),608.58)</f>
        <v>608.58000000000004</v>
      </c>
      <c r="C36" s="6">
        <f t="shared" ca="1" si="0"/>
        <v>-1.7878524447650923E-3</v>
      </c>
    </row>
    <row r="37" spans="1:3" ht="12.75" x14ac:dyDescent="0.2">
      <c r="A37" s="8">
        <f ca="1">IFERROR(__xludf.DUMMYFUNCTION("""COMPUTED_VALUE"""),43879.6458333333)</f>
        <v>43879.645833333299</v>
      </c>
      <c r="B37" s="7">
        <f ca="1">IFERROR(__xludf.DUMMYFUNCTION("""COMPUTED_VALUE"""),606.63)</f>
        <v>606.63</v>
      </c>
      <c r="C37" s="6">
        <f t="shared" ca="1" si="0"/>
        <v>-3.2041802228138794E-3</v>
      </c>
    </row>
    <row r="38" spans="1:3" ht="12.75" x14ac:dyDescent="0.2">
      <c r="A38" s="8">
        <f ca="1">IFERROR(__xludf.DUMMYFUNCTION("""COMPUTED_VALUE"""),43880.6458333333)</f>
        <v>43880.645833333299</v>
      </c>
      <c r="B38" s="7">
        <f ca="1">IFERROR(__xludf.DUMMYFUNCTION("""COMPUTED_VALUE"""),613.6)</f>
        <v>613.6</v>
      </c>
      <c r="C38" s="6">
        <f t="shared" ca="1" si="0"/>
        <v>1.1489705421756202E-2</v>
      </c>
    </row>
    <row r="39" spans="1:3" ht="12.75" x14ac:dyDescent="0.2">
      <c r="A39" s="8">
        <f ca="1">IFERROR(__xludf.DUMMYFUNCTION("""COMPUTED_VALUE"""),43881.6458333333)</f>
        <v>43881.645833333299</v>
      </c>
      <c r="B39" s="7">
        <f ca="1">IFERROR(__xludf.DUMMYFUNCTION("""COMPUTED_VALUE"""),608.55)</f>
        <v>608.54999999999995</v>
      </c>
      <c r="C39" s="6">
        <f t="shared" ca="1" si="0"/>
        <v>-8.230117340286891E-3</v>
      </c>
    </row>
    <row r="40" spans="1:3" ht="12.75" x14ac:dyDescent="0.2">
      <c r="A40" s="8">
        <f ca="1">IFERROR(__xludf.DUMMYFUNCTION("""COMPUTED_VALUE"""),43885.6458333333)</f>
        <v>43885.645833333299</v>
      </c>
      <c r="B40" s="7">
        <f ca="1">IFERROR(__xludf.DUMMYFUNCTION("""COMPUTED_VALUE"""),604.98)</f>
        <v>604.98</v>
      </c>
      <c r="C40" s="6">
        <f t="shared" ca="1" si="0"/>
        <v>-5.8664037466107377E-3</v>
      </c>
    </row>
    <row r="41" spans="1:3" ht="12.75" x14ac:dyDescent="0.2">
      <c r="A41" s="8">
        <f ca="1">IFERROR(__xludf.DUMMYFUNCTION("""COMPUTED_VALUE"""),43886.6458333333)</f>
        <v>43886.645833333299</v>
      </c>
      <c r="B41" s="7">
        <f ca="1">IFERROR(__xludf.DUMMYFUNCTION("""COMPUTED_VALUE"""),600.15)</f>
        <v>600.15</v>
      </c>
      <c r="C41" s="6">
        <f t="shared" ca="1" si="0"/>
        <v>-7.9837349995042217E-3</v>
      </c>
    </row>
    <row r="42" spans="1:3" ht="12.75" x14ac:dyDescent="0.2">
      <c r="A42" s="8">
        <f ca="1">IFERROR(__xludf.DUMMYFUNCTION("""COMPUTED_VALUE"""),43887.6458333333)</f>
        <v>43887.645833333299</v>
      </c>
      <c r="B42" s="7">
        <f ca="1">IFERROR(__xludf.DUMMYFUNCTION("""COMPUTED_VALUE"""),599.63)</f>
        <v>599.63</v>
      </c>
      <c r="C42" s="6">
        <f t="shared" ca="1" si="0"/>
        <v>-8.6645005415308951E-4</v>
      </c>
    </row>
    <row r="43" spans="1:3" ht="12.75" x14ac:dyDescent="0.2">
      <c r="A43" s="8">
        <f ca="1">IFERROR(__xludf.DUMMYFUNCTION("""COMPUTED_VALUE"""),43888.6458333333)</f>
        <v>43888.645833333299</v>
      </c>
      <c r="B43" s="7">
        <f ca="1">IFERROR(__xludf.DUMMYFUNCTION("""COMPUTED_VALUE"""),599.73)</f>
        <v>599.73</v>
      </c>
      <c r="C43" s="6">
        <f t="shared" ca="1" si="0"/>
        <v>1.6676950786331801E-4</v>
      </c>
    </row>
    <row r="44" spans="1:3" ht="12.75" x14ac:dyDescent="0.2">
      <c r="A44" s="8">
        <f ca="1">IFERROR(__xludf.DUMMYFUNCTION("""COMPUTED_VALUE"""),43889.6458333333)</f>
        <v>43889.645833333299</v>
      </c>
      <c r="B44" s="7">
        <f ca="1">IFERROR(__xludf.DUMMYFUNCTION("""COMPUTED_VALUE"""),588.83)</f>
        <v>588.83000000000004</v>
      </c>
      <c r="C44" s="6">
        <f t="shared" ca="1" si="0"/>
        <v>-1.817484534707281E-2</v>
      </c>
    </row>
    <row r="45" spans="1:3" ht="12.75" x14ac:dyDescent="0.2">
      <c r="A45" s="8">
        <f ca="1">IFERROR(__xludf.DUMMYFUNCTION("""COMPUTED_VALUE"""),43892.6458333333)</f>
        <v>43892.645833333299</v>
      </c>
      <c r="B45" s="7">
        <f ca="1">IFERROR(__xludf.DUMMYFUNCTION("""COMPUTED_VALUE"""),589.8)</f>
        <v>589.79999999999995</v>
      </c>
      <c r="C45" s="6">
        <f t="shared" ca="1" si="0"/>
        <v>1.6473345447751697E-3</v>
      </c>
    </row>
    <row r="46" spans="1:3" ht="12.75" x14ac:dyDescent="0.2">
      <c r="A46" s="8">
        <f ca="1">IFERROR(__xludf.DUMMYFUNCTION("""COMPUTED_VALUE"""),43893.6458333333)</f>
        <v>43893.645833333299</v>
      </c>
      <c r="B46" s="7">
        <f ca="1">IFERROR(__xludf.DUMMYFUNCTION("""COMPUTED_VALUE"""),590.9)</f>
        <v>590.9</v>
      </c>
      <c r="C46" s="6">
        <f t="shared" ca="1" si="0"/>
        <v>1.8650389962699965E-3</v>
      </c>
    </row>
    <row r="47" spans="1:3" ht="12.75" x14ac:dyDescent="0.2">
      <c r="A47" s="8">
        <f ca="1">IFERROR(__xludf.DUMMYFUNCTION("""COMPUTED_VALUE"""),43894.6458333333)</f>
        <v>43894.645833333299</v>
      </c>
      <c r="B47" s="7">
        <f ca="1">IFERROR(__xludf.DUMMYFUNCTION("""COMPUTED_VALUE"""),574.42)</f>
        <v>574.41999999999996</v>
      </c>
      <c r="C47" s="6">
        <f t="shared" ca="1" si="0"/>
        <v>-2.7889659840920622E-2</v>
      </c>
    </row>
    <row r="48" spans="1:3" ht="12.75" x14ac:dyDescent="0.2">
      <c r="A48" s="8">
        <f ca="1">IFERROR(__xludf.DUMMYFUNCTION("""COMPUTED_VALUE"""),43895.6458333333)</f>
        <v>43895.645833333299</v>
      </c>
      <c r="B48" s="7">
        <f ca="1">IFERROR(__xludf.DUMMYFUNCTION("""COMPUTED_VALUE"""),575.67)</f>
        <v>575.66999999999996</v>
      </c>
      <c r="C48" s="6">
        <f t="shared" ca="1" si="0"/>
        <v>2.1761080742312977E-3</v>
      </c>
    </row>
    <row r="49" spans="1:4" ht="12.75" x14ac:dyDescent="0.2">
      <c r="A49" s="8">
        <f ca="1">IFERROR(__xludf.DUMMYFUNCTION("""COMPUTED_VALUE"""),43896.6458333333)</f>
        <v>43896.645833333299</v>
      </c>
      <c r="B49" s="7">
        <f ca="1">IFERROR(__xludf.DUMMYFUNCTION("""COMPUTED_VALUE"""),567.45)</f>
        <v>567.45000000000005</v>
      </c>
      <c r="C49" s="6">
        <f t="shared" ca="1" si="0"/>
        <v>-1.4279014018447889E-2</v>
      </c>
    </row>
    <row r="50" spans="1:4" ht="12.75" x14ac:dyDescent="0.2">
      <c r="A50" s="8">
        <f ca="1">IFERROR(__xludf.DUMMYFUNCTION("""COMPUTED_VALUE"""),43899.6458333333)</f>
        <v>43899.645833333299</v>
      </c>
      <c r="B50" s="7">
        <f ca="1">IFERROR(__xludf.DUMMYFUNCTION("""COMPUTED_VALUE"""),553.65)</f>
        <v>553.65</v>
      </c>
      <c r="C50" s="6">
        <f t="shared" ca="1" si="0"/>
        <v>-2.4319323288395589E-2</v>
      </c>
    </row>
    <row r="51" spans="1:4" ht="12.75" x14ac:dyDescent="0.2">
      <c r="A51" s="8">
        <f ca="1">IFERROR(__xludf.DUMMYFUNCTION("""COMPUTED_VALUE"""),43901.6458333333)</f>
        <v>43901.645833333299</v>
      </c>
      <c r="B51" s="7">
        <f ca="1">IFERROR(__xludf.DUMMYFUNCTION("""COMPUTED_VALUE"""),556.9)</f>
        <v>556.9</v>
      </c>
      <c r="C51" s="6">
        <f t="shared" ca="1" si="0"/>
        <v>5.8701345615461697E-3</v>
      </c>
      <c r="D51" s="7">
        <f t="shared" ref="D51:D305" ca="1" si="1">AVERAGE(B2/B51)</f>
        <v>1.1479619321242593</v>
      </c>
    </row>
    <row r="52" spans="1:4" ht="12.75" x14ac:dyDescent="0.2">
      <c r="A52" s="8">
        <f ca="1">IFERROR(__xludf.DUMMYFUNCTION("""COMPUTED_VALUE"""),43902.6458333333)</f>
        <v>43902.645833333299</v>
      </c>
      <c r="B52" s="7">
        <f ca="1">IFERROR(__xludf.DUMMYFUNCTION("""COMPUTED_VALUE"""),510.65)</f>
        <v>510.65</v>
      </c>
      <c r="C52" s="6">
        <f t="shared" ca="1" si="0"/>
        <v>-8.3049021368288733E-2</v>
      </c>
      <c r="D52" s="7">
        <f t="shared" ca="1" si="1"/>
        <v>1.2599236267502203</v>
      </c>
    </row>
    <row r="53" spans="1:4" ht="12.75" x14ac:dyDescent="0.2">
      <c r="A53" s="8">
        <f ca="1">IFERROR(__xludf.DUMMYFUNCTION("""COMPUTED_VALUE"""),43903.6458333333)</f>
        <v>43903.645833333299</v>
      </c>
      <c r="B53" s="7">
        <f ca="1">IFERROR(__xludf.DUMMYFUNCTION("""COMPUTED_VALUE"""),534.9)</f>
        <v>534.9</v>
      </c>
      <c r="C53" s="6">
        <f t="shared" ca="1" si="0"/>
        <v>4.74884950553216E-2</v>
      </c>
      <c r="D53" s="7">
        <f t="shared" ca="1" si="1"/>
        <v>1.1856421761076839</v>
      </c>
    </row>
    <row r="54" spans="1:4" ht="12.75" x14ac:dyDescent="0.2">
      <c r="A54" s="8">
        <f ca="1">IFERROR(__xludf.DUMMYFUNCTION("""COMPUTED_VALUE"""),43906.6458333333)</f>
        <v>43906.645833333299</v>
      </c>
      <c r="B54" s="7">
        <f ca="1">IFERROR(__xludf.DUMMYFUNCTION("""COMPUTED_VALUE"""),499.75)</f>
        <v>499.75</v>
      </c>
      <c r="C54" s="6">
        <f t="shared" ca="1" si="0"/>
        <v>-6.5713217423817527E-2</v>
      </c>
      <c r="D54" s="7">
        <f t="shared" ca="1" si="1"/>
        <v>1.2415807903951976</v>
      </c>
    </row>
    <row r="55" spans="1:4" ht="12.75" x14ac:dyDescent="0.2">
      <c r="A55" s="8">
        <f ca="1">IFERROR(__xludf.DUMMYFUNCTION("""COMPUTED_VALUE"""),43907.6458333333)</f>
        <v>43907.645833333299</v>
      </c>
      <c r="B55" s="7">
        <f ca="1">IFERROR(__xludf.DUMMYFUNCTION("""COMPUTED_VALUE"""),487.55)</f>
        <v>487.55</v>
      </c>
      <c r="C55" s="6">
        <f t="shared" ca="1" si="0"/>
        <v>-2.4412206103051504E-2</v>
      </c>
      <c r="D55" s="7">
        <f t="shared" ca="1" si="1"/>
        <v>1.2927904830273818</v>
      </c>
    </row>
    <row r="56" spans="1:4" ht="12.75" x14ac:dyDescent="0.2">
      <c r="A56" s="8">
        <f ca="1">IFERROR(__xludf.DUMMYFUNCTION("""COMPUTED_VALUE"""),43908.6458333333)</f>
        <v>43908.645833333299</v>
      </c>
      <c r="B56" s="7">
        <f ca="1">IFERROR(__xludf.DUMMYFUNCTION("""COMPUTED_VALUE"""),438.45)</f>
        <v>438.45</v>
      </c>
      <c r="C56" s="6">
        <f t="shared" ca="1" si="0"/>
        <v>-0.10070761973130971</v>
      </c>
      <c r="D56" s="7">
        <f t="shared" ca="1" si="1"/>
        <v>1.4338008894970919</v>
      </c>
    </row>
    <row r="57" spans="1:4" ht="12.75" x14ac:dyDescent="0.2">
      <c r="A57" s="8">
        <f ca="1">IFERROR(__xludf.DUMMYFUNCTION("""COMPUTED_VALUE"""),43909.6458333333)</f>
        <v>43909.645833333299</v>
      </c>
      <c r="B57" s="7">
        <f ca="1">IFERROR(__xludf.DUMMYFUNCTION("""COMPUTED_VALUE"""),447.78)</f>
        <v>447.78</v>
      </c>
      <c r="C57" s="6">
        <f t="shared" ca="1" si="0"/>
        <v>2.1279507355456584E-2</v>
      </c>
      <c r="D57" s="7">
        <f t="shared" ca="1" si="1"/>
        <v>1.4196703738442986</v>
      </c>
    </row>
    <row r="58" spans="1:4" ht="12.75" x14ac:dyDescent="0.2">
      <c r="A58" s="8">
        <f ca="1">IFERROR(__xludf.DUMMYFUNCTION("""COMPUTED_VALUE"""),43910.6458333333)</f>
        <v>43910.645833333299</v>
      </c>
      <c r="B58" s="7">
        <f ca="1">IFERROR(__xludf.DUMMYFUNCTION("""COMPUTED_VALUE"""),441.43)</f>
        <v>441.43</v>
      </c>
      <c r="C58" s="6">
        <f t="shared" ca="1" si="0"/>
        <v>-1.4181071061681982E-2</v>
      </c>
      <c r="D58" s="7">
        <f t="shared" ca="1" si="1"/>
        <v>1.4528917382144395</v>
      </c>
    </row>
    <row r="59" spans="1:4" ht="12.75" x14ac:dyDescent="0.2">
      <c r="A59" s="8">
        <f ca="1">IFERROR(__xludf.DUMMYFUNCTION("""COMPUTED_VALUE"""),43913.6458333333)</f>
        <v>43913.645833333299</v>
      </c>
      <c r="B59" s="7">
        <f ca="1">IFERROR(__xludf.DUMMYFUNCTION("""COMPUTED_VALUE"""),385.78)</f>
        <v>385.78</v>
      </c>
      <c r="C59" s="6">
        <f t="shared" ca="1" si="0"/>
        <v>-0.12606755317943963</v>
      </c>
      <c r="D59" s="7">
        <f t="shared" ca="1" si="1"/>
        <v>1.6667530716988959</v>
      </c>
    </row>
    <row r="60" spans="1:4" ht="12.75" x14ac:dyDescent="0.2">
      <c r="A60" s="8">
        <f ca="1">IFERROR(__xludf.DUMMYFUNCTION("""COMPUTED_VALUE"""),43914.6458333333)</f>
        <v>43914.645833333299</v>
      </c>
      <c r="B60" s="7">
        <f ca="1">IFERROR(__xludf.DUMMYFUNCTION("""COMPUTED_VALUE"""),383.85)</f>
        <v>383.85</v>
      </c>
      <c r="C60" s="6">
        <f t="shared" ca="1" si="0"/>
        <v>-5.0028513660633767E-3</v>
      </c>
      <c r="D60" s="7">
        <f t="shared" ca="1" si="1"/>
        <v>1.6796925882506186</v>
      </c>
    </row>
    <row r="61" spans="1:4" ht="12.75" x14ac:dyDescent="0.2">
      <c r="A61" s="8">
        <f ca="1">IFERROR(__xludf.DUMMYFUNCTION("""COMPUTED_VALUE"""),43915.6458333333)</f>
        <v>43915.645833333299</v>
      </c>
      <c r="B61" s="7">
        <f ca="1">IFERROR(__xludf.DUMMYFUNCTION("""COMPUTED_VALUE"""),428.38)</f>
        <v>428.38</v>
      </c>
      <c r="C61" s="6">
        <f t="shared" ca="1" si="0"/>
        <v>0.11600885762667712</v>
      </c>
      <c r="D61" s="7">
        <f t="shared" ca="1" si="1"/>
        <v>1.4989728745506326</v>
      </c>
    </row>
    <row r="62" spans="1:4" ht="12.75" x14ac:dyDescent="0.2">
      <c r="A62" s="8">
        <f ca="1">IFERROR(__xludf.DUMMYFUNCTION("""COMPUTED_VALUE"""),43916.6458333333)</f>
        <v>43916.645833333299</v>
      </c>
      <c r="B62" s="7">
        <f ca="1">IFERROR(__xludf.DUMMYFUNCTION("""COMPUTED_VALUE"""),450.55)</f>
        <v>450.55</v>
      </c>
      <c r="C62" s="6">
        <f t="shared" ca="1" si="0"/>
        <v>5.175311639198843E-2</v>
      </c>
      <c r="D62" s="7">
        <f t="shared" ca="1" si="1"/>
        <v>1.4289867939185441</v>
      </c>
    </row>
    <row r="63" spans="1:4" ht="12.75" x14ac:dyDescent="0.2">
      <c r="A63" s="8">
        <f ca="1">IFERROR(__xludf.DUMMYFUNCTION("""COMPUTED_VALUE"""),43917.6458333333)</f>
        <v>43917.645833333299</v>
      </c>
      <c r="B63" s="7">
        <f ca="1">IFERROR(__xludf.DUMMYFUNCTION("""COMPUTED_VALUE"""),452.23)</f>
        <v>452.23</v>
      </c>
      <c r="C63" s="6">
        <f t="shared" ca="1" si="0"/>
        <v>3.7287759405171261E-3</v>
      </c>
      <c r="D63" s="7">
        <f t="shared" ca="1" si="1"/>
        <v>1.4131747119828406</v>
      </c>
    </row>
    <row r="64" spans="1:4" ht="12.75" x14ac:dyDescent="0.2">
      <c r="A64" s="8">
        <f ca="1">IFERROR(__xludf.DUMMYFUNCTION("""COMPUTED_VALUE"""),43920.6458333333)</f>
        <v>43920.645833333299</v>
      </c>
      <c r="B64" s="7">
        <f ca="1">IFERROR(__xludf.DUMMYFUNCTION("""COMPUTED_VALUE"""),415.83)</f>
        <v>415.83</v>
      </c>
      <c r="C64" s="6">
        <f t="shared" ca="1" si="0"/>
        <v>-8.0490016142228615E-2</v>
      </c>
      <c r="D64" s="7">
        <f t="shared" ca="1" si="1"/>
        <v>1.5089098910612511</v>
      </c>
    </row>
    <row r="65" spans="1:4" ht="12.75" x14ac:dyDescent="0.2">
      <c r="A65" s="8">
        <f ca="1">IFERROR(__xludf.DUMMYFUNCTION("""COMPUTED_VALUE"""),43921.6458333333)</f>
        <v>43921.645833333299</v>
      </c>
      <c r="B65" s="7">
        <f ca="1">IFERROR(__xludf.DUMMYFUNCTION("""COMPUTED_VALUE"""),430.95)</f>
        <v>430.95</v>
      </c>
      <c r="C65" s="6">
        <f t="shared" ca="1" si="0"/>
        <v>3.6361012913931123E-2</v>
      </c>
      <c r="D65" s="7">
        <f t="shared" ca="1" si="1"/>
        <v>1.4437173686042464</v>
      </c>
    </row>
    <row r="66" spans="1:4" ht="12.75" x14ac:dyDescent="0.2">
      <c r="A66" s="8">
        <f ca="1">IFERROR(__xludf.DUMMYFUNCTION("""COMPUTED_VALUE"""),43922.6458333333)</f>
        <v>43922.645833333299</v>
      </c>
      <c r="B66" s="7">
        <f ca="1">IFERROR(__xludf.DUMMYFUNCTION("""COMPUTED_VALUE"""),414.83)</f>
        <v>414.83</v>
      </c>
      <c r="C66" s="6">
        <f t="shared" ca="1" si="0"/>
        <v>-3.740573152337856E-2</v>
      </c>
      <c r="D66" s="7">
        <f t="shared" ca="1" si="1"/>
        <v>1.4956006074777619</v>
      </c>
    </row>
    <row r="67" spans="1:4" ht="12.75" x14ac:dyDescent="0.2">
      <c r="A67" s="8">
        <f ca="1">IFERROR(__xludf.DUMMYFUNCTION("""COMPUTED_VALUE"""),43924.6458333333)</f>
        <v>43924.645833333299</v>
      </c>
      <c r="B67" s="7">
        <f ca="1">IFERROR(__xludf.DUMMYFUNCTION("""COMPUTED_VALUE"""),406.93)</f>
        <v>406.93</v>
      </c>
      <c r="C67" s="6">
        <f t="shared" ca="1" si="0"/>
        <v>-1.9043945712701515E-2</v>
      </c>
      <c r="D67" s="7">
        <f t="shared" ca="1" si="1"/>
        <v>1.5295505369473863</v>
      </c>
    </row>
    <row r="68" spans="1:4" ht="12.75" x14ac:dyDescent="0.2">
      <c r="A68" s="8">
        <f ca="1">IFERROR(__xludf.DUMMYFUNCTION("""COMPUTED_VALUE"""),43928.6458333333)</f>
        <v>43928.645833333299</v>
      </c>
      <c r="B68" s="7">
        <f ca="1">IFERROR(__xludf.DUMMYFUNCTION("""COMPUTED_VALUE"""),448.05)</f>
        <v>448.05</v>
      </c>
      <c r="C68" s="6">
        <f t="shared" ca="1" si="0"/>
        <v>0.10104932052195714</v>
      </c>
      <c r="D68" s="7">
        <f t="shared" ca="1" si="1"/>
        <v>1.3888628501283338</v>
      </c>
    </row>
    <row r="69" spans="1:4" ht="12.75" x14ac:dyDescent="0.2">
      <c r="A69" s="8">
        <f ca="1">IFERROR(__xludf.DUMMYFUNCTION("""COMPUTED_VALUE"""),43929.6458333333)</f>
        <v>43929.645833333299</v>
      </c>
      <c r="B69" s="7">
        <f ca="1">IFERROR(__xludf.DUMMYFUNCTION("""COMPUTED_VALUE"""),444.45)</f>
        <v>444.45</v>
      </c>
      <c r="C69" s="6">
        <f t="shared" ca="1" si="0"/>
        <v>-8.0348175426849799E-3</v>
      </c>
      <c r="D69" s="7">
        <f t="shared" ca="1" si="1"/>
        <v>1.3648329395882552</v>
      </c>
    </row>
    <row r="70" spans="1:4" ht="12.75" x14ac:dyDescent="0.2">
      <c r="A70" s="8">
        <f ca="1">IFERROR(__xludf.DUMMYFUNCTION("""COMPUTED_VALUE"""),43930.6458333333)</f>
        <v>43930.645833333299</v>
      </c>
      <c r="B70" s="7">
        <f ca="1">IFERROR(__xludf.DUMMYFUNCTION("""COMPUTED_VALUE"""),462.53)</f>
        <v>462.53</v>
      </c>
      <c r="C70" s="6">
        <f t="shared" ca="1" si="0"/>
        <v>4.0679491506356191E-2</v>
      </c>
      <c r="D70" s="7">
        <f t="shared" ca="1" si="1"/>
        <v>1.3222926080470456</v>
      </c>
    </row>
    <row r="71" spans="1:4" ht="12.75" x14ac:dyDescent="0.2">
      <c r="A71" s="8">
        <f ca="1">IFERROR(__xludf.DUMMYFUNCTION("""COMPUTED_VALUE"""),43934.6458333333)</f>
        <v>43934.645833333299</v>
      </c>
      <c r="B71" s="7">
        <f ca="1">IFERROR(__xludf.DUMMYFUNCTION("""COMPUTED_VALUE"""),447.68)</f>
        <v>447.68</v>
      </c>
      <c r="C71" s="6">
        <f t="shared" ca="1" si="0"/>
        <v>-3.2106025555099005E-2</v>
      </c>
      <c r="D71" s="7">
        <f t="shared" ca="1" si="1"/>
        <v>1.3802716225875624</v>
      </c>
    </row>
    <row r="72" spans="1:4" ht="12.75" x14ac:dyDescent="0.2">
      <c r="A72" s="8">
        <f ca="1">IFERROR(__xludf.DUMMYFUNCTION("""COMPUTED_VALUE"""),43936.6458333333)</f>
        <v>43936.645833333299</v>
      </c>
      <c r="B72" s="7">
        <f ca="1">IFERROR(__xludf.DUMMYFUNCTION("""COMPUTED_VALUE"""),431.65)</f>
        <v>431.65</v>
      </c>
      <c r="C72" s="6">
        <f t="shared" ca="1" si="0"/>
        <v>-3.580682630450327E-2</v>
      </c>
      <c r="D72" s="7">
        <f t="shared" ca="1" si="1"/>
        <v>1.4202015521834821</v>
      </c>
    </row>
    <row r="73" spans="1:4" ht="12.75" x14ac:dyDescent="0.2">
      <c r="A73" s="8">
        <f ca="1">IFERROR(__xludf.DUMMYFUNCTION("""COMPUTED_VALUE"""),43937.6458333333)</f>
        <v>43937.645833333299</v>
      </c>
      <c r="B73" s="7">
        <f ca="1">IFERROR(__xludf.DUMMYFUNCTION("""COMPUTED_VALUE"""),439.88)</f>
        <v>439.88</v>
      </c>
      <c r="C73" s="6">
        <f t="shared" ca="1" si="0"/>
        <v>1.9066373219043253E-2</v>
      </c>
      <c r="D73" s="7">
        <f t="shared" ca="1" si="1"/>
        <v>1.3939028826043467</v>
      </c>
    </row>
    <row r="74" spans="1:4" ht="12.75" x14ac:dyDescent="0.2">
      <c r="A74" s="8">
        <f ca="1">IFERROR(__xludf.DUMMYFUNCTION("""COMPUTED_VALUE"""),43938.6458333333)</f>
        <v>43938.645833333299</v>
      </c>
      <c r="B74" s="7">
        <f ca="1">IFERROR(__xludf.DUMMYFUNCTION("""COMPUTED_VALUE"""),455.15)</f>
        <v>455.15</v>
      </c>
      <c r="C74" s="6">
        <f t="shared" ca="1" si="0"/>
        <v>3.4714012912612446E-2</v>
      </c>
      <c r="D74" s="7">
        <f t="shared" ca="1" si="1"/>
        <v>1.3179830825002747</v>
      </c>
    </row>
    <row r="75" spans="1:4" ht="12.75" x14ac:dyDescent="0.2">
      <c r="A75" s="8">
        <f ca="1">IFERROR(__xludf.DUMMYFUNCTION("""COMPUTED_VALUE"""),43941.6458333333)</f>
        <v>43941.645833333299</v>
      </c>
      <c r="B75" s="7">
        <f ca="1">IFERROR(__xludf.DUMMYFUNCTION("""COMPUTED_VALUE"""),472.43)</f>
        <v>472.43</v>
      </c>
      <c r="C75" s="6">
        <f t="shared" ca="1" si="0"/>
        <v>3.7965505877183503E-2</v>
      </c>
      <c r="D75" s="7">
        <f t="shared" ca="1" si="1"/>
        <v>1.2624092458141947</v>
      </c>
    </row>
    <row r="76" spans="1:4" ht="12.75" x14ac:dyDescent="0.2">
      <c r="A76" s="8">
        <f ca="1">IFERROR(__xludf.DUMMYFUNCTION("""COMPUTED_VALUE"""),43942.6458333333)</f>
        <v>43942.645833333299</v>
      </c>
      <c r="B76" s="7">
        <f ca="1">IFERROR(__xludf.DUMMYFUNCTION("""COMPUTED_VALUE"""),460.83)</f>
        <v>460.83</v>
      </c>
      <c r="C76" s="6">
        <f t="shared" ca="1" si="0"/>
        <v>-2.455390216540021E-2</v>
      </c>
      <c r="D76" s="7">
        <f t="shared" ca="1" si="1"/>
        <v>1.3343315322353146</v>
      </c>
    </row>
    <row r="77" spans="1:4" ht="12.75" x14ac:dyDescent="0.2">
      <c r="A77" s="8">
        <f ca="1">IFERROR(__xludf.DUMMYFUNCTION("""COMPUTED_VALUE"""),43943.6458333333)</f>
        <v>43943.645833333299</v>
      </c>
      <c r="B77" s="7">
        <f ca="1">IFERROR(__xludf.DUMMYFUNCTION("""COMPUTED_VALUE"""),464.3)</f>
        <v>464.3</v>
      </c>
      <c r="C77" s="6">
        <f t="shared" ca="1" si="0"/>
        <v>7.5298917171191526E-3</v>
      </c>
      <c r="D77" s="7">
        <f t="shared" ca="1" si="1"/>
        <v>1.3403618350204609</v>
      </c>
    </row>
    <row r="78" spans="1:4" ht="12.75" x14ac:dyDescent="0.2">
      <c r="A78" s="8">
        <f ca="1">IFERROR(__xludf.DUMMYFUNCTION("""COMPUTED_VALUE"""),43944.6458333333)</f>
        <v>43944.645833333299</v>
      </c>
      <c r="B78" s="7">
        <f ca="1">IFERROR(__xludf.DUMMYFUNCTION("""COMPUTED_VALUE"""),477.48)</f>
        <v>477.48</v>
      </c>
      <c r="C78" s="6">
        <f t="shared" ca="1" si="0"/>
        <v>2.8386818867111696E-2</v>
      </c>
      <c r="D78" s="7">
        <f t="shared" ca="1" si="1"/>
        <v>1.2982742732679902</v>
      </c>
    </row>
    <row r="79" spans="1:4" ht="12.75" x14ac:dyDescent="0.2">
      <c r="A79" s="8">
        <f ca="1">IFERROR(__xludf.DUMMYFUNCTION("""COMPUTED_VALUE"""),43945.6458333333)</f>
        <v>43945.645833333299</v>
      </c>
      <c r="B79" s="7">
        <f ca="1">IFERROR(__xludf.DUMMYFUNCTION("""COMPUTED_VALUE"""),469.03)</f>
        <v>469.03</v>
      </c>
      <c r="C79" s="6">
        <f t="shared" ca="1" si="0"/>
        <v>-1.7697076317332749E-2</v>
      </c>
      <c r="D79" s="7">
        <f t="shared" ca="1" si="1"/>
        <v>1.3242223311941668</v>
      </c>
    </row>
    <row r="80" spans="1:4" ht="12.75" x14ac:dyDescent="0.2">
      <c r="A80" s="8">
        <f ca="1">IFERROR(__xludf.DUMMYFUNCTION("""COMPUTED_VALUE"""),43948.6458333333)</f>
        <v>43948.645833333299</v>
      </c>
      <c r="B80" s="7">
        <f ca="1">IFERROR(__xludf.DUMMYFUNCTION("""COMPUTED_VALUE"""),464.85)</f>
        <v>464.85</v>
      </c>
      <c r="C80" s="6">
        <f t="shared" ca="1" si="0"/>
        <v>-8.912009892757311E-3</v>
      </c>
      <c r="D80" s="7">
        <f t="shared" ca="1" si="1"/>
        <v>1.3340862643863611</v>
      </c>
    </row>
    <row r="81" spans="1:4" ht="12.75" x14ac:dyDescent="0.2">
      <c r="A81" s="8">
        <f ca="1">IFERROR(__xludf.DUMMYFUNCTION("""COMPUTED_VALUE"""),43949.6458333333)</f>
        <v>43949.645833333299</v>
      </c>
      <c r="B81" s="7">
        <f ca="1">IFERROR(__xludf.DUMMYFUNCTION("""COMPUTED_VALUE"""),465.7)</f>
        <v>465.7</v>
      </c>
      <c r="C81" s="6">
        <f t="shared" ca="1" si="0"/>
        <v>1.8285468430676577E-3</v>
      </c>
      <c r="D81" s="7">
        <f t="shared" ca="1" si="1"/>
        <v>1.3319733734163623</v>
      </c>
    </row>
    <row r="82" spans="1:4" ht="12.75" x14ac:dyDescent="0.2">
      <c r="A82" s="8">
        <f ca="1">IFERROR(__xludf.DUMMYFUNCTION("""COMPUTED_VALUE"""),43950.6458333333)</f>
        <v>43950.645833333299</v>
      </c>
      <c r="B82" s="7">
        <f ca="1">IFERROR(__xludf.DUMMYFUNCTION("""COMPUTED_VALUE"""),488.55)</f>
        <v>488.55</v>
      </c>
      <c r="C82" s="6">
        <f t="shared" ca="1" si="0"/>
        <v>4.9065922267554241E-2</v>
      </c>
      <c r="D82" s="7">
        <f t="shared" ca="1" si="1"/>
        <v>1.2782724388496571</v>
      </c>
    </row>
    <row r="83" spans="1:4" ht="12.75" x14ac:dyDescent="0.2">
      <c r="A83" s="8">
        <f ca="1">IFERROR(__xludf.DUMMYFUNCTION("""COMPUTED_VALUE"""),43951.6458333333)</f>
        <v>43951.645833333299</v>
      </c>
      <c r="B83" s="7">
        <f ca="1">IFERROR(__xludf.DUMMYFUNCTION("""COMPUTED_VALUE"""),500.9)</f>
        <v>500.9</v>
      </c>
      <c r="C83" s="6">
        <f t="shared" ca="1" si="0"/>
        <v>2.5278886500869957E-2</v>
      </c>
      <c r="D83" s="7">
        <f t="shared" ca="1" si="1"/>
        <v>1.2391694949091636</v>
      </c>
    </row>
    <row r="84" spans="1:4" ht="12.75" x14ac:dyDescent="0.2">
      <c r="A84" s="8">
        <f ca="1">IFERROR(__xludf.DUMMYFUNCTION("""COMPUTED_VALUE"""),43955.6458333333)</f>
        <v>43955.645833333299</v>
      </c>
      <c r="B84" s="7">
        <f ca="1">IFERROR(__xludf.DUMMYFUNCTION("""COMPUTED_VALUE"""),461.5)</f>
        <v>461.5</v>
      </c>
      <c r="C84" s="6">
        <f t="shared" ca="1" si="0"/>
        <v>-7.865841485326408E-2</v>
      </c>
      <c r="D84" s="7">
        <f t="shared" ca="1" si="1"/>
        <v>1.321061755146262</v>
      </c>
    </row>
    <row r="85" spans="1:4" ht="12.75" x14ac:dyDescent="0.2">
      <c r="A85" s="8">
        <f ca="1">IFERROR(__xludf.DUMMYFUNCTION("""COMPUTED_VALUE"""),43956.6458333333)</f>
        <v>43956.645833333299</v>
      </c>
      <c r="B85" s="7">
        <f ca="1">IFERROR(__xludf.DUMMYFUNCTION("""COMPUTED_VALUE"""),455.73)</f>
        <v>455.73</v>
      </c>
      <c r="C85" s="6">
        <f t="shared" ca="1" si="0"/>
        <v>-1.250270855904656E-2</v>
      </c>
      <c r="D85" s="7">
        <f t="shared" ca="1" si="1"/>
        <v>1.3353959581331052</v>
      </c>
    </row>
    <row r="86" spans="1:4" ht="12.75" x14ac:dyDescent="0.2">
      <c r="A86" s="8">
        <f ca="1">IFERROR(__xludf.DUMMYFUNCTION("""COMPUTED_VALUE"""),43957.6458333333)</f>
        <v>43957.645833333299</v>
      </c>
      <c r="B86" s="7">
        <f ca="1">IFERROR(__xludf.DUMMYFUNCTION("""COMPUTED_VALUE"""),473.2)</f>
        <v>473.2</v>
      </c>
      <c r="C86" s="6">
        <f t="shared" ca="1" si="0"/>
        <v>3.8334101331928938E-2</v>
      </c>
      <c r="D86" s="7">
        <f t="shared" ca="1" si="1"/>
        <v>1.2819737954353339</v>
      </c>
    </row>
    <row r="87" spans="1:4" ht="12.75" x14ac:dyDescent="0.2">
      <c r="A87" s="8">
        <f ca="1">IFERROR(__xludf.DUMMYFUNCTION("""COMPUTED_VALUE"""),43958.6458333333)</f>
        <v>43958.645833333299</v>
      </c>
      <c r="B87" s="7">
        <f ca="1">IFERROR(__xludf.DUMMYFUNCTION("""COMPUTED_VALUE"""),462.5)</f>
        <v>462.5</v>
      </c>
      <c r="C87" s="6">
        <f t="shared" ca="1" si="0"/>
        <v>-2.2612003381234147E-2</v>
      </c>
      <c r="D87" s="7">
        <f t="shared" ca="1" si="1"/>
        <v>1.3267027027027027</v>
      </c>
    </row>
    <row r="88" spans="1:4" ht="12.75" x14ac:dyDescent="0.2">
      <c r="A88" s="8">
        <f ca="1">IFERROR(__xludf.DUMMYFUNCTION("""COMPUTED_VALUE"""),43959.6458333333)</f>
        <v>43959.645833333299</v>
      </c>
      <c r="B88" s="7">
        <f ca="1">IFERROR(__xludf.DUMMYFUNCTION("""COMPUTED_VALUE"""),464.53)</f>
        <v>464.53</v>
      </c>
      <c r="C88" s="6">
        <f t="shared" ca="1" si="0"/>
        <v>4.3891891891891799E-3</v>
      </c>
      <c r="D88" s="7">
        <f t="shared" ca="1" si="1"/>
        <v>1.3100337976018772</v>
      </c>
    </row>
    <row r="89" spans="1:4" ht="12.75" x14ac:dyDescent="0.2">
      <c r="A89" s="8">
        <f ca="1">IFERROR(__xludf.DUMMYFUNCTION("""COMPUTED_VALUE"""),43962.6458333333)</f>
        <v>43962.645833333299</v>
      </c>
      <c r="B89" s="7">
        <f ca="1">IFERROR(__xludf.DUMMYFUNCTION("""COMPUTED_VALUE"""),457.9)</f>
        <v>457.9</v>
      </c>
      <c r="C89" s="6">
        <f t="shared" ca="1" si="0"/>
        <v>-1.4272490474242727E-2</v>
      </c>
      <c r="D89" s="7">
        <f t="shared" ca="1" si="1"/>
        <v>1.3212055033850187</v>
      </c>
    </row>
    <row r="90" spans="1:4" ht="12.75" x14ac:dyDescent="0.2">
      <c r="A90" s="8">
        <f ca="1">IFERROR(__xludf.DUMMYFUNCTION("""COMPUTED_VALUE"""),43963.6458333333)</f>
        <v>43963.645833333299</v>
      </c>
      <c r="B90" s="7">
        <f ca="1">IFERROR(__xludf.DUMMYFUNCTION("""COMPUTED_VALUE"""),450.78)</f>
        <v>450.78</v>
      </c>
      <c r="C90" s="6">
        <f t="shared" ca="1" si="0"/>
        <v>-1.5549246560384367E-2</v>
      </c>
      <c r="D90" s="7">
        <f t="shared" ca="1" si="1"/>
        <v>1.3313589777718622</v>
      </c>
    </row>
    <row r="91" spans="1:4" ht="12.75" x14ac:dyDescent="0.2">
      <c r="A91" s="8">
        <f ca="1">IFERROR(__xludf.DUMMYFUNCTION("""COMPUTED_VALUE"""),43964.6458333333)</f>
        <v>43964.645833333299</v>
      </c>
      <c r="B91" s="7">
        <f ca="1">IFERROR(__xludf.DUMMYFUNCTION("""COMPUTED_VALUE"""),463.83)</f>
        <v>463.83</v>
      </c>
      <c r="C91" s="6">
        <f t="shared" ca="1" si="0"/>
        <v>2.8949820311460206E-2</v>
      </c>
      <c r="D91" s="7">
        <f t="shared" ca="1" si="1"/>
        <v>1.292779682211155</v>
      </c>
    </row>
    <row r="92" spans="1:4" ht="12.75" x14ac:dyDescent="0.2">
      <c r="A92" s="8">
        <f ca="1">IFERROR(__xludf.DUMMYFUNCTION("""COMPUTED_VALUE"""),43965.6458333333)</f>
        <v>43965.645833333299</v>
      </c>
      <c r="B92" s="7">
        <f ca="1">IFERROR(__xludf.DUMMYFUNCTION("""COMPUTED_VALUE"""),446.85)</f>
        <v>446.85</v>
      </c>
      <c r="C92" s="6">
        <f t="shared" ca="1" si="0"/>
        <v>-3.6608240087963151E-2</v>
      </c>
      <c r="D92" s="7">
        <f t="shared" ca="1" si="1"/>
        <v>1.3421282309499831</v>
      </c>
    </row>
    <row r="93" spans="1:4" ht="12.75" x14ac:dyDescent="0.2">
      <c r="A93" s="8">
        <f ca="1">IFERROR(__xludf.DUMMYFUNCTION("""COMPUTED_VALUE"""),43966.6458333333)</f>
        <v>43966.645833333299</v>
      </c>
      <c r="B93" s="7">
        <f ca="1">IFERROR(__xludf.DUMMYFUNCTION("""COMPUTED_VALUE"""),444.08)</f>
        <v>444.08</v>
      </c>
      <c r="C93" s="6">
        <f t="shared" ca="1" si="0"/>
        <v>-6.1989481929060064E-3</v>
      </c>
      <c r="D93" s="7">
        <f t="shared" ca="1" si="1"/>
        <v>1.3259547829219962</v>
      </c>
    </row>
    <row r="94" spans="1:4" ht="12.75" x14ac:dyDescent="0.2">
      <c r="A94" s="8">
        <f ca="1">IFERROR(__xludf.DUMMYFUNCTION("""COMPUTED_VALUE"""),43969.6458333333)</f>
        <v>43969.645833333299</v>
      </c>
      <c r="B94" s="7">
        <f ca="1">IFERROR(__xludf.DUMMYFUNCTION("""COMPUTED_VALUE"""),418.33)</f>
        <v>418.33</v>
      </c>
      <c r="C94" s="6">
        <f t="shared" ca="1" si="0"/>
        <v>-5.7985047739146145E-2</v>
      </c>
      <c r="D94" s="7">
        <f t="shared" ca="1" si="1"/>
        <v>1.40989171228456</v>
      </c>
    </row>
    <row r="95" spans="1:4" ht="12.75" x14ac:dyDescent="0.2">
      <c r="A95" s="8">
        <f ca="1">IFERROR(__xludf.DUMMYFUNCTION("""COMPUTED_VALUE"""),43970.6458333333)</f>
        <v>43970.645833333299</v>
      </c>
      <c r="B95" s="7">
        <f ca="1">IFERROR(__xludf.DUMMYFUNCTION("""COMPUTED_VALUE"""),415.33)</f>
        <v>415.33</v>
      </c>
      <c r="C95" s="6">
        <f t="shared" ca="1" si="0"/>
        <v>-7.1713718834413021E-3</v>
      </c>
      <c r="D95" s="7">
        <f t="shared" ca="1" si="1"/>
        <v>1.4227240989093011</v>
      </c>
    </row>
    <row r="96" spans="1:4" ht="12.75" x14ac:dyDescent="0.2">
      <c r="A96" s="8">
        <f ca="1">IFERROR(__xludf.DUMMYFUNCTION("""COMPUTED_VALUE"""),43971.6458333333)</f>
        <v>43971.645833333299</v>
      </c>
      <c r="B96" s="7">
        <f ca="1">IFERROR(__xludf.DUMMYFUNCTION("""COMPUTED_VALUE"""),428.55)</f>
        <v>428.55</v>
      </c>
      <c r="C96" s="6">
        <f t="shared" ca="1" si="0"/>
        <v>3.1830110996075467E-2</v>
      </c>
      <c r="D96" s="7">
        <f t="shared" ca="1" si="1"/>
        <v>1.3403803523509508</v>
      </c>
    </row>
    <row r="97" spans="1:4" ht="12.75" x14ac:dyDescent="0.2">
      <c r="A97" s="8">
        <f ca="1">IFERROR(__xludf.DUMMYFUNCTION("""COMPUTED_VALUE"""),43972.6458333333)</f>
        <v>43972.645833333299</v>
      </c>
      <c r="B97" s="7">
        <f ca="1">IFERROR(__xludf.DUMMYFUNCTION("""COMPUTED_VALUE"""),429.78)</f>
        <v>429.78</v>
      </c>
      <c r="C97" s="6">
        <f t="shared" ca="1" si="0"/>
        <v>2.8701435071751824E-3</v>
      </c>
      <c r="D97" s="7">
        <f t="shared" ca="1" si="1"/>
        <v>1.3394527432639955</v>
      </c>
    </row>
    <row r="98" spans="1:4" ht="12.75" x14ac:dyDescent="0.2">
      <c r="A98" s="8">
        <f ca="1">IFERROR(__xludf.DUMMYFUNCTION("""COMPUTED_VALUE"""),43973.6458333333)</f>
        <v>43973.645833333299</v>
      </c>
      <c r="B98" s="7">
        <f ca="1">IFERROR(__xludf.DUMMYFUNCTION("""COMPUTED_VALUE"""),419.43)</f>
        <v>419.43</v>
      </c>
      <c r="C98" s="6">
        <f t="shared" ca="1" si="0"/>
        <v>-2.4082088510400612E-2</v>
      </c>
      <c r="D98" s="7">
        <f t="shared" ca="1" si="1"/>
        <v>1.3529075173449683</v>
      </c>
    </row>
    <row r="99" spans="1:4" ht="12.75" x14ac:dyDescent="0.2">
      <c r="A99" s="8">
        <f ca="1">IFERROR(__xludf.DUMMYFUNCTION("""COMPUTED_VALUE"""),43977.6458333333)</f>
        <v>43977.645833333299</v>
      </c>
      <c r="B99" s="7">
        <f ca="1">IFERROR(__xludf.DUMMYFUNCTION("""COMPUTED_VALUE"""),426.2)</f>
        <v>426.2</v>
      </c>
      <c r="C99" s="6">
        <f t="shared" ca="1" si="0"/>
        <v>1.6140953198388264E-2</v>
      </c>
      <c r="D99" s="7">
        <f t="shared" ca="1" si="1"/>
        <v>1.2990380103237917</v>
      </c>
    </row>
    <row r="100" spans="1:4" ht="12.75" x14ac:dyDescent="0.2">
      <c r="A100" s="8">
        <f ca="1">IFERROR(__xludf.DUMMYFUNCTION("""COMPUTED_VALUE"""),43978.6458333333)</f>
        <v>43978.645833333299</v>
      </c>
      <c r="B100" s="7">
        <f ca="1">IFERROR(__xludf.DUMMYFUNCTION("""COMPUTED_VALUE"""),451.83)</f>
        <v>451.83</v>
      </c>
      <c r="C100" s="6">
        <f t="shared" ca="1" si="0"/>
        <v>6.0136086344439121E-2</v>
      </c>
      <c r="D100" s="7">
        <f t="shared" ca="1" si="1"/>
        <v>1.2325432131553904</v>
      </c>
    </row>
    <row r="101" spans="1:4" ht="12.75" x14ac:dyDescent="0.2">
      <c r="A101" s="8">
        <f ca="1">IFERROR(__xludf.DUMMYFUNCTION("""COMPUTED_VALUE"""),43979.6458333333)</f>
        <v>43979.645833333299</v>
      </c>
      <c r="B101" s="7">
        <f ca="1">IFERROR(__xludf.DUMMYFUNCTION("""COMPUTED_VALUE"""),472.63)</f>
        <v>472.63</v>
      </c>
      <c r="C101" s="6">
        <f t="shared" ca="1" si="0"/>
        <v>4.6035013168669758E-2</v>
      </c>
      <c r="D101" s="7">
        <f t="shared" ca="1" si="1"/>
        <v>1.0804434758690731</v>
      </c>
    </row>
    <row r="102" spans="1:4" ht="12.75" x14ac:dyDescent="0.2">
      <c r="A102" s="8">
        <f ca="1">IFERROR(__xludf.DUMMYFUNCTION("""COMPUTED_VALUE"""),43980.6458333333)</f>
        <v>43980.645833333299</v>
      </c>
      <c r="B102" s="7">
        <f ca="1">IFERROR(__xludf.DUMMYFUNCTION("""COMPUTED_VALUE"""),475.83)</f>
        <v>475.83</v>
      </c>
      <c r="C102" s="6">
        <f t="shared" ca="1" si="0"/>
        <v>6.7706239553138037E-3</v>
      </c>
      <c r="D102" s="7">
        <f t="shared" ca="1" si="1"/>
        <v>1.1241409747178615</v>
      </c>
    </row>
    <row r="103" spans="1:4" ht="12.75" x14ac:dyDescent="0.2">
      <c r="A103" s="8">
        <f ca="1">IFERROR(__xludf.DUMMYFUNCTION("""COMPUTED_VALUE"""),43983.6458333333)</f>
        <v>43983.645833333299</v>
      </c>
      <c r="B103" s="7">
        <f ca="1">IFERROR(__xludf.DUMMYFUNCTION("""COMPUTED_VALUE"""),493.83)</f>
        <v>493.83</v>
      </c>
      <c r="C103" s="6">
        <f t="shared" ca="1" si="0"/>
        <v>3.7828636277662087E-2</v>
      </c>
      <c r="D103" s="7">
        <f t="shared" ca="1" si="1"/>
        <v>1.0119879310693964</v>
      </c>
    </row>
    <row r="104" spans="1:4" ht="12.75" x14ac:dyDescent="0.2">
      <c r="A104" s="8">
        <f ca="1">IFERROR(__xludf.DUMMYFUNCTION("""COMPUTED_VALUE"""),43984.6458333333)</f>
        <v>43984.645833333299</v>
      </c>
      <c r="B104" s="7">
        <f ca="1">IFERROR(__xludf.DUMMYFUNCTION("""COMPUTED_VALUE"""),500.5)</f>
        <v>500.5</v>
      </c>
      <c r="C104" s="6">
        <f t="shared" ca="1" si="0"/>
        <v>1.3506672336634162E-2</v>
      </c>
      <c r="D104" s="7">
        <f t="shared" ca="1" si="1"/>
        <v>0.97412587412587415</v>
      </c>
    </row>
    <row r="105" spans="1:4" ht="12.75" x14ac:dyDescent="0.2">
      <c r="A105" s="8">
        <f ca="1">IFERROR(__xludf.DUMMYFUNCTION("""COMPUTED_VALUE"""),43985.6458333333)</f>
        <v>43985.645833333299</v>
      </c>
      <c r="B105" s="7">
        <f ca="1">IFERROR(__xludf.DUMMYFUNCTION("""COMPUTED_VALUE"""),511.13)</f>
        <v>511.13</v>
      </c>
      <c r="C105" s="6">
        <f t="shared" ca="1" si="0"/>
        <v>2.1238761238761228E-2</v>
      </c>
      <c r="D105" s="7">
        <f t="shared" ca="1" si="1"/>
        <v>0.85780525502318394</v>
      </c>
    </row>
    <row r="106" spans="1:4" ht="12.75" x14ac:dyDescent="0.2">
      <c r="A106" s="8">
        <f ca="1">IFERROR(__xludf.DUMMYFUNCTION("""COMPUTED_VALUE"""),43986.6458333333)</f>
        <v>43986.645833333299</v>
      </c>
      <c r="B106" s="7">
        <f ca="1">IFERROR(__xludf.DUMMYFUNCTION("""COMPUTED_VALUE"""),500.85)</f>
        <v>500.85</v>
      </c>
      <c r="C106" s="6">
        <f t="shared" ca="1" si="0"/>
        <v>-2.0112300197601352E-2</v>
      </c>
      <c r="D106" s="7">
        <f t="shared" ca="1" si="1"/>
        <v>0.89404013177598074</v>
      </c>
    </row>
    <row r="107" spans="1:4" ht="12.75" x14ac:dyDescent="0.2">
      <c r="A107" s="8">
        <f ca="1">IFERROR(__xludf.DUMMYFUNCTION("""COMPUTED_VALUE"""),43987.6458333333)</f>
        <v>43987.645833333299</v>
      </c>
      <c r="B107" s="7">
        <f ca="1">IFERROR(__xludf.DUMMYFUNCTION("""COMPUTED_VALUE"""),516.67)</f>
        <v>516.66999999999996</v>
      </c>
      <c r="C107" s="6">
        <f t="shared" ca="1" si="0"/>
        <v>3.1586303284416362E-2</v>
      </c>
      <c r="D107" s="7">
        <f t="shared" ca="1" si="1"/>
        <v>0.85437513306365775</v>
      </c>
    </row>
    <row r="108" spans="1:4" ht="12.75" x14ac:dyDescent="0.2">
      <c r="A108" s="8">
        <f ca="1">IFERROR(__xludf.DUMMYFUNCTION("""COMPUTED_VALUE"""),43990.6458333333)</f>
        <v>43990.645833333299</v>
      </c>
      <c r="B108" s="7">
        <f ca="1">IFERROR(__xludf.DUMMYFUNCTION("""COMPUTED_VALUE"""),507.95)</f>
        <v>507.95</v>
      </c>
      <c r="C108" s="6">
        <f t="shared" ca="1" si="0"/>
        <v>-1.6877310468964679E-2</v>
      </c>
      <c r="D108" s="7">
        <f t="shared" ca="1" si="1"/>
        <v>0.75948420120090554</v>
      </c>
    </row>
    <row r="109" spans="1:4" ht="12.75" x14ac:dyDescent="0.2">
      <c r="A109" s="8">
        <f ca="1">IFERROR(__xludf.DUMMYFUNCTION("""COMPUTED_VALUE"""),43991.6458333333)</f>
        <v>43991.645833333299</v>
      </c>
      <c r="B109" s="7">
        <f ca="1">IFERROR(__xludf.DUMMYFUNCTION("""COMPUTED_VALUE"""),493.65)</f>
        <v>493.65</v>
      </c>
      <c r="C109" s="6">
        <f t="shared" ca="1" si="0"/>
        <v>-2.8152377202480539E-2</v>
      </c>
      <c r="D109" s="7">
        <f t="shared" ca="1" si="1"/>
        <v>0.77757520510483147</v>
      </c>
    </row>
    <row r="110" spans="1:4" ht="12.75" x14ac:dyDescent="0.2">
      <c r="A110" s="8">
        <f ca="1">IFERROR(__xludf.DUMMYFUNCTION("""COMPUTED_VALUE"""),43992.6458333333)</f>
        <v>43992.645833333299</v>
      </c>
      <c r="B110" s="7">
        <f ca="1">IFERROR(__xludf.DUMMYFUNCTION("""COMPUTED_VALUE"""),495.93)</f>
        <v>495.93</v>
      </c>
      <c r="C110" s="6">
        <f t="shared" ca="1" si="0"/>
        <v>4.618656943178534E-3</v>
      </c>
      <c r="D110" s="7">
        <f t="shared" ca="1" si="1"/>
        <v>0.86379126086342828</v>
      </c>
    </row>
    <row r="111" spans="1:4" ht="12.75" x14ac:dyDescent="0.2">
      <c r="A111" s="8">
        <f ca="1">IFERROR(__xludf.DUMMYFUNCTION("""COMPUTED_VALUE"""),43993.6458333333)</f>
        <v>43993.645833333299</v>
      </c>
      <c r="B111" s="7">
        <f ca="1">IFERROR(__xludf.DUMMYFUNCTION("""COMPUTED_VALUE"""),484.3)</f>
        <v>484.3</v>
      </c>
      <c r="C111" s="6">
        <f t="shared" ca="1" si="0"/>
        <v>-2.3450890246607403E-2</v>
      </c>
      <c r="D111" s="7">
        <f t="shared" ca="1" si="1"/>
        <v>0.93031179021267807</v>
      </c>
    </row>
    <row r="112" spans="1:4" ht="12.75" x14ac:dyDescent="0.2">
      <c r="A112" s="8">
        <f ca="1">IFERROR(__xludf.DUMMYFUNCTION("""COMPUTED_VALUE"""),43994.6458333333)</f>
        <v>43994.645833333299</v>
      </c>
      <c r="B112" s="7">
        <f ca="1">IFERROR(__xludf.DUMMYFUNCTION("""COMPUTED_VALUE"""),491.38)</f>
        <v>491.38</v>
      </c>
      <c r="C112" s="6">
        <f t="shared" ca="1" si="0"/>
        <v>1.461903778649587E-2</v>
      </c>
      <c r="D112" s="7">
        <f t="shared" ca="1" si="1"/>
        <v>0.92032642761203143</v>
      </c>
    </row>
    <row r="113" spans="1:4" ht="12.75" x14ac:dyDescent="0.2">
      <c r="A113" s="8">
        <f ca="1">IFERROR(__xludf.DUMMYFUNCTION("""COMPUTED_VALUE"""),43997.6458333333)</f>
        <v>43997.645833333299</v>
      </c>
      <c r="B113" s="7">
        <f ca="1">IFERROR(__xludf.DUMMYFUNCTION("""COMPUTED_VALUE"""),474.93)</f>
        <v>474.93</v>
      </c>
      <c r="C113" s="6">
        <f t="shared" ca="1" si="0"/>
        <v>-3.3477145996988034E-2</v>
      </c>
      <c r="D113" s="7">
        <f t="shared" ca="1" si="1"/>
        <v>0.87556060893184251</v>
      </c>
    </row>
    <row r="114" spans="1:4" ht="12.75" x14ac:dyDescent="0.2">
      <c r="A114" s="8">
        <f ca="1">IFERROR(__xludf.DUMMYFUNCTION("""COMPUTED_VALUE"""),43998.6458333333)</f>
        <v>43998.645833333299</v>
      </c>
      <c r="B114" s="7">
        <f ca="1">IFERROR(__xludf.DUMMYFUNCTION("""COMPUTED_VALUE"""),495.2)</f>
        <v>495.2</v>
      </c>
      <c r="C114" s="6">
        <f t="shared" ca="1" si="0"/>
        <v>4.2679973890889178E-2</v>
      </c>
      <c r="D114" s="7">
        <f t="shared" ca="1" si="1"/>
        <v>0.87025444264943452</v>
      </c>
    </row>
    <row r="115" spans="1:4" ht="12.75" x14ac:dyDescent="0.2">
      <c r="A115" s="8">
        <f ca="1">IFERROR(__xludf.DUMMYFUNCTION("""COMPUTED_VALUE"""),43999.6458333333)</f>
        <v>43999.645833333299</v>
      </c>
      <c r="B115" s="7">
        <f ca="1">IFERROR(__xludf.DUMMYFUNCTION("""COMPUTED_VALUE"""),489.63)</f>
        <v>489.63</v>
      </c>
      <c r="C115" s="6">
        <f t="shared" ca="1" si="0"/>
        <v>-1.1247980613893316E-2</v>
      </c>
      <c r="D115" s="7">
        <f t="shared" ca="1" si="1"/>
        <v>0.84723158303208546</v>
      </c>
    </row>
    <row r="116" spans="1:4" ht="12.75" x14ac:dyDescent="0.2">
      <c r="A116" s="8">
        <f ca="1">IFERROR(__xludf.DUMMYFUNCTION("""COMPUTED_VALUE"""),44000.6458333333)</f>
        <v>44000.645833333299</v>
      </c>
      <c r="B116" s="7">
        <f ca="1">IFERROR(__xludf.DUMMYFUNCTION("""COMPUTED_VALUE"""),509.98)</f>
        <v>509.98</v>
      </c>
      <c r="C116" s="6">
        <f t="shared" ca="1" si="0"/>
        <v>4.1561995792741557E-2</v>
      </c>
      <c r="D116" s="7">
        <f t="shared" ca="1" si="1"/>
        <v>0.79793325228440326</v>
      </c>
    </row>
    <row r="117" spans="1:4" ht="12.75" x14ac:dyDescent="0.2">
      <c r="A117" s="8">
        <f ca="1">IFERROR(__xludf.DUMMYFUNCTION("""COMPUTED_VALUE"""),44001.6458333333)</f>
        <v>44001.645833333299</v>
      </c>
      <c r="B117" s="7">
        <f ca="1">IFERROR(__xludf.DUMMYFUNCTION("""COMPUTED_VALUE"""),516.67)</f>
        <v>516.66999999999996</v>
      </c>
      <c r="C117" s="6">
        <f t="shared" ca="1" si="0"/>
        <v>1.3118161496529224E-2</v>
      </c>
      <c r="D117" s="7">
        <f t="shared" ca="1" si="1"/>
        <v>0.86718795362610568</v>
      </c>
    </row>
    <row r="118" spans="1:4" ht="12.75" x14ac:dyDescent="0.2">
      <c r="A118" s="8">
        <f ca="1">IFERROR(__xludf.DUMMYFUNCTION("""COMPUTED_VALUE"""),44004.6458333333)</f>
        <v>44004.645833333299</v>
      </c>
      <c r="B118" s="7">
        <f ca="1">IFERROR(__xludf.DUMMYFUNCTION("""COMPUTED_VALUE"""),514.38)</f>
        <v>514.38</v>
      </c>
      <c r="C118" s="6">
        <f t="shared" ca="1" si="0"/>
        <v>-4.4322294694871811E-3</v>
      </c>
      <c r="D118" s="7">
        <f t="shared" ca="1" si="1"/>
        <v>0.86404992418056692</v>
      </c>
    </row>
    <row r="119" spans="1:4" ht="12.75" x14ac:dyDescent="0.2">
      <c r="A119" s="8">
        <f ca="1">IFERROR(__xludf.DUMMYFUNCTION("""COMPUTED_VALUE"""),44005.6458333333)</f>
        <v>44005.645833333299</v>
      </c>
      <c r="B119" s="7">
        <f ca="1">IFERROR(__xludf.DUMMYFUNCTION("""COMPUTED_VALUE"""),521.15)</f>
        <v>521.15</v>
      </c>
      <c r="C119" s="6">
        <f t="shared" ca="1" si="0"/>
        <v>1.3161475951630974E-2</v>
      </c>
      <c r="D119" s="7">
        <f t="shared" ca="1" si="1"/>
        <v>0.88751798906264989</v>
      </c>
    </row>
    <row r="120" spans="1:4" ht="12.75" x14ac:dyDescent="0.2">
      <c r="A120" s="8">
        <f ca="1">IFERROR(__xludf.DUMMYFUNCTION("""COMPUTED_VALUE"""),44006.6458333333)</f>
        <v>44006.645833333299</v>
      </c>
      <c r="B120" s="7">
        <f ca="1">IFERROR(__xludf.DUMMYFUNCTION("""COMPUTED_VALUE"""),516.25)</f>
        <v>516.25</v>
      </c>
      <c r="C120" s="6">
        <f t="shared" ca="1" si="0"/>
        <v>-9.4022834116856968E-3</v>
      </c>
      <c r="D120" s="7">
        <f t="shared" ca="1" si="1"/>
        <v>0.86717675544794193</v>
      </c>
    </row>
    <row r="121" spans="1:4" ht="12.75" x14ac:dyDescent="0.2">
      <c r="A121" s="8">
        <f ca="1">IFERROR(__xludf.DUMMYFUNCTION("""COMPUTED_VALUE"""),44007.6458333333)</f>
        <v>44007.645833333299</v>
      </c>
      <c r="B121" s="7">
        <f ca="1">IFERROR(__xludf.DUMMYFUNCTION("""COMPUTED_VALUE"""),514.38)</f>
        <v>514.38</v>
      </c>
      <c r="C121" s="6">
        <f t="shared" ca="1" si="0"/>
        <v>-3.6222760290557376E-3</v>
      </c>
      <c r="D121" s="7">
        <f t="shared" ca="1" si="1"/>
        <v>0.83916559741825103</v>
      </c>
    </row>
    <row r="122" spans="1:4" ht="12.75" x14ac:dyDescent="0.2">
      <c r="A122" s="8">
        <f ca="1">IFERROR(__xludf.DUMMYFUNCTION("""COMPUTED_VALUE"""),44008.6458333333)</f>
        <v>44008.645833333299</v>
      </c>
      <c r="B122" s="7">
        <f ca="1">IFERROR(__xludf.DUMMYFUNCTION("""COMPUTED_VALUE"""),528.23)</f>
        <v>528.23</v>
      </c>
      <c r="C122" s="6">
        <f t="shared" ca="1" si="0"/>
        <v>2.6925619192037065E-2</v>
      </c>
      <c r="D122" s="7">
        <f t="shared" ca="1" si="1"/>
        <v>0.83274331257217493</v>
      </c>
    </row>
    <row r="123" spans="1:4" ht="12.75" x14ac:dyDescent="0.2">
      <c r="A123" s="8">
        <f ca="1">IFERROR(__xludf.DUMMYFUNCTION("""COMPUTED_VALUE"""),44011.6458333333)</f>
        <v>44011.645833333299</v>
      </c>
      <c r="B123" s="7">
        <f ca="1">IFERROR(__xludf.DUMMYFUNCTION("""COMPUTED_VALUE"""),538.03)</f>
        <v>538.03</v>
      </c>
      <c r="C123" s="6">
        <f t="shared" ca="1" si="0"/>
        <v>1.8552524468507858E-2</v>
      </c>
      <c r="D123" s="7">
        <f t="shared" ca="1" si="1"/>
        <v>0.84595654517406094</v>
      </c>
    </row>
    <row r="124" spans="1:4" ht="12.75" x14ac:dyDescent="0.2">
      <c r="A124" s="8">
        <f ca="1">IFERROR(__xludf.DUMMYFUNCTION("""COMPUTED_VALUE"""),44012.6458333333)</f>
        <v>44012.645833333299</v>
      </c>
      <c r="B124" s="7">
        <f ca="1">IFERROR(__xludf.DUMMYFUNCTION("""COMPUTED_VALUE"""),532.92)</f>
        <v>532.91999999999996</v>
      </c>
      <c r="C124" s="6">
        <f t="shared" ca="1" si="0"/>
        <v>-9.4976116573425307E-3</v>
      </c>
      <c r="D124" s="7">
        <f t="shared" ca="1" si="1"/>
        <v>0.88649328229377777</v>
      </c>
    </row>
    <row r="125" spans="1:4" ht="12.75" x14ac:dyDescent="0.2">
      <c r="A125" s="8">
        <f ca="1">IFERROR(__xludf.DUMMYFUNCTION("""COMPUTED_VALUE"""),44013.6458333333)</f>
        <v>44013.645833333299</v>
      </c>
      <c r="B125" s="7">
        <f ca="1">IFERROR(__xludf.DUMMYFUNCTION("""COMPUTED_VALUE"""),542.3)</f>
        <v>542.29999999999995</v>
      </c>
      <c r="C125" s="6">
        <f t="shared" ca="1" si="0"/>
        <v>1.7601140884185185E-2</v>
      </c>
      <c r="D125" s="7">
        <f t="shared" ca="1" si="1"/>
        <v>0.8497695002765997</v>
      </c>
    </row>
    <row r="126" spans="1:4" ht="12.75" x14ac:dyDescent="0.2">
      <c r="A126" s="8">
        <f ca="1">IFERROR(__xludf.DUMMYFUNCTION("""COMPUTED_VALUE"""),44014.6458333333)</f>
        <v>44014.645833333299</v>
      </c>
      <c r="B126" s="7">
        <f ca="1">IFERROR(__xludf.DUMMYFUNCTION("""COMPUTED_VALUE"""),544.7)</f>
        <v>544.70000000000005</v>
      </c>
      <c r="C126" s="6">
        <f t="shared" ca="1" si="0"/>
        <v>4.4255946892866049E-3</v>
      </c>
      <c r="D126" s="7">
        <f t="shared" ca="1" si="1"/>
        <v>0.8523958142096566</v>
      </c>
    </row>
    <row r="127" spans="1:4" ht="12.75" x14ac:dyDescent="0.2">
      <c r="A127" s="8">
        <f ca="1">IFERROR(__xludf.DUMMYFUNCTION("""COMPUTED_VALUE"""),44015.6458333333)</f>
        <v>44015.645833333299</v>
      </c>
      <c r="B127" s="7">
        <f ca="1">IFERROR(__xludf.DUMMYFUNCTION("""COMPUTED_VALUE"""),536.98)</f>
        <v>536.98</v>
      </c>
      <c r="C127" s="6">
        <f t="shared" ca="1" si="0"/>
        <v>-1.4172939232605097E-2</v>
      </c>
      <c r="D127" s="7">
        <f t="shared" ca="1" si="1"/>
        <v>0.88919512831017911</v>
      </c>
    </row>
    <row r="128" spans="1:4" ht="12.75" x14ac:dyDescent="0.2">
      <c r="A128" s="8">
        <f ca="1">IFERROR(__xludf.DUMMYFUNCTION("""COMPUTED_VALUE"""),44018.6458333333)</f>
        <v>44018.645833333299</v>
      </c>
      <c r="B128" s="7">
        <f ca="1">IFERROR(__xludf.DUMMYFUNCTION("""COMPUTED_VALUE"""),551.5)</f>
        <v>551.5</v>
      </c>
      <c r="C128" s="6">
        <f t="shared" ca="1" si="0"/>
        <v>2.7040113225818452E-2</v>
      </c>
      <c r="D128" s="7">
        <f t="shared" ca="1" si="1"/>
        <v>0.85046237533998181</v>
      </c>
    </row>
    <row r="129" spans="1:4" ht="12.75" x14ac:dyDescent="0.2">
      <c r="A129" s="8">
        <f ca="1">IFERROR(__xludf.DUMMYFUNCTION("""COMPUTED_VALUE"""),44019.6458333333)</f>
        <v>44019.645833333299</v>
      </c>
      <c r="B129" s="7">
        <f ca="1">IFERROR(__xludf.DUMMYFUNCTION("""COMPUTED_VALUE"""),552.58)</f>
        <v>552.58000000000004</v>
      </c>
      <c r="C129" s="6">
        <f t="shared" ca="1" si="0"/>
        <v>1.958295557570322E-3</v>
      </c>
      <c r="D129" s="7">
        <f t="shared" ca="1" si="1"/>
        <v>0.84123565818524015</v>
      </c>
    </row>
    <row r="130" spans="1:4" ht="12.75" x14ac:dyDescent="0.2">
      <c r="A130" s="8">
        <f ca="1">IFERROR(__xludf.DUMMYFUNCTION("""COMPUTED_VALUE"""),44020.6458333333)</f>
        <v>44020.645833333299</v>
      </c>
      <c r="B130" s="7">
        <f ca="1">IFERROR(__xludf.DUMMYFUNCTION("""COMPUTED_VALUE"""),555.17)</f>
        <v>555.16999999999996</v>
      </c>
      <c r="C130" s="6">
        <f t="shared" ca="1" si="0"/>
        <v>4.6871041297187332E-3</v>
      </c>
      <c r="D130" s="7">
        <f t="shared" ca="1" si="1"/>
        <v>0.83884215645658089</v>
      </c>
    </row>
    <row r="131" spans="1:4" ht="12.75" x14ac:dyDescent="0.2">
      <c r="A131" s="8">
        <f ca="1">IFERROR(__xludf.DUMMYFUNCTION("""COMPUTED_VALUE"""),44021.6458333333)</f>
        <v>44021.645833333299</v>
      </c>
      <c r="B131" s="7">
        <f ca="1">IFERROR(__xludf.DUMMYFUNCTION("""COMPUTED_VALUE"""),562.48)</f>
        <v>562.48</v>
      </c>
      <c r="C131" s="6">
        <f t="shared" ca="1" si="0"/>
        <v>1.3167137993767675E-2</v>
      </c>
      <c r="D131" s="7">
        <f t="shared" ca="1" si="1"/>
        <v>0.86856421561655528</v>
      </c>
    </row>
    <row r="132" spans="1:4" ht="12.75" x14ac:dyDescent="0.2">
      <c r="A132" s="8">
        <f ca="1">IFERROR(__xludf.DUMMYFUNCTION("""COMPUTED_VALUE"""),44022.6458333333)</f>
        <v>44022.645833333299</v>
      </c>
      <c r="B132" s="7">
        <f ca="1">IFERROR(__xludf.DUMMYFUNCTION("""COMPUTED_VALUE"""),552.55)</f>
        <v>552.54999999999995</v>
      </c>
      <c r="C132" s="6">
        <f t="shared" ca="1" si="0"/>
        <v>-1.7653961029725607E-2</v>
      </c>
      <c r="D132" s="7">
        <f t="shared" ca="1" si="1"/>
        <v>0.90652429644376076</v>
      </c>
    </row>
    <row r="133" spans="1:4" ht="12.75" x14ac:dyDescent="0.2">
      <c r="A133" s="8">
        <f ca="1">IFERROR(__xludf.DUMMYFUNCTION("""COMPUTED_VALUE"""),44025.6458333333)</f>
        <v>44025.645833333299</v>
      </c>
      <c r="B133" s="7">
        <f ca="1">IFERROR(__xludf.DUMMYFUNCTION("""COMPUTED_VALUE"""),540.13)</f>
        <v>540.13</v>
      </c>
      <c r="C133" s="6">
        <f t="shared" ca="1" si="0"/>
        <v>-2.2477603836756788E-2</v>
      </c>
      <c r="D133" s="7">
        <f t="shared" ca="1" si="1"/>
        <v>0.85442393497861624</v>
      </c>
    </row>
    <row r="134" spans="1:4" ht="12.75" x14ac:dyDescent="0.2">
      <c r="A134" s="8">
        <f ca="1">IFERROR(__xludf.DUMMYFUNCTION("""COMPUTED_VALUE"""),44026.6458333333)</f>
        <v>44026.645833333299</v>
      </c>
      <c r="B134" s="7">
        <f ca="1">IFERROR(__xludf.DUMMYFUNCTION("""COMPUTED_VALUE"""),529.42)</f>
        <v>529.41999999999996</v>
      </c>
      <c r="C134" s="6">
        <f t="shared" ca="1" si="0"/>
        <v>-1.9828559791161493E-2</v>
      </c>
      <c r="D134" s="7">
        <f t="shared" ca="1" si="1"/>
        <v>0.86080994295644297</v>
      </c>
    </row>
    <row r="135" spans="1:4" ht="12.75" x14ac:dyDescent="0.2">
      <c r="A135" s="8">
        <f ca="1">IFERROR(__xludf.DUMMYFUNCTION("""COMPUTED_VALUE"""),44027.6458333333)</f>
        <v>44027.645833333299</v>
      </c>
      <c r="B135" s="7">
        <f ca="1">IFERROR(__xludf.DUMMYFUNCTION("""COMPUTED_VALUE"""),526.58)</f>
        <v>526.58000000000004</v>
      </c>
      <c r="C135" s="6">
        <f t="shared" ca="1" si="0"/>
        <v>-5.3643609988287544E-3</v>
      </c>
      <c r="D135" s="7">
        <f t="shared" ca="1" si="1"/>
        <v>0.8986288882980743</v>
      </c>
    </row>
    <row r="136" spans="1:4" ht="12.75" x14ac:dyDescent="0.2">
      <c r="A136" s="8">
        <f ca="1">IFERROR(__xludf.DUMMYFUNCTION("""COMPUTED_VALUE"""),44028.6458333333)</f>
        <v>44028.645833333299</v>
      </c>
      <c r="B136" s="7">
        <f ca="1">IFERROR(__xludf.DUMMYFUNCTION("""COMPUTED_VALUE"""),531.28)</f>
        <v>531.28</v>
      </c>
      <c r="C136" s="6">
        <f t="shared" ca="1" si="0"/>
        <v>8.9255193892665563E-3</v>
      </c>
      <c r="D136" s="7">
        <f t="shared" ca="1" si="1"/>
        <v>0.87053907544044573</v>
      </c>
    </row>
    <row r="137" spans="1:4" ht="12.75" x14ac:dyDescent="0.2">
      <c r="A137" s="8">
        <f ca="1">IFERROR(__xludf.DUMMYFUNCTION("""COMPUTED_VALUE"""),44029.6458333333)</f>
        <v>44029.645833333299</v>
      </c>
      <c r="B137" s="7">
        <f ca="1">IFERROR(__xludf.DUMMYFUNCTION("""COMPUTED_VALUE"""),549.23)</f>
        <v>549.23</v>
      </c>
      <c r="C137" s="6">
        <f t="shared" ca="1" si="0"/>
        <v>3.3786327360337376E-2</v>
      </c>
      <c r="D137" s="7">
        <f t="shared" ca="1" si="1"/>
        <v>0.8457840977368315</v>
      </c>
    </row>
    <row r="138" spans="1:4" ht="12.75" x14ac:dyDescent="0.2">
      <c r="A138" s="8">
        <f ca="1">IFERROR(__xludf.DUMMYFUNCTION("""COMPUTED_VALUE"""),44032.6458333333)</f>
        <v>44032.645833333299</v>
      </c>
      <c r="B138" s="7">
        <f ca="1">IFERROR(__xludf.DUMMYFUNCTION("""COMPUTED_VALUE"""),566.53)</f>
        <v>566.53</v>
      </c>
      <c r="C138" s="6">
        <f t="shared" ca="1" si="0"/>
        <v>3.149864355552312E-2</v>
      </c>
      <c r="D138" s="7">
        <f t="shared" ca="1" si="1"/>
        <v>0.80825375531745891</v>
      </c>
    </row>
    <row r="139" spans="1:4" ht="12.75" x14ac:dyDescent="0.2">
      <c r="A139" s="8">
        <f ca="1">IFERROR(__xludf.DUMMYFUNCTION("""COMPUTED_VALUE"""),44033.6458333333)</f>
        <v>44033.645833333299</v>
      </c>
      <c r="B139" s="7">
        <f ca="1">IFERROR(__xludf.DUMMYFUNCTION("""COMPUTED_VALUE"""),569.28)</f>
        <v>569.28</v>
      </c>
      <c r="C139" s="6">
        <f t="shared" ca="1" si="0"/>
        <v>4.8541118740401679E-3</v>
      </c>
      <c r="D139" s="7">
        <f t="shared" ca="1" si="1"/>
        <v>0.79184232715008429</v>
      </c>
    </row>
    <row r="140" spans="1:4" ht="12.75" x14ac:dyDescent="0.2">
      <c r="A140" s="8">
        <f ca="1">IFERROR(__xludf.DUMMYFUNCTION("""COMPUTED_VALUE"""),44034.6458333333)</f>
        <v>44034.645833333299</v>
      </c>
      <c r="B140" s="7">
        <f ca="1">IFERROR(__xludf.DUMMYFUNCTION("""COMPUTED_VALUE"""),563.17)</f>
        <v>563.16999999999996</v>
      </c>
      <c r="C140" s="6">
        <f t="shared" ca="1" si="0"/>
        <v>-1.0732855536818464E-2</v>
      </c>
      <c r="D140" s="7">
        <f t="shared" ca="1" si="1"/>
        <v>0.82360566081289843</v>
      </c>
    </row>
    <row r="141" spans="1:4" ht="12.75" x14ac:dyDescent="0.2">
      <c r="A141" s="8">
        <f ca="1">IFERROR(__xludf.DUMMYFUNCTION("""COMPUTED_VALUE"""),44035.6458333333)</f>
        <v>44035.645833333299</v>
      </c>
      <c r="B141" s="7">
        <f ca="1">IFERROR(__xludf.DUMMYFUNCTION("""COMPUTED_VALUE"""),565.2)</f>
        <v>565.20000000000005</v>
      </c>
      <c r="C141" s="6">
        <f t="shared" ca="1" si="0"/>
        <v>3.6045954152388315E-3</v>
      </c>
      <c r="D141" s="7">
        <f t="shared" ca="1" si="1"/>
        <v>0.79060509554140124</v>
      </c>
    </row>
    <row r="142" spans="1:4" ht="12.75" x14ac:dyDescent="0.2">
      <c r="A142" s="8">
        <f ca="1">IFERROR(__xludf.DUMMYFUNCTION("""COMPUTED_VALUE"""),44036.6458333333)</f>
        <v>44036.645833333299</v>
      </c>
      <c r="B142" s="7">
        <f ca="1">IFERROR(__xludf.DUMMYFUNCTION("""COMPUTED_VALUE"""),559.55)</f>
        <v>559.54999999999995</v>
      </c>
      <c r="C142" s="6">
        <f t="shared" ca="1" si="0"/>
        <v>-9.9964614295826593E-3</v>
      </c>
      <c r="D142" s="7">
        <f t="shared" ca="1" si="1"/>
        <v>0.79363774461620951</v>
      </c>
    </row>
    <row r="143" spans="1:4" ht="12.75" x14ac:dyDescent="0.2">
      <c r="A143" s="8">
        <f ca="1">IFERROR(__xludf.DUMMYFUNCTION("""COMPUTED_VALUE"""),44039.6458333333)</f>
        <v>44039.645833333299</v>
      </c>
      <c r="B143" s="7">
        <f ca="1">IFERROR(__xludf.DUMMYFUNCTION("""COMPUTED_VALUE"""),539.75)</f>
        <v>539.75</v>
      </c>
      <c r="C143" s="6">
        <f t="shared" ca="1" si="0"/>
        <v>-3.538557769636308E-2</v>
      </c>
      <c r="D143" s="7">
        <f t="shared" ca="1" si="1"/>
        <v>0.77504400185270961</v>
      </c>
    </row>
    <row r="144" spans="1:4" ht="12.75" x14ac:dyDescent="0.2">
      <c r="A144" s="8">
        <f ca="1">IFERROR(__xludf.DUMMYFUNCTION("""COMPUTED_VALUE"""),44040.6458333333)</f>
        <v>44040.645833333299</v>
      </c>
      <c r="B144" s="7">
        <f ca="1">IFERROR(__xludf.DUMMYFUNCTION("""COMPUTED_VALUE"""),543.33)</f>
        <v>543.33000000000004</v>
      </c>
      <c r="C144" s="6">
        <f t="shared" ca="1" si="0"/>
        <v>6.632700324224361E-3</v>
      </c>
      <c r="D144" s="7">
        <f t="shared" ca="1" si="1"/>
        <v>0.76441573261185647</v>
      </c>
    </row>
    <row r="145" spans="1:4" ht="12.75" x14ac:dyDescent="0.2">
      <c r="A145" s="8">
        <f ca="1">IFERROR(__xludf.DUMMYFUNCTION("""COMPUTED_VALUE"""),44041.6458333333)</f>
        <v>44041.645833333299</v>
      </c>
      <c r="B145" s="7">
        <f ca="1">IFERROR(__xludf.DUMMYFUNCTION("""COMPUTED_VALUE"""),532.3)</f>
        <v>532.29999999999995</v>
      </c>
      <c r="C145" s="6">
        <f t="shared" ca="1" si="0"/>
        <v>-2.0300738041337807E-2</v>
      </c>
      <c r="D145" s="7">
        <f t="shared" ca="1" si="1"/>
        <v>0.80509111403343991</v>
      </c>
    </row>
    <row r="146" spans="1:4" ht="12.75" x14ac:dyDescent="0.2">
      <c r="A146" s="8">
        <f ca="1">IFERROR(__xludf.DUMMYFUNCTION("""COMPUTED_VALUE"""),44042.6458333333)</f>
        <v>44042.645833333299</v>
      </c>
      <c r="B146" s="7">
        <f ca="1">IFERROR(__xludf.DUMMYFUNCTION("""COMPUTED_VALUE"""),525.33)</f>
        <v>525.33000000000004</v>
      </c>
      <c r="C146" s="6">
        <f t="shared" ca="1" si="0"/>
        <v>-1.3094119857223196E-2</v>
      </c>
      <c r="D146" s="7">
        <f t="shared" ca="1" si="1"/>
        <v>0.81811432813659979</v>
      </c>
    </row>
    <row r="147" spans="1:4" ht="12.75" x14ac:dyDescent="0.2">
      <c r="A147" s="8">
        <f ca="1">IFERROR(__xludf.DUMMYFUNCTION("""COMPUTED_VALUE"""),44043.6458333333)</f>
        <v>44043.645833333299</v>
      </c>
      <c r="B147" s="7">
        <f ca="1">IFERROR(__xludf.DUMMYFUNCTION("""COMPUTED_VALUE"""),516.4)</f>
        <v>516.4</v>
      </c>
      <c r="C147" s="6">
        <f t="shared" ca="1" si="0"/>
        <v>-1.6998838825119544E-2</v>
      </c>
      <c r="D147" s="7">
        <f t="shared" ca="1" si="1"/>
        <v>0.81221920991479479</v>
      </c>
    </row>
    <row r="148" spans="1:4" ht="12.75" x14ac:dyDescent="0.2">
      <c r="A148" s="8">
        <f ca="1">IFERROR(__xludf.DUMMYFUNCTION("""COMPUTED_VALUE"""),44046.6458333333)</f>
        <v>44046.645833333299</v>
      </c>
      <c r="B148" s="7">
        <f ca="1">IFERROR(__xludf.DUMMYFUNCTION("""COMPUTED_VALUE"""),501)</f>
        <v>501</v>
      </c>
      <c r="C148" s="6">
        <f t="shared" ca="1" si="0"/>
        <v>-2.9821843532145564E-2</v>
      </c>
      <c r="D148" s="7">
        <f t="shared" ca="1" si="1"/>
        <v>0.85069860279441112</v>
      </c>
    </row>
    <row r="149" spans="1:4" ht="12.75" x14ac:dyDescent="0.2">
      <c r="A149" s="8">
        <f ca="1">IFERROR(__xludf.DUMMYFUNCTION("""COMPUTED_VALUE"""),44047.6458333333)</f>
        <v>44047.645833333299</v>
      </c>
      <c r="B149" s="7">
        <f ca="1">IFERROR(__xludf.DUMMYFUNCTION("""COMPUTED_VALUE"""),520.83)</f>
        <v>520.83000000000004</v>
      </c>
      <c r="C149" s="6">
        <f t="shared" ca="1" si="0"/>
        <v>3.9580838323353351E-2</v>
      </c>
      <c r="D149" s="7">
        <f t="shared" ca="1" si="1"/>
        <v>0.86751915212257347</v>
      </c>
    </row>
    <row r="150" spans="1:4" ht="12.75" x14ac:dyDescent="0.2">
      <c r="A150" s="8">
        <f ca="1">IFERROR(__xludf.DUMMYFUNCTION("""COMPUTED_VALUE"""),44048.6458333333)</f>
        <v>44048.645833333299</v>
      </c>
      <c r="B150" s="7">
        <f ca="1">IFERROR(__xludf.DUMMYFUNCTION("""COMPUTED_VALUE"""),513.78)</f>
        <v>513.78</v>
      </c>
      <c r="C150" s="6">
        <f t="shared" ca="1" si="0"/>
        <v>-1.3536086630954514E-2</v>
      </c>
      <c r="D150" s="7">
        <f t="shared" ca="1" si="1"/>
        <v>0.91990735334189733</v>
      </c>
    </row>
    <row r="151" spans="1:4" ht="12.75" x14ac:dyDescent="0.2">
      <c r="A151" s="8">
        <f ca="1">IFERROR(__xludf.DUMMYFUNCTION("""COMPUTED_VALUE"""),44049.6458333333)</f>
        <v>44049.645833333299</v>
      </c>
      <c r="B151" s="7">
        <f ca="1">IFERROR(__xludf.DUMMYFUNCTION("""COMPUTED_VALUE"""),520.35)</f>
        <v>520.35</v>
      </c>
      <c r="C151" s="6">
        <f t="shared" ca="1" si="0"/>
        <v>1.278757444820755E-2</v>
      </c>
      <c r="D151" s="7">
        <f t="shared" ca="1" si="1"/>
        <v>0.91444220236379348</v>
      </c>
    </row>
    <row r="152" spans="1:4" ht="12.75" x14ac:dyDescent="0.2">
      <c r="A152" s="8">
        <f ca="1">IFERROR(__xludf.DUMMYFUNCTION("""COMPUTED_VALUE"""),44050.6458333333)</f>
        <v>44050.645833333299</v>
      </c>
      <c r="B152" s="7">
        <f ca="1">IFERROR(__xludf.DUMMYFUNCTION("""COMPUTED_VALUE"""),521.92)</f>
        <v>521.91999999999996</v>
      </c>
      <c r="C152" s="6">
        <f t="shared" ca="1" si="0"/>
        <v>3.0171999615642431E-3</v>
      </c>
      <c r="D152" s="7">
        <f t="shared" ca="1" si="1"/>
        <v>0.94617949110974864</v>
      </c>
    </row>
    <row r="153" spans="1:4" ht="12.75" x14ac:dyDescent="0.2">
      <c r="A153" s="8">
        <f ca="1">IFERROR(__xludf.DUMMYFUNCTION("""COMPUTED_VALUE"""),44053.6458333333)</f>
        <v>44053.645833333299</v>
      </c>
      <c r="B153" s="7">
        <f ca="1">IFERROR(__xludf.DUMMYFUNCTION("""COMPUTED_VALUE"""),525.33)</f>
        <v>525.33000000000004</v>
      </c>
      <c r="C153" s="6">
        <f t="shared" ca="1" si="0"/>
        <v>6.533568362967701E-3</v>
      </c>
      <c r="D153" s="7">
        <f t="shared" ca="1" si="1"/>
        <v>0.95273447166542924</v>
      </c>
    </row>
    <row r="154" spans="1:4" ht="12.75" x14ac:dyDescent="0.2">
      <c r="A154" s="8">
        <f ca="1">IFERROR(__xludf.DUMMYFUNCTION("""COMPUTED_VALUE"""),44054.6458333333)</f>
        <v>44054.645833333299</v>
      </c>
      <c r="B154" s="7">
        <f ca="1">IFERROR(__xludf.DUMMYFUNCTION("""COMPUTED_VALUE"""),533.33)</f>
        <v>533.33000000000004</v>
      </c>
      <c r="C154" s="6">
        <f t="shared" ca="1" si="0"/>
        <v>1.5228523023623319E-2</v>
      </c>
      <c r="D154" s="7">
        <f t="shared" ca="1" si="1"/>
        <v>0.95837473984212396</v>
      </c>
    </row>
    <row r="155" spans="1:4" ht="12.75" x14ac:dyDescent="0.2">
      <c r="A155" s="8">
        <f ca="1">IFERROR(__xludf.DUMMYFUNCTION("""COMPUTED_VALUE"""),44055.6458333333)</f>
        <v>44055.645833333299</v>
      </c>
      <c r="B155" s="7">
        <f ca="1">IFERROR(__xludf.DUMMYFUNCTION("""COMPUTED_VALUE"""),531.85)</f>
        <v>531.85</v>
      </c>
      <c r="C155" s="6">
        <f t="shared" ca="1" si="0"/>
        <v>-2.7750173438584325E-3</v>
      </c>
      <c r="D155" s="7">
        <f t="shared" ca="1" si="1"/>
        <v>0.94171288897245464</v>
      </c>
    </row>
    <row r="156" spans="1:4" ht="12.75" x14ac:dyDescent="0.2">
      <c r="A156" s="8">
        <f ca="1">IFERROR(__xludf.DUMMYFUNCTION("""COMPUTED_VALUE"""),44056.6458333333)</f>
        <v>44056.645833333299</v>
      </c>
      <c r="B156" s="7">
        <f ca="1">IFERROR(__xludf.DUMMYFUNCTION("""COMPUTED_VALUE"""),529.53)</f>
        <v>529.53</v>
      </c>
      <c r="C156" s="6">
        <f t="shared" ca="1" si="0"/>
        <v>-4.3621321801260438E-3</v>
      </c>
      <c r="D156" s="7">
        <f t="shared" ca="1" si="1"/>
        <v>0.97571431269238751</v>
      </c>
    </row>
    <row r="157" spans="1:4" ht="12.75" x14ac:dyDescent="0.2">
      <c r="A157" s="8">
        <f ca="1">IFERROR(__xludf.DUMMYFUNCTION("""COMPUTED_VALUE"""),44057.6458333333)</f>
        <v>44057.645833333299</v>
      </c>
      <c r="B157" s="7">
        <f ca="1">IFERROR(__xludf.DUMMYFUNCTION("""COMPUTED_VALUE"""),517.23)</f>
        <v>517.23</v>
      </c>
      <c r="C157" s="6">
        <f t="shared" ca="1" si="0"/>
        <v>-2.3228145714123793E-2</v>
      </c>
      <c r="D157" s="7">
        <f t="shared" ca="1" si="1"/>
        <v>0.98205827194864947</v>
      </c>
    </row>
    <row r="158" spans="1:4" ht="12.75" x14ac:dyDescent="0.2">
      <c r="A158" s="8">
        <f ca="1">IFERROR(__xludf.DUMMYFUNCTION("""COMPUTED_VALUE"""),44060.6458333333)</f>
        <v>44060.645833333299</v>
      </c>
      <c r="B158" s="7">
        <f ca="1">IFERROR(__xludf.DUMMYFUNCTION("""COMPUTED_VALUE"""),516.38)</f>
        <v>516.38</v>
      </c>
      <c r="C158" s="6">
        <f t="shared" ca="1" si="0"/>
        <v>-1.6433694874621319E-3</v>
      </c>
      <c r="D158" s="7">
        <f t="shared" ca="1" si="1"/>
        <v>0.95598202873852589</v>
      </c>
    </row>
    <row r="159" spans="1:4" ht="12.75" x14ac:dyDescent="0.2">
      <c r="A159" s="8">
        <f ca="1">IFERROR(__xludf.DUMMYFUNCTION("""COMPUTED_VALUE"""),44061.6458333333)</f>
        <v>44061.645833333299</v>
      </c>
      <c r="B159" s="7">
        <f ca="1">IFERROR(__xludf.DUMMYFUNCTION("""COMPUTED_VALUE"""),528.25)</f>
        <v>528.25</v>
      </c>
      <c r="C159" s="6">
        <f t="shared" ca="1" si="0"/>
        <v>2.2986947596731033E-2</v>
      </c>
      <c r="D159" s="7">
        <f t="shared" ca="1" si="1"/>
        <v>0.93881684808329391</v>
      </c>
    </row>
    <row r="160" spans="1:4" ht="12.75" x14ac:dyDescent="0.2">
      <c r="A160" s="8">
        <f ca="1">IFERROR(__xludf.DUMMYFUNCTION("""COMPUTED_VALUE"""),44062.6458333333)</f>
        <v>44062.645833333299</v>
      </c>
      <c r="B160" s="7">
        <f ca="1">IFERROR(__xludf.DUMMYFUNCTION("""COMPUTED_VALUE"""),533.3)</f>
        <v>533.29999999999995</v>
      </c>
      <c r="C160" s="6">
        <f t="shared" ca="1" si="0"/>
        <v>9.5598674869852296E-3</v>
      </c>
      <c r="D160" s="7">
        <f t="shared" ca="1" si="1"/>
        <v>0.9081192574535909</v>
      </c>
    </row>
    <row r="161" spans="1:4" ht="12.75" x14ac:dyDescent="0.2">
      <c r="A161" s="8">
        <f ca="1">IFERROR(__xludf.DUMMYFUNCTION("""COMPUTED_VALUE"""),44063.6458333333)</f>
        <v>44063.645833333299</v>
      </c>
      <c r="B161" s="7">
        <f ca="1">IFERROR(__xludf.DUMMYFUNCTION("""COMPUTED_VALUE"""),529.5)</f>
        <v>529.5</v>
      </c>
      <c r="C161" s="6">
        <f t="shared" ca="1" si="0"/>
        <v>-7.1254453403336582E-3</v>
      </c>
      <c r="D161" s="7">
        <f t="shared" ca="1" si="1"/>
        <v>0.92800755429650617</v>
      </c>
    </row>
    <row r="162" spans="1:4" ht="12.75" x14ac:dyDescent="0.2">
      <c r="A162" s="8">
        <f ca="1">IFERROR(__xludf.DUMMYFUNCTION("""COMPUTED_VALUE"""),44064.6458333333)</f>
        <v>44064.645833333299</v>
      </c>
      <c r="B162" s="7">
        <f ca="1">IFERROR(__xludf.DUMMYFUNCTION("""COMPUTED_VALUE"""),542.83)</f>
        <v>542.83000000000004</v>
      </c>
      <c r="C162" s="6">
        <f t="shared" ca="1" si="0"/>
        <v>2.5174693106704504E-2</v>
      </c>
      <c r="D162" s="7">
        <f t="shared" ca="1" si="1"/>
        <v>0.87491479837149744</v>
      </c>
    </row>
    <row r="163" spans="1:4" ht="12.75" x14ac:dyDescent="0.2">
      <c r="A163" s="8">
        <f ca="1">IFERROR(__xludf.DUMMYFUNCTION("""COMPUTED_VALUE"""),44067.6458333333)</f>
        <v>44067.645833333299</v>
      </c>
      <c r="B163" s="7">
        <f ca="1">IFERROR(__xludf.DUMMYFUNCTION("""COMPUTED_VALUE"""),558.53)</f>
        <v>558.53</v>
      </c>
      <c r="C163" s="6">
        <f t="shared" ca="1" si="0"/>
        <v>2.8922498756516646E-2</v>
      </c>
      <c r="D163" s="7">
        <f t="shared" ca="1" si="1"/>
        <v>0.88661307360392461</v>
      </c>
    </row>
    <row r="164" spans="1:4" ht="12.75" x14ac:dyDescent="0.2">
      <c r="A164" s="8">
        <f ca="1">IFERROR(__xludf.DUMMYFUNCTION("""COMPUTED_VALUE"""),44068.6458333333)</f>
        <v>44068.645833333299</v>
      </c>
      <c r="B164" s="7">
        <f ca="1">IFERROR(__xludf.DUMMYFUNCTION("""COMPUTED_VALUE"""),559.85)</f>
        <v>559.85</v>
      </c>
      <c r="C164" s="6">
        <f t="shared" ca="1" si="0"/>
        <v>2.3633466420784899E-3</v>
      </c>
      <c r="D164" s="7">
        <f t="shared" ca="1" si="1"/>
        <v>0.87457354648566576</v>
      </c>
    </row>
    <row r="165" spans="1:4" ht="12.75" x14ac:dyDescent="0.2">
      <c r="A165" s="8">
        <f ca="1">IFERROR(__xludf.DUMMYFUNCTION("""COMPUTED_VALUE"""),44069.6458333333)</f>
        <v>44069.645833333299</v>
      </c>
      <c r="B165" s="7">
        <f ca="1">IFERROR(__xludf.DUMMYFUNCTION("""COMPUTED_VALUE"""),559.23)</f>
        <v>559.23</v>
      </c>
      <c r="C165" s="6">
        <f t="shared" ca="1" si="0"/>
        <v>-1.107439492721296E-3</v>
      </c>
      <c r="D165" s="7">
        <f t="shared" ca="1" si="1"/>
        <v>0.91193247858662807</v>
      </c>
    </row>
    <row r="166" spans="1:4" ht="12.75" x14ac:dyDescent="0.2">
      <c r="A166" s="8">
        <f ca="1">IFERROR(__xludf.DUMMYFUNCTION("""COMPUTED_VALUE"""),44070.6458333333)</f>
        <v>44070.645833333299</v>
      </c>
      <c r="B166" s="7">
        <f ca="1">IFERROR(__xludf.DUMMYFUNCTION("""COMPUTED_VALUE"""),556.05)</f>
        <v>556.04999999999995</v>
      </c>
      <c r="C166" s="6">
        <f t="shared" ca="1" si="0"/>
        <v>-5.6863902151172985E-3</v>
      </c>
      <c r="D166" s="7">
        <f t="shared" ca="1" si="1"/>
        <v>0.92917903066271024</v>
      </c>
    </row>
    <row r="167" spans="1:4" ht="12.75" x14ac:dyDescent="0.2">
      <c r="A167" s="8">
        <f ca="1">IFERROR(__xludf.DUMMYFUNCTION("""COMPUTED_VALUE"""),44071.6458333333)</f>
        <v>44071.645833333299</v>
      </c>
      <c r="B167" s="7">
        <f ca="1">IFERROR(__xludf.DUMMYFUNCTION("""COMPUTED_VALUE"""),557.25)</f>
        <v>557.25</v>
      </c>
      <c r="C167" s="6">
        <f t="shared" ca="1" si="0"/>
        <v>2.1580793094146955E-3</v>
      </c>
      <c r="D167" s="7">
        <f t="shared" ca="1" si="1"/>
        <v>0.92306864064602956</v>
      </c>
    </row>
    <row r="168" spans="1:4" ht="12.75" x14ac:dyDescent="0.2">
      <c r="A168" s="8">
        <f ca="1">IFERROR(__xludf.DUMMYFUNCTION("""COMPUTED_VALUE"""),44074.6458333333)</f>
        <v>44074.645833333299</v>
      </c>
      <c r="B168" s="7">
        <f ca="1">IFERROR(__xludf.DUMMYFUNCTION("""COMPUTED_VALUE"""),557.92)</f>
        <v>557.91999999999996</v>
      </c>
      <c r="C168" s="6">
        <f t="shared" ca="1" si="0"/>
        <v>1.2023328847015069E-3</v>
      </c>
      <c r="D168" s="7">
        <f t="shared" ca="1" si="1"/>
        <v>0.93409449383424148</v>
      </c>
    </row>
    <row r="169" spans="1:4" ht="12.75" x14ac:dyDescent="0.2">
      <c r="A169" s="8">
        <f ca="1">IFERROR(__xludf.DUMMYFUNCTION("""COMPUTED_VALUE"""),44075.6458333333)</f>
        <v>44075.645833333299</v>
      </c>
      <c r="B169" s="7">
        <f ca="1">IFERROR(__xludf.DUMMYFUNCTION("""COMPUTED_VALUE"""),563.65)</f>
        <v>563.65</v>
      </c>
      <c r="C169" s="6">
        <f t="shared" ca="1" si="0"/>
        <v>1.0270289647261288E-2</v>
      </c>
      <c r="D169" s="7">
        <f t="shared" ca="1" si="1"/>
        <v>0.91590526035660436</v>
      </c>
    </row>
    <row r="170" spans="1:4" ht="12.75" x14ac:dyDescent="0.2">
      <c r="A170" s="8">
        <f ca="1">IFERROR(__xludf.DUMMYFUNCTION("""COMPUTED_VALUE"""),44076.6458333333)</f>
        <v>44076.645833333299</v>
      </c>
      <c r="B170" s="7">
        <f ca="1">IFERROR(__xludf.DUMMYFUNCTION("""COMPUTED_VALUE"""),567.08)</f>
        <v>567.08000000000004</v>
      </c>
      <c r="C170" s="6">
        <f t="shared" ca="1" si="0"/>
        <v>6.0853366450812629E-3</v>
      </c>
      <c r="D170" s="7">
        <f t="shared" ca="1" si="1"/>
        <v>0.90706778585032088</v>
      </c>
    </row>
    <row r="171" spans="1:4" ht="12.75" x14ac:dyDescent="0.2">
      <c r="A171" s="8">
        <f ca="1">IFERROR(__xludf.DUMMYFUNCTION("""COMPUTED_VALUE"""),44077.6458333333)</f>
        <v>44077.645833333299</v>
      </c>
      <c r="B171" s="7">
        <f ca="1">IFERROR(__xludf.DUMMYFUNCTION("""COMPUTED_VALUE"""),565.45)</f>
        <v>565.45000000000005</v>
      </c>
      <c r="C171" s="6">
        <f t="shared" ca="1" si="0"/>
        <v>-2.8743739860337403E-3</v>
      </c>
      <c r="D171" s="7">
        <f t="shared" ca="1" si="1"/>
        <v>0.93417631974533555</v>
      </c>
    </row>
    <row r="172" spans="1:4" ht="12.75" x14ac:dyDescent="0.2">
      <c r="A172" s="8">
        <f ca="1">IFERROR(__xludf.DUMMYFUNCTION("""COMPUTED_VALUE"""),44078.6458333333)</f>
        <v>44078.645833333299</v>
      </c>
      <c r="B172" s="7">
        <f ca="1">IFERROR(__xludf.DUMMYFUNCTION("""COMPUTED_VALUE"""),559.65)</f>
        <v>559.65</v>
      </c>
      <c r="C172" s="6">
        <f t="shared" ca="1" si="0"/>
        <v>-1.025731718100642E-2</v>
      </c>
      <c r="D172" s="7">
        <f t="shared" ca="1" si="1"/>
        <v>0.96136871258822476</v>
      </c>
    </row>
    <row r="173" spans="1:4" ht="12.75" x14ac:dyDescent="0.2">
      <c r="A173" s="8">
        <f ca="1">IFERROR(__xludf.DUMMYFUNCTION("""COMPUTED_VALUE"""),44081.6458333333)</f>
        <v>44081.645833333299</v>
      </c>
      <c r="B173" s="7">
        <f ca="1">IFERROR(__xludf.DUMMYFUNCTION("""COMPUTED_VALUE"""),555.25)</f>
        <v>555.25</v>
      </c>
      <c r="C173" s="6">
        <f t="shared" ca="1" si="0"/>
        <v>-7.8620566425443572E-3</v>
      </c>
      <c r="D173" s="7">
        <f t="shared" ca="1" si="1"/>
        <v>0.95978388113462398</v>
      </c>
    </row>
    <row r="174" spans="1:4" ht="12.75" x14ac:dyDescent="0.2">
      <c r="A174" s="8">
        <f ca="1">IFERROR(__xludf.DUMMYFUNCTION("""COMPUTED_VALUE"""),44082.6458333333)</f>
        <v>44082.645833333299</v>
      </c>
      <c r="B174" s="7">
        <f ca="1">IFERROR(__xludf.DUMMYFUNCTION("""COMPUTED_VALUE"""),556.23)</f>
        <v>556.23</v>
      </c>
      <c r="C174" s="6">
        <f t="shared" ca="1" si="0"/>
        <v>1.7649707339035814E-3</v>
      </c>
      <c r="D174" s="7">
        <f t="shared" ca="1" si="1"/>
        <v>0.97495640292684671</v>
      </c>
    </row>
    <row r="175" spans="1:4" ht="12.75" x14ac:dyDescent="0.2">
      <c r="A175" s="8">
        <f ca="1">IFERROR(__xludf.DUMMYFUNCTION("""COMPUTED_VALUE"""),44083.6458333333)</f>
        <v>44083.645833333299</v>
      </c>
      <c r="B175" s="7">
        <f ca="1">IFERROR(__xludf.DUMMYFUNCTION("""COMPUTED_VALUE"""),548.25)</f>
        <v>548.25</v>
      </c>
      <c r="C175" s="6">
        <f t="shared" ca="1" si="0"/>
        <v>-1.4346583247937028E-2</v>
      </c>
      <c r="D175" s="7">
        <f t="shared" ca="1" si="1"/>
        <v>0.99352485180118566</v>
      </c>
    </row>
    <row r="176" spans="1:4" ht="12.75" x14ac:dyDescent="0.2">
      <c r="A176" s="8">
        <f ca="1">IFERROR(__xludf.DUMMYFUNCTION("""COMPUTED_VALUE"""),44084.6458333333)</f>
        <v>44084.645833333299</v>
      </c>
      <c r="B176" s="7">
        <f ca="1">IFERROR(__xludf.DUMMYFUNCTION("""COMPUTED_VALUE"""),545.28)</f>
        <v>545.28</v>
      </c>
      <c r="C176" s="6">
        <f t="shared" ca="1" si="0"/>
        <v>-5.4172366621068058E-3</v>
      </c>
      <c r="D176" s="7">
        <f t="shared" ca="1" si="1"/>
        <v>0.98477846244131462</v>
      </c>
    </row>
    <row r="177" spans="1:4" ht="12.75" x14ac:dyDescent="0.2">
      <c r="A177" s="8">
        <f ca="1">IFERROR(__xludf.DUMMYFUNCTION("""COMPUTED_VALUE"""),44085.6458333333)</f>
        <v>44085.645833333299</v>
      </c>
      <c r="B177" s="7">
        <f ca="1">IFERROR(__xludf.DUMMYFUNCTION("""COMPUTED_VALUE"""),539.33)</f>
        <v>539.33000000000004</v>
      </c>
      <c r="C177" s="6">
        <f t="shared" ca="1" si="0"/>
        <v>-1.0911825117370766E-2</v>
      </c>
      <c r="D177" s="7">
        <f t="shared" ca="1" si="1"/>
        <v>1.0225650343945265</v>
      </c>
    </row>
    <row r="178" spans="1:4" ht="12.75" x14ac:dyDescent="0.2">
      <c r="A178" s="8">
        <f ca="1">IFERROR(__xludf.DUMMYFUNCTION("""COMPUTED_VALUE"""),44088.6458333333)</f>
        <v>44088.645833333299</v>
      </c>
      <c r="B178" s="7">
        <f ca="1">IFERROR(__xludf.DUMMYFUNCTION("""COMPUTED_VALUE"""),528.98)</f>
        <v>528.98</v>
      </c>
      <c r="C178" s="6">
        <f t="shared" ca="1" si="0"/>
        <v>-1.9190477073405932E-2</v>
      </c>
      <c r="D178" s="7">
        <f t="shared" ca="1" si="1"/>
        <v>1.0446141631063557</v>
      </c>
    </row>
    <row r="179" spans="1:4" ht="12.75" x14ac:dyDescent="0.2">
      <c r="A179" s="8">
        <f ca="1">IFERROR(__xludf.DUMMYFUNCTION("""COMPUTED_VALUE"""),44089.6458333333)</f>
        <v>44089.645833333299</v>
      </c>
      <c r="B179" s="7">
        <f ca="1">IFERROR(__xludf.DUMMYFUNCTION("""COMPUTED_VALUE"""),535.25)</f>
        <v>535.25</v>
      </c>
      <c r="C179" s="6">
        <f t="shared" ca="1" si="0"/>
        <v>1.1853000113425827E-2</v>
      </c>
      <c r="D179" s="7">
        <f t="shared" ca="1" si="1"/>
        <v>1.0372162540868752</v>
      </c>
    </row>
    <row r="180" spans="1:4" ht="12.75" x14ac:dyDescent="0.2">
      <c r="A180" s="8">
        <f ca="1">IFERROR(__xludf.DUMMYFUNCTION("""COMPUTED_VALUE"""),44090.6458333333)</f>
        <v>44090.645833333299</v>
      </c>
      <c r="B180" s="7">
        <f ca="1">IFERROR(__xludf.DUMMYFUNCTION("""COMPUTED_VALUE"""),546.83)</f>
        <v>546.83000000000004</v>
      </c>
      <c r="C180" s="6">
        <f t="shared" ca="1" si="0"/>
        <v>2.1634750116767965E-2</v>
      </c>
      <c r="D180" s="7">
        <f t="shared" ca="1" si="1"/>
        <v>1.0286194978329646</v>
      </c>
    </row>
    <row r="181" spans="1:4" ht="12.75" x14ac:dyDescent="0.2">
      <c r="A181" s="8">
        <f ca="1">IFERROR(__xludf.DUMMYFUNCTION("""COMPUTED_VALUE"""),44091.6458333333)</f>
        <v>44091.645833333299</v>
      </c>
      <c r="B181" s="7">
        <f ca="1">IFERROR(__xludf.DUMMYFUNCTION("""COMPUTED_VALUE"""),541.8)</f>
        <v>541.79999999999995</v>
      </c>
      <c r="C181" s="6">
        <f t="shared" ca="1" si="0"/>
        <v>-9.19847118848649E-3</v>
      </c>
      <c r="D181" s="7">
        <f t="shared" ca="1" si="1"/>
        <v>1.0198412698412698</v>
      </c>
    </row>
    <row r="182" spans="1:4" ht="12.75" x14ac:dyDescent="0.2">
      <c r="A182" s="8">
        <f ca="1">IFERROR(__xludf.DUMMYFUNCTION("""COMPUTED_VALUE"""),44092.6458333333)</f>
        <v>44092.645833333299</v>
      </c>
      <c r="B182" s="7">
        <f ca="1">IFERROR(__xludf.DUMMYFUNCTION("""COMPUTED_VALUE"""),528.65)</f>
        <v>528.65</v>
      </c>
      <c r="C182" s="6">
        <f t="shared" ca="1" si="0"/>
        <v>-2.4270948689553262E-2</v>
      </c>
      <c r="D182" s="7">
        <f t="shared" ca="1" si="1"/>
        <v>1.0217156909108105</v>
      </c>
    </row>
    <row r="183" spans="1:4" ht="12.75" x14ac:dyDescent="0.2">
      <c r="A183" s="8">
        <f ca="1">IFERROR(__xludf.DUMMYFUNCTION("""COMPUTED_VALUE"""),44095.6458333333)</f>
        <v>44095.645833333299</v>
      </c>
      <c r="B183" s="7">
        <f ca="1">IFERROR(__xludf.DUMMYFUNCTION("""COMPUTED_VALUE"""),524.65)</f>
        <v>524.65</v>
      </c>
      <c r="C183" s="6">
        <f t="shared" ca="1" si="0"/>
        <v>-7.566442826066444E-3</v>
      </c>
      <c r="D183" s="7">
        <f t="shared" ca="1" si="1"/>
        <v>1.0090917754693605</v>
      </c>
    </row>
    <row r="184" spans="1:4" ht="12.75" x14ac:dyDescent="0.2">
      <c r="A184" s="8">
        <f ca="1">IFERROR(__xludf.DUMMYFUNCTION("""COMPUTED_VALUE"""),44096.6458333333)</f>
        <v>44096.645833333299</v>
      </c>
      <c r="B184" s="7">
        <f ca="1">IFERROR(__xludf.DUMMYFUNCTION("""COMPUTED_VALUE"""),517.7)</f>
        <v>517.70000000000005</v>
      </c>
      <c r="C184" s="6">
        <f t="shared" ca="1" si="0"/>
        <v>-1.3246926522443414E-2</v>
      </c>
      <c r="D184" s="7">
        <f t="shared" ca="1" si="1"/>
        <v>1.0171527911918099</v>
      </c>
    </row>
    <row r="185" spans="1:4" ht="12.75" x14ac:dyDescent="0.2">
      <c r="A185" s="8">
        <f ca="1">IFERROR(__xludf.DUMMYFUNCTION("""COMPUTED_VALUE"""),44097.6458333333)</f>
        <v>44097.645833333299</v>
      </c>
      <c r="B185" s="7">
        <f ca="1">IFERROR(__xludf.DUMMYFUNCTION("""COMPUTED_VALUE"""),523.63)</f>
        <v>523.63</v>
      </c>
      <c r="C185" s="6">
        <f t="shared" ca="1" si="0"/>
        <v>1.1454510334170331E-2</v>
      </c>
      <c r="D185" s="7">
        <f t="shared" ca="1" si="1"/>
        <v>1.0146095525466454</v>
      </c>
    </row>
    <row r="186" spans="1:4" ht="12.75" x14ac:dyDescent="0.2">
      <c r="A186" s="8">
        <f ca="1">IFERROR(__xludf.DUMMYFUNCTION("""COMPUTED_VALUE"""),44098.6458333333)</f>
        <v>44098.645833333299</v>
      </c>
      <c r="B186" s="7">
        <f ca="1">IFERROR(__xludf.DUMMYFUNCTION("""COMPUTED_VALUE"""),515.2)</f>
        <v>515.20000000000005</v>
      </c>
      <c r="C186" s="6">
        <f t="shared" ca="1" si="0"/>
        <v>-1.609915398277395E-2</v>
      </c>
      <c r="D186" s="7">
        <f t="shared" ca="1" si="1"/>
        <v>1.0660520186335403</v>
      </c>
    </row>
    <row r="187" spans="1:4" ht="12.75" x14ac:dyDescent="0.2">
      <c r="A187" s="8">
        <f ca="1">IFERROR(__xludf.DUMMYFUNCTION("""COMPUTED_VALUE"""),44099.6458333333)</f>
        <v>44099.645833333299</v>
      </c>
      <c r="B187" s="7">
        <f ca="1">IFERROR(__xludf.DUMMYFUNCTION("""COMPUTED_VALUE"""),522)</f>
        <v>522</v>
      </c>
      <c r="C187" s="6">
        <f t="shared" ca="1" si="0"/>
        <v>1.3198757763975166E-2</v>
      </c>
      <c r="D187" s="7">
        <f t="shared" ca="1" si="1"/>
        <v>1.0853065134099615</v>
      </c>
    </row>
    <row r="188" spans="1:4" ht="12.75" x14ac:dyDescent="0.2">
      <c r="A188" s="8">
        <f ca="1">IFERROR(__xludf.DUMMYFUNCTION("""COMPUTED_VALUE"""),44102.6458333333)</f>
        <v>44102.645833333299</v>
      </c>
      <c r="B188" s="7">
        <f ca="1">IFERROR(__xludf.DUMMYFUNCTION("""COMPUTED_VALUE"""),527.1)</f>
        <v>527.1</v>
      </c>
      <c r="C188" s="6">
        <f t="shared" ca="1" si="0"/>
        <v>9.7701149425288847E-3</v>
      </c>
      <c r="D188" s="7">
        <f t="shared" ca="1" si="1"/>
        <v>1.0800227660785429</v>
      </c>
    </row>
    <row r="189" spans="1:4" ht="12.75" x14ac:dyDescent="0.2">
      <c r="A189" s="8">
        <f ca="1">IFERROR(__xludf.DUMMYFUNCTION("""COMPUTED_VALUE"""),44103.6458333333)</f>
        <v>44103.645833333299</v>
      </c>
      <c r="B189" s="7">
        <f ca="1">IFERROR(__xludf.DUMMYFUNCTION("""COMPUTED_VALUE"""),531.28)</f>
        <v>531.28</v>
      </c>
      <c r="C189" s="6">
        <f t="shared" ca="1" si="0"/>
        <v>7.9301840258014789E-3</v>
      </c>
      <c r="D189" s="7">
        <f t="shared" ca="1" si="1"/>
        <v>1.0600248456557748</v>
      </c>
    </row>
    <row r="190" spans="1:4" ht="12.75" x14ac:dyDescent="0.2">
      <c r="A190" s="8">
        <f ca="1">IFERROR(__xludf.DUMMYFUNCTION("""COMPUTED_VALUE"""),44104.6458333333)</f>
        <v>44104.645833333299</v>
      </c>
      <c r="B190" s="7">
        <f ca="1">IFERROR(__xludf.DUMMYFUNCTION("""COMPUTED_VALUE"""),539.3)</f>
        <v>539.29999999999995</v>
      </c>
      <c r="C190" s="6">
        <f t="shared" ca="1" si="0"/>
        <v>1.5095618129799648E-2</v>
      </c>
      <c r="D190" s="7">
        <f t="shared" ca="1" si="1"/>
        <v>1.0480252178750233</v>
      </c>
    </row>
    <row r="191" spans="1:4" ht="12.75" x14ac:dyDescent="0.2">
      <c r="A191" s="8">
        <f ca="1">IFERROR(__xludf.DUMMYFUNCTION("""COMPUTED_VALUE"""),44105.6458333333)</f>
        <v>44105.645833333299</v>
      </c>
      <c r="B191" s="7">
        <f ca="1">IFERROR(__xludf.DUMMYFUNCTION("""COMPUTED_VALUE"""),553.48)</f>
        <v>553.48</v>
      </c>
      <c r="C191" s="6">
        <f t="shared" ca="1" si="0"/>
        <v>2.6293343222696164E-2</v>
      </c>
      <c r="D191" s="7">
        <f t="shared" ca="1" si="1"/>
        <v>1.0109669726096695</v>
      </c>
    </row>
    <row r="192" spans="1:4" ht="12.75" x14ac:dyDescent="0.2">
      <c r="A192" s="8">
        <f ca="1">IFERROR(__xludf.DUMMYFUNCTION("""COMPUTED_VALUE"""),44109.6458333333)</f>
        <v>44109.645833333299</v>
      </c>
      <c r="B192" s="7">
        <f ca="1">IFERROR(__xludf.DUMMYFUNCTION("""COMPUTED_VALUE"""),557.17)</f>
        <v>557.16999999999996</v>
      </c>
      <c r="C192" s="6">
        <f t="shared" ca="1" si="0"/>
        <v>6.6669075666689892E-3</v>
      </c>
      <c r="D192" s="7">
        <f t="shared" ca="1" si="1"/>
        <v>0.96873485650699076</v>
      </c>
    </row>
    <row r="193" spans="1:4" ht="12.75" x14ac:dyDescent="0.2">
      <c r="A193" s="8">
        <f ca="1">IFERROR(__xludf.DUMMYFUNCTION("""COMPUTED_VALUE"""),44110.6458333333)</f>
        <v>44110.645833333299</v>
      </c>
      <c r="B193" s="7">
        <f ca="1">IFERROR(__xludf.DUMMYFUNCTION("""COMPUTED_VALUE"""),572.05)</f>
        <v>572.04999999999995</v>
      </c>
      <c r="C193" s="6">
        <f t="shared" ca="1" si="0"/>
        <v>2.6706391227093951E-2</v>
      </c>
      <c r="D193" s="7">
        <f t="shared" ca="1" si="1"/>
        <v>0.94979459837426816</v>
      </c>
    </row>
    <row r="194" spans="1:4" ht="12.75" x14ac:dyDescent="0.2">
      <c r="A194" s="8">
        <f ca="1">IFERROR(__xludf.DUMMYFUNCTION("""COMPUTED_VALUE"""),44111.6458333333)</f>
        <v>44111.645833333299</v>
      </c>
      <c r="B194" s="7">
        <f ca="1">IFERROR(__xludf.DUMMYFUNCTION("""COMPUTED_VALUE"""),581.13)</f>
        <v>581.13</v>
      </c>
      <c r="C194" s="6">
        <f t="shared" ca="1" si="0"/>
        <v>1.5872738396993435E-2</v>
      </c>
      <c r="D194" s="7">
        <f t="shared" ca="1" si="1"/>
        <v>0.91597405055667402</v>
      </c>
    </row>
    <row r="195" spans="1:4" ht="12.75" x14ac:dyDescent="0.2">
      <c r="A195" s="8">
        <f ca="1">IFERROR(__xludf.DUMMYFUNCTION("""COMPUTED_VALUE"""),44112.6458333333)</f>
        <v>44112.645833333299</v>
      </c>
      <c r="B195" s="7">
        <f ca="1">IFERROR(__xludf.DUMMYFUNCTION("""COMPUTED_VALUE"""),595.9)</f>
        <v>595.9</v>
      </c>
      <c r="C195" s="6">
        <f t="shared" ca="1" si="0"/>
        <v>2.5415999862337113E-2</v>
      </c>
      <c r="D195" s="7">
        <f t="shared" ca="1" si="1"/>
        <v>0.88157408961235117</v>
      </c>
    </row>
    <row r="196" spans="1:4" ht="12.75" x14ac:dyDescent="0.2">
      <c r="A196" s="8">
        <f ca="1">IFERROR(__xludf.DUMMYFUNCTION("""COMPUTED_VALUE"""),44113.6458333333)</f>
        <v>44113.645833333299</v>
      </c>
      <c r="B196" s="7">
        <f ca="1">IFERROR(__xludf.DUMMYFUNCTION("""COMPUTED_VALUE"""),616.78)</f>
        <v>616.78</v>
      </c>
      <c r="C196" s="6">
        <f t="shared" ca="1" si="0"/>
        <v>3.5039436147004555E-2</v>
      </c>
      <c r="D196" s="7">
        <f t="shared" ca="1" si="1"/>
        <v>0.83725153215084791</v>
      </c>
    </row>
    <row r="197" spans="1:4" ht="12.75" x14ac:dyDescent="0.2">
      <c r="A197" s="8">
        <f ca="1">IFERROR(__xludf.DUMMYFUNCTION("""COMPUTED_VALUE"""),44116.6458333333)</f>
        <v>44116.645833333299</v>
      </c>
      <c r="B197" s="7">
        <f ca="1">IFERROR(__xludf.DUMMYFUNCTION("""COMPUTED_VALUE"""),606.83)</f>
        <v>606.83000000000004</v>
      </c>
      <c r="C197" s="6">
        <f t="shared" ca="1" si="0"/>
        <v>-1.6132170303835958E-2</v>
      </c>
      <c r="D197" s="7">
        <f t="shared" ca="1" si="1"/>
        <v>0.82560189838999387</v>
      </c>
    </row>
    <row r="198" spans="1:4" ht="12.75" x14ac:dyDescent="0.2">
      <c r="A198" s="8">
        <f ca="1">IFERROR(__xludf.DUMMYFUNCTION("""COMPUTED_VALUE"""),44117.6458333333)</f>
        <v>44117.645833333299</v>
      </c>
      <c r="B198" s="7">
        <f ca="1">IFERROR(__xludf.DUMMYFUNCTION("""COMPUTED_VALUE"""),599.23)</f>
        <v>599.23</v>
      </c>
      <c r="C198" s="6">
        <f t="shared" ca="1" si="0"/>
        <v>-1.2524100654219494E-2</v>
      </c>
      <c r="D198" s="7">
        <f t="shared" ca="1" si="1"/>
        <v>0.86916542896717464</v>
      </c>
    </row>
    <row r="199" spans="1:4" ht="12.75" x14ac:dyDescent="0.2">
      <c r="A199" s="8">
        <f ca="1">IFERROR(__xludf.DUMMYFUNCTION("""COMPUTED_VALUE"""),44118.6458333333)</f>
        <v>44118.645833333299</v>
      </c>
      <c r="B199" s="7">
        <f ca="1">IFERROR(__xludf.DUMMYFUNCTION("""COMPUTED_VALUE"""),605.75)</f>
        <v>605.75</v>
      </c>
      <c r="C199" s="6">
        <f t="shared" ca="1" si="0"/>
        <v>1.0880630142015457E-2</v>
      </c>
      <c r="D199" s="7">
        <f t="shared" ca="1" si="1"/>
        <v>0.8481716879900949</v>
      </c>
    </row>
    <row r="200" spans="1:4" ht="12.75" x14ac:dyDescent="0.2">
      <c r="A200" s="8">
        <f ca="1">IFERROR(__xludf.DUMMYFUNCTION("""COMPUTED_VALUE"""),44119.6458333333)</f>
        <v>44119.645833333299</v>
      </c>
      <c r="B200" s="7">
        <f ca="1">IFERROR(__xludf.DUMMYFUNCTION("""COMPUTED_VALUE"""),584.63)</f>
        <v>584.63</v>
      </c>
      <c r="C200" s="6">
        <f t="shared" ca="1" si="0"/>
        <v>-3.4865868757738339E-2</v>
      </c>
      <c r="D200" s="7">
        <f t="shared" ca="1" si="1"/>
        <v>0.89005011716812343</v>
      </c>
    </row>
    <row r="201" spans="1:4" ht="12.75" x14ac:dyDescent="0.2">
      <c r="A201" s="8">
        <f ca="1">IFERROR(__xludf.DUMMYFUNCTION("""COMPUTED_VALUE"""),44120.6458333333)</f>
        <v>44120.645833333299</v>
      </c>
      <c r="B201" s="7">
        <f ca="1">IFERROR(__xludf.DUMMYFUNCTION("""COMPUTED_VALUE"""),599.67)</f>
        <v>599.66999999999996</v>
      </c>
      <c r="C201" s="6">
        <f t="shared" ca="1" si="0"/>
        <v>2.5725672647657349E-2</v>
      </c>
      <c r="D201" s="7">
        <f t="shared" ca="1" si="1"/>
        <v>0.87034535661280366</v>
      </c>
    </row>
    <row r="202" spans="1:4" ht="12.75" x14ac:dyDescent="0.2">
      <c r="A202" s="8">
        <f ca="1">IFERROR(__xludf.DUMMYFUNCTION("""COMPUTED_VALUE"""),44123.6458333333)</f>
        <v>44123.645833333299</v>
      </c>
      <c r="B202" s="7">
        <f ca="1">IFERROR(__xludf.DUMMYFUNCTION("""COMPUTED_VALUE"""),601.78)</f>
        <v>601.78</v>
      </c>
      <c r="C202" s="6">
        <f t="shared" ca="1" si="0"/>
        <v>3.5186018977104716E-3</v>
      </c>
      <c r="D202" s="7">
        <f t="shared" ca="1" si="1"/>
        <v>0.87296021801987445</v>
      </c>
    </row>
    <row r="203" spans="1:4" ht="12.75" x14ac:dyDescent="0.2">
      <c r="A203" s="8">
        <f ca="1">IFERROR(__xludf.DUMMYFUNCTION("""COMPUTED_VALUE"""),44124.6458333333)</f>
        <v>44124.645833333299</v>
      </c>
      <c r="B203" s="7">
        <f ca="1">IFERROR(__xludf.DUMMYFUNCTION("""COMPUTED_VALUE"""),611.98)</f>
        <v>611.98</v>
      </c>
      <c r="C203" s="6">
        <f t="shared" ca="1" si="0"/>
        <v>1.6949715842999202E-2</v>
      </c>
      <c r="D203" s="7">
        <f t="shared" ca="1" si="1"/>
        <v>0.87148272819373185</v>
      </c>
    </row>
    <row r="204" spans="1:4" ht="12.75" x14ac:dyDescent="0.2">
      <c r="A204" s="8">
        <f ca="1">IFERROR(__xludf.DUMMYFUNCTION("""COMPUTED_VALUE"""),44125.6458333333)</f>
        <v>44125.645833333299</v>
      </c>
      <c r="B204" s="7">
        <f ca="1">IFERROR(__xludf.DUMMYFUNCTION("""COMPUTED_VALUE"""),623.35)</f>
        <v>623.35</v>
      </c>
      <c r="C204" s="6">
        <f t="shared" ca="1" si="0"/>
        <v>1.8579038530670999E-2</v>
      </c>
      <c r="D204" s="7">
        <f t="shared" ca="1" si="1"/>
        <v>0.85321248094970725</v>
      </c>
    </row>
    <row r="205" spans="1:4" ht="12.75" x14ac:dyDescent="0.2">
      <c r="A205" s="8">
        <f ca="1">IFERROR(__xludf.DUMMYFUNCTION("""COMPUTED_VALUE"""),44126.6458333333)</f>
        <v>44126.645833333299</v>
      </c>
      <c r="B205" s="7">
        <f ca="1">IFERROR(__xludf.DUMMYFUNCTION("""COMPUTED_VALUE"""),616.65)</f>
        <v>616.65</v>
      </c>
      <c r="C205" s="6">
        <f t="shared" ca="1" si="0"/>
        <v>-1.0748375711879476E-2</v>
      </c>
      <c r="D205" s="7">
        <f t="shared" ca="1" si="1"/>
        <v>0.85872050595962057</v>
      </c>
    </row>
    <row r="206" spans="1:4" ht="12.75" x14ac:dyDescent="0.2">
      <c r="A206" s="8">
        <f ca="1">IFERROR(__xludf.DUMMYFUNCTION("""COMPUTED_VALUE"""),44127.6458333333)</f>
        <v>44127.645833333299</v>
      </c>
      <c r="B206" s="7">
        <f ca="1">IFERROR(__xludf.DUMMYFUNCTION("""COMPUTED_VALUE"""),617.9)</f>
        <v>617.9</v>
      </c>
      <c r="C206" s="6">
        <f t="shared" ca="1" si="0"/>
        <v>2.0270818130219137E-3</v>
      </c>
      <c r="D206" s="7">
        <f t="shared" ca="1" si="1"/>
        <v>0.83707719695743654</v>
      </c>
    </row>
    <row r="207" spans="1:4" ht="12.75" x14ac:dyDescent="0.2">
      <c r="A207" s="8">
        <f ca="1">IFERROR(__xludf.DUMMYFUNCTION("""COMPUTED_VALUE"""),44130.6458333333)</f>
        <v>44130.645833333299</v>
      </c>
      <c r="B207" s="7">
        <f ca="1">IFERROR(__xludf.DUMMYFUNCTION("""COMPUTED_VALUE"""),605.45)</f>
        <v>605.45000000000005</v>
      </c>
      <c r="C207" s="6">
        <f t="shared" ca="1" si="0"/>
        <v>-2.0148891406376324E-2</v>
      </c>
      <c r="D207" s="7">
        <f t="shared" ca="1" si="1"/>
        <v>0.85288628293005198</v>
      </c>
    </row>
    <row r="208" spans="1:4" ht="12.75" x14ac:dyDescent="0.2">
      <c r="A208" s="8">
        <f ca="1">IFERROR(__xludf.DUMMYFUNCTION("""COMPUTED_VALUE"""),44131.6458333333)</f>
        <v>44131.645833333299</v>
      </c>
      <c r="B208" s="7">
        <f ca="1">IFERROR(__xludf.DUMMYFUNCTION("""COMPUTED_VALUE"""),616.55)</f>
        <v>616.54999999999995</v>
      </c>
      <c r="C208" s="6">
        <f t="shared" ca="1" si="0"/>
        <v>1.8333470972004218E-2</v>
      </c>
      <c r="D208" s="7">
        <f t="shared" ca="1" si="1"/>
        <v>0.85678371583813162</v>
      </c>
    </row>
    <row r="209" spans="1:4" ht="12.75" x14ac:dyDescent="0.2">
      <c r="A209" s="8">
        <f ca="1">IFERROR(__xludf.DUMMYFUNCTION("""COMPUTED_VALUE"""),44132.6458333333)</f>
        <v>44132.645833333299</v>
      </c>
      <c r="B209" s="7">
        <f ca="1">IFERROR(__xludf.DUMMYFUNCTION("""COMPUTED_VALUE"""),604.8)</f>
        <v>604.79999999999995</v>
      </c>
      <c r="C209" s="6">
        <f t="shared" ca="1" si="0"/>
        <v>-1.9057659557213502E-2</v>
      </c>
      <c r="D209" s="7">
        <f t="shared" ca="1" si="1"/>
        <v>0.88177910052910047</v>
      </c>
    </row>
    <row r="210" spans="1:4" ht="12.75" x14ac:dyDescent="0.2">
      <c r="A210" s="8">
        <f ca="1">IFERROR(__xludf.DUMMYFUNCTION("""COMPUTED_VALUE"""),44133.6458333333)</f>
        <v>44133.645833333299</v>
      </c>
      <c r="B210" s="7">
        <f ca="1">IFERROR(__xludf.DUMMYFUNCTION("""COMPUTED_VALUE"""),593.6)</f>
        <v>593.6</v>
      </c>
      <c r="C210" s="6">
        <f t="shared" ca="1" si="0"/>
        <v>-1.8518518518518379E-2</v>
      </c>
      <c r="D210" s="7">
        <f t="shared" ca="1" si="1"/>
        <v>0.89201482479784366</v>
      </c>
    </row>
    <row r="211" spans="1:4" ht="12.75" x14ac:dyDescent="0.2">
      <c r="A211" s="8">
        <f ca="1">IFERROR(__xludf.DUMMYFUNCTION("""COMPUTED_VALUE"""),44134.6458333333)</f>
        <v>44134.645833333299</v>
      </c>
      <c r="B211" s="7">
        <f ca="1">IFERROR(__xludf.DUMMYFUNCTION("""COMPUTED_VALUE"""),591.78)</f>
        <v>591.78</v>
      </c>
      <c r="C211" s="6">
        <f t="shared" ca="1" si="0"/>
        <v>-3.0660377358491253E-3</v>
      </c>
      <c r="D211" s="7">
        <f t="shared" ca="1" si="1"/>
        <v>0.91728344993071764</v>
      </c>
    </row>
    <row r="212" spans="1:4" ht="12.75" x14ac:dyDescent="0.2">
      <c r="A212" s="8">
        <f ca="1">IFERROR(__xludf.DUMMYFUNCTION("""COMPUTED_VALUE"""),44137.6458333333)</f>
        <v>44137.645833333299</v>
      </c>
      <c r="B212" s="7">
        <f ca="1">IFERROR(__xludf.DUMMYFUNCTION("""COMPUTED_VALUE"""),607.63)</f>
        <v>607.63</v>
      </c>
      <c r="C212" s="6">
        <f t="shared" ca="1" si="0"/>
        <v>2.6783602014261998E-2</v>
      </c>
      <c r="D212" s="7">
        <f t="shared" ca="1" si="1"/>
        <v>0.91919424649869164</v>
      </c>
    </row>
    <row r="213" spans="1:4" ht="12.75" x14ac:dyDescent="0.2">
      <c r="A213" s="8">
        <f ca="1">IFERROR(__xludf.DUMMYFUNCTION("""COMPUTED_VALUE"""),44138.6458333333)</f>
        <v>44138.645833333299</v>
      </c>
      <c r="B213" s="7">
        <f ca="1">IFERROR(__xludf.DUMMYFUNCTION("""COMPUTED_VALUE"""),623.98)</f>
        <v>623.98</v>
      </c>
      <c r="C213" s="6">
        <f t="shared" ca="1" si="0"/>
        <v>2.6907822194427666E-2</v>
      </c>
      <c r="D213" s="7">
        <f t="shared" ca="1" si="1"/>
        <v>0.89722427000865412</v>
      </c>
    </row>
    <row r="214" spans="1:4" ht="12.75" x14ac:dyDescent="0.2">
      <c r="A214" s="8">
        <f ca="1">IFERROR(__xludf.DUMMYFUNCTION("""COMPUTED_VALUE"""),44139.6458333333)</f>
        <v>44139.645833333299</v>
      </c>
      <c r="B214" s="7">
        <f ca="1">IFERROR(__xludf.DUMMYFUNCTION("""COMPUTED_VALUE"""),628.7)</f>
        <v>628.70000000000005</v>
      </c>
      <c r="C214" s="6">
        <f t="shared" ca="1" si="0"/>
        <v>7.5643450110580712E-3</v>
      </c>
      <c r="D214" s="7">
        <f t="shared" ca="1" si="1"/>
        <v>0.88950214728805466</v>
      </c>
    </row>
    <row r="215" spans="1:4" ht="12.75" x14ac:dyDescent="0.2">
      <c r="A215" s="8">
        <f ca="1">IFERROR(__xludf.DUMMYFUNCTION("""COMPUTED_VALUE"""),44140.6458333333)</f>
        <v>44140.645833333299</v>
      </c>
      <c r="B215" s="7">
        <f ca="1">IFERROR(__xludf.DUMMYFUNCTION("""COMPUTED_VALUE"""),634.6)</f>
        <v>634.6</v>
      </c>
      <c r="C215" s="6">
        <f t="shared" ca="1" si="0"/>
        <v>9.3844440909813809E-3</v>
      </c>
      <c r="D215" s="7">
        <f t="shared" ca="1" si="1"/>
        <v>0.87622124172707205</v>
      </c>
    </row>
    <row r="216" spans="1:4" ht="12.75" x14ac:dyDescent="0.2">
      <c r="A216" s="8">
        <f ca="1">IFERROR(__xludf.DUMMYFUNCTION("""COMPUTED_VALUE"""),44141.6458333333)</f>
        <v>44141.645833333299</v>
      </c>
      <c r="B216" s="7">
        <f ca="1">IFERROR(__xludf.DUMMYFUNCTION("""COMPUTED_VALUE"""),653.83)</f>
        <v>653.83000000000004</v>
      </c>
      <c r="C216" s="6">
        <f t="shared" ca="1" si="0"/>
        <v>3.0302552789158499E-2</v>
      </c>
      <c r="D216" s="7">
        <f t="shared" ca="1" si="1"/>
        <v>0.85228576235412867</v>
      </c>
    </row>
    <row r="217" spans="1:4" ht="12.75" x14ac:dyDescent="0.2">
      <c r="A217" s="8">
        <f ca="1">IFERROR(__xludf.DUMMYFUNCTION("""COMPUTED_VALUE"""),44144.6458333333)</f>
        <v>44144.645833333299</v>
      </c>
      <c r="B217" s="7">
        <f ca="1">IFERROR(__xludf.DUMMYFUNCTION("""COMPUTED_VALUE"""),670.28)</f>
        <v>670.28</v>
      </c>
      <c r="C217" s="6">
        <f t="shared" ca="1" si="0"/>
        <v>2.5159445115702672E-2</v>
      </c>
      <c r="D217" s="7">
        <f t="shared" ca="1" si="1"/>
        <v>0.83236856239183621</v>
      </c>
    </row>
    <row r="218" spans="1:4" ht="12.75" x14ac:dyDescent="0.2">
      <c r="A218" s="8">
        <f ca="1">IFERROR(__xludf.DUMMYFUNCTION("""COMPUTED_VALUE"""),44145.6458333333)</f>
        <v>44145.645833333299</v>
      </c>
      <c r="B218" s="7">
        <f ca="1">IFERROR(__xludf.DUMMYFUNCTION("""COMPUTED_VALUE"""),696.83)</f>
        <v>696.83</v>
      </c>
      <c r="C218" s="6">
        <f t="shared" ca="1" si="0"/>
        <v>3.9610312108372625E-2</v>
      </c>
      <c r="D218" s="7">
        <f t="shared" ca="1" si="1"/>
        <v>0.80887734454601545</v>
      </c>
    </row>
    <row r="219" spans="1:4" ht="12.75" x14ac:dyDescent="0.2">
      <c r="A219" s="8">
        <f ca="1">IFERROR(__xludf.DUMMYFUNCTION("""COMPUTED_VALUE"""),44146.6458333333)</f>
        <v>44146.645833333299</v>
      </c>
      <c r="B219" s="7">
        <f ca="1">IFERROR(__xludf.DUMMYFUNCTION("""COMPUTED_VALUE"""),694.98)</f>
        <v>694.98</v>
      </c>
      <c r="C219" s="6">
        <f t="shared" ca="1" si="0"/>
        <v>-2.6548799563739234E-3</v>
      </c>
      <c r="D219" s="7">
        <f t="shared" ca="1" si="1"/>
        <v>0.81596592707703819</v>
      </c>
    </row>
    <row r="220" spans="1:4" ht="12.75" x14ac:dyDescent="0.2">
      <c r="A220" s="8">
        <f ca="1">IFERROR(__xludf.DUMMYFUNCTION("""COMPUTED_VALUE"""),44147.6458333333)</f>
        <v>44147.645833333299</v>
      </c>
      <c r="B220" s="7">
        <f ca="1">IFERROR(__xludf.DUMMYFUNCTION("""COMPUTED_VALUE"""),685.85)</f>
        <v>685.85</v>
      </c>
      <c r="C220" s="6">
        <f t="shared" ca="1" si="0"/>
        <v>-1.313706869262421E-2</v>
      </c>
      <c r="D220" s="7">
        <f t="shared" ca="1" si="1"/>
        <v>0.82445141065830729</v>
      </c>
    </row>
    <row r="221" spans="1:4" ht="12.75" x14ac:dyDescent="0.2">
      <c r="A221" s="8">
        <f ca="1">IFERROR(__xludf.DUMMYFUNCTION("""COMPUTED_VALUE"""),44148.6458333333)</f>
        <v>44148.645833333299</v>
      </c>
      <c r="B221" s="7">
        <f ca="1">IFERROR(__xludf.DUMMYFUNCTION("""COMPUTED_VALUE"""),679.4)</f>
        <v>679.4</v>
      </c>
      <c r="C221" s="6">
        <f t="shared" ca="1" si="0"/>
        <v>-9.4043887147335914E-3</v>
      </c>
      <c r="D221" s="7">
        <f t="shared" ca="1" si="1"/>
        <v>0.82374153664998528</v>
      </c>
    </row>
    <row r="222" spans="1:4" ht="12.75" x14ac:dyDescent="0.2">
      <c r="A222" s="8">
        <f ca="1">IFERROR(__xludf.DUMMYFUNCTION("""COMPUTED_VALUE"""),44152.6458333333)</f>
        <v>44152.645833333299</v>
      </c>
      <c r="B222" s="7">
        <f ca="1">IFERROR(__xludf.DUMMYFUNCTION("""COMPUTED_VALUE"""),704.23)</f>
        <v>704.23</v>
      </c>
      <c r="C222" s="6">
        <f t="shared" ca="1" si="0"/>
        <v>3.6546953193994813E-2</v>
      </c>
      <c r="D222" s="7">
        <f t="shared" ca="1" si="1"/>
        <v>0.78844979623134481</v>
      </c>
    </row>
    <row r="223" spans="1:4" ht="12.75" x14ac:dyDescent="0.2">
      <c r="A223" s="8">
        <f ca="1">IFERROR(__xludf.DUMMYFUNCTION("""COMPUTED_VALUE"""),44153.6458333333)</f>
        <v>44153.645833333299</v>
      </c>
      <c r="B223" s="7">
        <f ca="1">IFERROR(__xludf.DUMMYFUNCTION("""COMPUTED_VALUE"""),704.35)</f>
        <v>704.35</v>
      </c>
      <c r="C223" s="6">
        <f t="shared" ca="1" si="0"/>
        <v>1.7039887536740572E-4</v>
      </c>
      <c r="D223" s="7">
        <f t="shared" ca="1" si="1"/>
        <v>0.78970682189252506</v>
      </c>
    </row>
    <row r="224" spans="1:4" ht="12.75" x14ac:dyDescent="0.2">
      <c r="A224" s="8">
        <f ca="1">IFERROR(__xludf.DUMMYFUNCTION("""COMPUTED_VALUE"""),44154.6458333333)</f>
        <v>44154.645833333299</v>
      </c>
      <c r="B224" s="7">
        <f ca="1">IFERROR(__xludf.DUMMYFUNCTION("""COMPUTED_VALUE"""),687.18)</f>
        <v>687.18</v>
      </c>
      <c r="C224" s="6">
        <f t="shared" ca="1" si="0"/>
        <v>-2.4377085255909758E-2</v>
      </c>
      <c r="D224" s="7">
        <f t="shared" ca="1" si="1"/>
        <v>0.79782589714485297</v>
      </c>
    </row>
    <row r="225" spans="1:4" ht="12.75" x14ac:dyDescent="0.2">
      <c r="A225" s="8">
        <f ca="1">IFERROR(__xludf.DUMMYFUNCTION("""COMPUTED_VALUE"""),44155.6458333333)</f>
        <v>44155.645833333299</v>
      </c>
      <c r="B225" s="7">
        <f ca="1">IFERROR(__xludf.DUMMYFUNCTION("""COMPUTED_VALUE"""),701.83)</f>
        <v>701.83</v>
      </c>
      <c r="C225" s="6">
        <f t="shared" ca="1" si="0"/>
        <v>2.1319013941034415E-2</v>
      </c>
      <c r="D225" s="7">
        <f t="shared" ca="1" si="1"/>
        <v>0.77694028468432519</v>
      </c>
    </row>
    <row r="226" spans="1:4" ht="12.75" x14ac:dyDescent="0.2">
      <c r="A226" s="8">
        <f ca="1">IFERROR(__xludf.DUMMYFUNCTION("""COMPUTED_VALUE"""),44158.6458333333)</f>
        <v>44158.645833333299</v>
      </c>
      <c r="B226" s="7">
        <f ca="1">IFERROR(__xludf.DUMMYFUNCTION("""COMPUTED_VALUE"""),697.3)</f>
        <v>697.3</v>
      </c>
      <c r="C226" s="6">
        <f t="shared" ca="1" si="0"/>
        <v>-6.4545545217503664E-3</v>
      </c>
      <c r="D226" s="7">
        <f t="shared" ca="1" si="1"/>
        <v>0.77345475405134101</v>
      </c>
    </row>
    <row r="227" spans="1:4" ht="12.75" x14ac:dyDescent="0.2">
      <c r="A227" s="8">
        <f ca="1">IFERROR(__xludf.DUMMYFUNCTION("""COMPUTED_VALUE"""),44159.6458333333)</f>
        <v>44159.645833333299</v>
      </c>
      <c r="B227" s="7">
        <f ca="1">IFERROR(__xludf.DUMMYFUNCTION("""COMPUTED_VALUE"""),719.1)</f>
        <v>719.1</v>
      </c>
      <c r="C227" s="6">
        <f t="shared" ca="1" si="0"/>
        <v>3.1263444715330602E-2</v>
      </c>
      <c r="D227" s="7">
        <f t="shared" ca="1" si="1"/>
        <v>0.73561396189681549</v>
      </c>
    </row>
    <row r="228" spans="1:4" ht="12.75" x14ac:dyDescent="0.2">
      <c r="A228" s="8">
        <f ca="1">IFERROR(__xludf.DUMMYFUNCTION("""COMPUTED_VALUE"""),44160.6458333333)</f>
        <v>44160.645833333299</v>
      </c>
      <c r="B228" s="7">
        <f ca="1">IFERROR(__xludf.DUMMYFUNCTION("""COMPUTED_VALUE"""),701.4)</f>
        <v>701.4</v>
      </c>
      <c r="C228" s="6">
        <f t="shared" ca="1" si="0"/>
        <v>-2.4614100959532759E-2</v>
      </c>
      <c r="D228" s="7">
        <f t="shared" ca="1" si="1"/>
        <v>0.76311662389506707</v>
      </c>
    </row>
    <row r="229" spans="1:4" ht="12.75" x14ac:dyDescent="0.2">
      <c r="A229" s="8">
        <f ca="1">IFERROR(__xludf.DUMMYFUNCTION("""COMPUTED_VALUE"""),44161.6458333333)</f>
        <v>44161.645833333299</v>
      </c>
      <c r="B229" s="7">
        <f ca="1">IFERROR(__xludf.DUMMYFUNCTION("""COMPUTED_VALUE"""),713.33)</f>
        <v>713.33</v>
      </c>
      <c r="C229" s="6">
        <f t="shared" ca="1" si="0"/>
        <v>1.7008839463929393E-2</v>
      </c>
      <c r="D229" s="7">
        <f t="shared" ca="1" si="1"/>
        <v>0.76658769433502028</v>
      </c>
    </row>
    <row r="230" spans="1:4" ht="12.75" x14ac:dyDescent="0.2">
      <c r="A230" s="8">
        <f ca="1">IFERROR(__xludf.DUMMYFUNCTION("""COMPUTED_VALUE"""),44162.6458333333)</f>
        <v>44162.645833333299</v>
      </c>
      <c r="B230" s="7">
        <f ca="1">IFERROR(__xludf.DUMMYFUNCTION("""COMPUTED_VALUE"""),720.43)</f>
        <v>720.43</v>
      </c>
      <c r="C230" s="6">
        <f t="shared" ca="1" si="0"/>
        <v>9.9533175388668571E-3</v>
      </c>
      <c r="D230" s="7">
        <f t="shared" ca="1" si="1"/>
        <v>0.75205085851505349</v>
      </c>
    </row>
    <row r="231" spans="1:4" ht="12.75" x14ac:dyDescent="0.2">
      <c r="A231" s="8">
        <f ca="1">IFERROR(__xludf.DUMMYFUNCTION("""COMPUTED_VALUE"""),44166.6458333333)</f>
        <v>44166.645833333299</v>
      </c>
      <c r="B231" s="7">
        <f ca="1">IFERROR(__xludf.DUMMYFUNCTION("""COMPUTED_VALUE"""),716.65)</f>
        <v>716.65</v>
      </c>
      <c r="C231" s="6">
        <f t="shared" ca="1" si="0"/>
        <v>-5.2468664547561383E-3</v>
      </c>
      <c r="D231" s="7">
        <f t="shared" ca="1" si="1"/>
        <v>0.73766831786785736</v>
      </c>
    </row>
    <row r="232" spans="1:4" ht="12.75" x14ac:dyDescent="0.2">
      <c r="A232" s="8">
        <f ca="1">IFERROR(__xludf.DUMMYFUNCTION("""COMPUTED_VALUE"""),44167.6458333333)</f>
        <v>44167.645833333299</v>
      </c>
      <c r="B232" s="7">
        <f ca="1">IFERROR(__xludf.DUMMYFUNCTION("""COMPUTED_VALUE"""),703.48)</f>
        <v>703.48</v>
      </c>
      <c r="C232" s="6">
        <f t="shared" ca="1" si="0"/>
        <v>-1.8377171562129258E-2</v>
      </c>
      <c r="D232" s="7">
        <f t="shared" ca="1" si="1"/>
        <v>0.74579234661966221</v>
      </c>
    </row>
    <row r="233" spans="1:4" ht="12.75" x14ac:dyDescent="0.2">
      <c r="A233" s="8">
        <f ca="1">IFERROR(__xludf.DUMMYFUNCTION("""COMPUTED_VALUE"""),44168.6458333333)</f>
        <v>44168.645833333299</v>
      </c>
      <c r="B233" s="7">
        <f ca="1">IFERROR(__xludf.DUMMYFUNCTION("""COMPUTED_VALUE"""),688.6)</f>
        <v>688.6</v>
      </c>
      <c r="C233" s="6">
        <f t="shared" ca="1" si="0"/>
        <v>-2.1151987263319461E-2</v>
      </c>
      <c r="D233" s="7">
        <f t="shared" ca="1" si="1"/>
        <v>0.75181527737438281</v>
      </c>
    </row>
    <row r="234" spans="1:4" ht="12.75" x14ac:dyDescent="0.2">
      <c r="A234" s="8">
        <f ca="1">IFERROR(__xludf.DUMMYFUNCTION("""COMPUTED_VALUE"""),44169.6458333333)</f>
        <v>44169.645833333299</v>
      </c>
      <c r="B234" s="7">
        <f ca="1">IFERROR(__xludf.DUMMYFUNCTION("""COMPUTED_VALUE"""),692.8)</f>
        <v>692.8</v>
      </c>
      <c r="C234" s="6">
        <f t="shared" ca="1" si="0"/>
        <v>6.0993319779261146E-3</v>
      </c>
      <c r="D234" s="7">
        <f t="shared" ca="1" si="1"/>
        <v>0.75581697459584296</v>
      </c>
    </row>
    <row r="235" spans="1:4" ht="12.75" x14ac:dyDescent="0.2">
      <c r="A235" s="8">
        <f ca="1">IFERROR(__xludf.DUMMYFUNCTION("""COMPUTED_VALUE"""),44172.6458333333)</f>
        <v>44172.645833333299</v>
      </c>
      <c r="B235" s="7">
        <f ca="1">IFERROR(__xludf.DUMMYFUNCTION("""COMPUTED_VALUE"""),686.13)</f>
        <v>686.13</v>
      </c>
      <c r="C235" s="6">
        <f t="shared" ca="1" si="0"/>
        <v>-9.6275981524248655E-3</v>
      </c>
      <c r="D235" s="7">
        <f t="shared" ca="1" si="1"/>
        <v>0.75087811347703792</v>
      </c>
    </row>
    <row r="236" spans="1:4" ht="12.75" x14ac:dyDescent="0.2">
      <c r="A236" s="8">
        <f ca="1">IFERROR(__xludf.DUMMYFUNCTION("""COMPUTED_VALUE"""),44173.6458333333)</f>
        <v>44173.645833333299</v>
      </c>
      <c r="B236" s="7">
        <f ca="1">IFERROR(__xludf.DUMMYFUNCTION("""COMPUTED_VALUE"""),688.15)</f>
        <v>688.15</v>
      </c>
      <c r="C236" s="6">
        <f t="shared" ca="1" si="0"/>
        <v>2.9440485039278208E-3</v>
      </c>
      <c r="D236" s="7">
        <f t="shared" ca="1" si="1"/>
        <v>0.7585555474823803</v>
      </c>
    </row>
    <row r="237" spans="1:4" ht="12.75" x14ac:dyDescent="0.2">
      <c r="A237" s="8">
        <f ca="1">IFERROR(__xludf.DUMMYFUNCTION("""COMPUTED_VALUE"""),44174.6458333333)</f>
        <v>44174.645833333299</v>
      </c>
      <c r="B237" s="7">
        <f ca="1">IFERROR(__xludf.DUMMYFUNCTION("""COMPUTED_VALUE"""),703.6)</f>
        <v>703.6</v>
      </c>
      <c r="C237" s="6">
        <f t="shared" ca="1" si="0"/>
        <v>2.2451500399622182E-2</v>
      </c>
      <c r="D237" s="7">
        <f t="shared" ca="1" si="1"/>
        <v>0.74914724275156341</v>
      </c>
    </row>
    <row r="238" spans="1:4" ht="12.75" x14ac:dyDescent="0.2">
      <c r="A238" s="8">
        <f ca="1">IFERROR(__xludf.DUMMYFUNCTION("""COMPUTED_VALUE"""),44175.6458333333)</f>
        <v>44175.645833333299</v>
      </c>
      <c r="B238" s="7">
        <f ca="1">IFERROR(__xludf.DUMMYFUNCTION("""COMPUTED_VALUE"""),692.93)</f>
        <v>692.93</v>
      </c>
      <c r="C238" s="6">
        <f t="shared" ca="1" si="0"/>
        <v>-1.5164866401364496E-2</v>
      </c>
      <c r="D238" s="7">
        <f t="shared" ca="1" si="1"/>
        <v>0.76671525262292006</v>
      </c>
    </row>
    <row r="239" spans="1:4" ht="12.75" x14ac:dyDescent="0.2">
      <c r="A239" s="8">
        <f ca="1">IFERROR(__xludf.DUMMYFUNCTION("""COMPUTED_VALUE"""),44176.6458333333)</f>
        <v>44176.645833333299</v>
      </c>
      <c r="B239" s="7">
        <f ca="1">IFERROR(__xludf.DUMMYFUNCTION("""COMPUTED_VALUE"""),691.4)</f>
        <v>691.4</v>
      </c>
      <c r="C239" s="6">
        <f t="shared" ca="1" si="0"/>
        <v>-2.208015239634542E-3</v>
      </c>
      <c r="D239" s="7">
        <f t="shared" ca="1" si="1"/>
        <v>0.78001157072606297</v>
      </c>
    </row>
    <row r="240" spans="1:4" ht="12.75" x14ac:dyDescent="0.2">
      <c r="A240" s="8">
        <f ca="1">IFERROR(__xludf.DUMMYFUNCTION("""COMPUTED_VALUE"""),44179.6458333333)</f>
        <v>44179.645833333299</v>
      </c>
      <c r="B240" s="7">
        <f ca="1">IFERROR(__xludf.DUMMYFUNCTION("""COMPUTED_VALUE"""),686.08)</f>
        <v>686.08</v>
      </c>
      <c r="C240" s="6">
        <f t="shared" ca="1" si="0"/>
        <v>-7.6945328319351081E-3</v>
      </c>
      <c r="D240" s="7">
        <f t="shared" ca="1" si="1"/>
        <v>0.80672807835820892</v>
      </c>
    </row>
    <row r="241" spans="1:4" ht="12.75" x14ac:dyDescent="0.2">
      <c r="A241" s="8">
        <f ca="1">IFERROR(__xludf.DUMMYFUNCTION("""COMPUTED_VALUE"""),44180.6458333333)</f>
        <v>44180.645833333299</v>
      </c>
      <c r="B241" s="7">
        <f ca="1">IFERROR(__xludf.DUMMYFUNCTION("""COMPUTED_VALUE"""),695.65)</f>
        <v>695.65</v>
      </c>
      <c r="C241" s="6">
        <f t="shared" ca="1" si="0"/>
        <v>1.3948810634328179E-2</v>
      </c>
      <c r="D241" s="7">
        <f t="shared" ca="1" si="1"/>
        <v>0.80093437791993094</v>
      </c>
    </row>
    <row r="242" spans="1:4" ht="12.75" x14ac:dyDescent="0.2">
      <c r="A242" s="8">
        <f ca="1">IFERROR(__xludf.DUMMYFUNCTION("""COMPUTED_VALUE"""),44181.6458333333)</f>
        <v>44181.645833333299</v>
      </c>
      <c r="B242" s="7">
        <f ca="1">IFERROR(__xludf.DUMMYFUNCTION("""COMPUTED_VALUE"""),705.35)</f>
        <v>705.35</v>
      </c>
      <c r="C242" s="6">
        <f t="shared" ca="1" si="0"/>
        <v>1.3943793574354935E-2</v>
      </c>
      <c r="D242" s="7">
        <f t="shared" ca="1" si="1"/>
        <v>0.81101580775501514</v>
      </c>
    </row>
    <row r="243" spans="1:4" ht="12.75" x14ac:dyDescent="0.2">
      <c r="A243" s="8">
        <f ca="1">IFERROR(__xludf.DUMMYFUNCTION("""COMPUTED_VALUE"""),44182.6458333333)</f>
        <v>44182.645833333299</v>
      </c>
      <c r="B243" s="7">
        <f ca="1">IFERROR(__xludf.DUMMYFUNCTION("""COMPUTED_VALUE"""),720.9)</f>
        <v>720.9</v>
      </c>
      <c r="C243" s="6">
        <f t="shared" ca="1" si="0"/>
        <v>2.2045792868788494E-2</v>
      </c>
      <c r="D243" s="7">
        <f t="shared" ca="1" si="1"/>
        <v>0.80611735330836454</v>
      </c>
    </row>
    <row r="244" spans="1:4" ht="12.75" x14ac:dyDescent="0.2">
      <c r="A244" s="8">
        <f ca="1">IFERROR(__xludf.DUMMYFUNCTION("""COMPUTED_VALUE"""),44183.6458333333)</f>
        <v>44183.645833333299</v>
      </c>
      <c r="B244" s="7">
        <f ca="1">IFERROR(__xludf.DUMMYFUNCTION("""COMPUTED_VALUE"""),705.68)</f>
        <v>705.68</v>
      </c>
      <c r="C244" s="6">
        <f t="shared" ca="1" si="0"/>
        <v>-2.1112498266056323E-2</v>
      </c>
      <c r="D244" s="7">
        <f t="shared" ca="1" si="1"/>
        <v>0.8444337376714659</v>
      </c>
    </row>
    <row r="245" spans="1:4" ht="12.75" x14ac:dyDescent="0.2">
      <c r="A245" s="8">
        <f ca="1">IFERROR(__xludf.DUMMYFUNCTION("""COMPUTED_VALUE"""),44186.6458333333)</f>
        <v>44186.645833333299</v>
      </c>
      <c r="B245" s="7">
        <f ca="1">IFERROR(__xludf.DUMMYFUNCTION("""COMPUTED_VALUE"""),686.33)</f>
        <v>686.33</v>
      </c>
      <c r="C245" s="6">
        <f t="shared" ca="1" si="0"/>
        <v>-2.7420360503344177E-2</v>
      </c>
      <c r="D245" s="7">
        <f t="shared" ca="1" si="1"/>
        <v>0.89866390803257901</v>
      </c>
    </row>
    <row r="246" spans="1:4" ht="12.75" x14ac:dyDescent="0.2">
      <c r="A246" s="8">
        <f ca="1">IFERROR(__xludf.DUMMYFUNCTION("""COMPUTED_VALUE"""),44187.6458333333)</f>
        <v>44187.645833333299</v>
      </c>
      <c r="B246" s="7">
        <f ca="1">IFERROR(__xludf.DUMMYFUNCTION("""COMPUTED_VALUE"""),686.55)</f>
        <v>686.55</v>
      </c>
      <c r="C246" s="6">
        <f t="shared" ca="1" si="0"/>
        <v>3.2054551017712818E-4</v>
      </c>
      <c r="D246" s="7">
        <f t="shared" ca="1" si="1"/>
        <v>0.88388318403612276</v>
      </c>
    </row>
    <row r="247" spans="1:4" ht="12.75" x14ac:dyDescent="0.2">
      <c r="A247" s="8">
        <f ca="1">IFERROR(__xludf.DUMMYFUNCTION("""COMPUTED_VALUE"""),44188.6458333333)</f>
        <v>44188.645833333299</v>
      </c>
      <c r="B247" s="7">
        <f ca="1">IFERROR(__xludf.DUMMYFUNCTION("""COMPUTED_VALUE"""),687.83)</f>
        <v>687.83</v>
      </c>
      <c r="C247" s="6">
        <f t="shared" ca="1" si="0"/>
        <v>1.8643944359479914E-3</v>
      </c>
      <c r="D247" s="7">
        <f t="shared" ca="1" si="1"/>
        <v>0.87118910195833266</v>
      </c>
    </row>
    <row r="248" spans="1:4" ht="12.75" x14ac:dyDescent="0.2">
      <c r="A248" s="8">
        <f ca="1">IFERROR(__xludf.DUMMYFUNCTION("""COMPUTED_VALUE"""),44189.6458333333)</f>
        <v>44189.645833333299</v>
      </c>
      <c r="B248" s="7">
        <f ca="1">IFERROR(__xludf.DUMMYFUNCTION("""COMPUTED_VALUE"""),698.55)</f>
        <v>698.55</v>
      </c>
      <c r="C248" s="6">
        <f t="shared" ca="1" si="0"/>
        <v>1.5585246354477E-2</v>
      </c>
      <c r="D248" s="7">
        <f t="shared" ca="1" si="1"/>
        <v>0.86715338916326679</v>
      </c>
    </row>
    <row r="249" spans="1:4" ht="12.75" x14ac:dyDescent="0.2">
      <c r="A249" s="8">
        <f ca="1">IFERROR(__xludf.DUMMYFUNCTION("""COMPUTED_VALUE"""),44193.6458333333)</f>
        <v>44193.645833333299</v>
      </c>
      <c r="B249" s="7">
        <f ca="1">IFERROR(__xludf.DUMMYFUNCTION("""COMPUTED_VALUE"""),706.43)</f>
        <v>706.43</v>
      </c>
      <c r="C249" s="6">
        <f t="shared" ca="1" si="0"/>
        <v>1.1280509627084712E-2</v>
      </c>
      <c r="D249" s="7">
        <f t="shared" ca="1" si="1"/>
        <v>0.82758376626134234</v>
      </c>
    </row>
    <row r="250" spans="1:4" ht="12.75" x14ac:dyDescent="0.2">
      <c r="A250" s="8">
        <f ca="1">IFERROR(__xludf.DUMMYFUNCTION("""COMPUTED_VALUE"""),44194.6458333333)</f>
        <v>44194.645833333299</v>
      </c>
      <c r="B250" s="7">
        <f ca="1">IFERROR(__xludf.DUMMYFUNCTION("""COMPUTED_VALUE"""),713.6)</f>
        <v>713.6</v>
      </c>
      <c r="C250" s="6">
        <f t="shared" ca="1" si="0"/>
        <v>1.014962558215271E-2</v>
      </c>
      <c r="D250" s="7">
        <f t="shared" ca="1" si="1"/>
        <v>0.84034473094170392</v>
      </c>
    </row>
    <row r="251" spans="1:4" ht="12.75" x14ac:dyDescent="0.2">
      <c r="A251" s="8">
        <f ca="1">IFERROR(__xludf.DUMMYFUNCTION("""COMPUTED_VALUE"""),44195.6458333333)</f>
        <v>44195.645833333299</v>
      </c>
      <c r="B251" s="7">
        <f ca="1">IFERROR(__xludf.DUMMYFUNCTION("""COMPUTED_VALUE"""),716.25)</f>
        <v>716.25</v>
      </c>
      <c r="C251" s="6">
        <f t="shared" ca="1" si="0"/>
        <v>3.7135650224215944E-3</v>
      </c>
      <c r="D251" s="7">
        <f t="shared" ca="1" si="1"/>
        <v>0.84018150087260035</v>
      </c>
    </row>
    <row r="252" spans="1:4" ht="12.75" x14ac:dyDescent="0.2">
      <c r="A252" s="8">
        <f ca="1">IFERROR(__xludf.DUMMYFUNCTION("""COMPUTED_VALUE"""),44196.6458333333)</f>
        <v>44196.645833333299</v>
      </c>
      <c r="B252" s="7">
        <f ca="1">IFERROR(__xludf.DUMMYFUNCTION("""COMPUTED_VALUE"""),718.15)</f>
        <v>718.15</v>
      </c>
      <c r="C252" s="6">
        <f t="shared" ca="1" si="0"/>
        <v>2.6527050610820613E-3</v>
      </c>
      <c r="D252" s="7">
        <f t="shared" ca="1" si="1"/>
        <v>0.85216180463691438</v>
      </c>
    </row>
    <row r="253" spans="1:4" ht="12.75" x14ac:dyDescent="0.2">
      <c r="A253" s="8">
        <f ca="1">IFERROR(__xludf.DUMMYFUNCTION("""COMPUTED_VALUE"""),44197.6458333333)</f>
        <v>44197.645833333299</v>
      </c>
      <c r="B253" s="7">
        <f ca="1">IFERROR(__xludf.DUMMYFUNCTION("""COMPUTED_VALUE"""),712.53)</f>
        <v>712.53</v>
      </c>
      <c r="C253" s="6">
        <f t="shared" ca="1" si="0"/>
        <v>-7.8256631622920514E-3</v>
      </c>
      <c r="D253" s="7">
        <f t="shared" ca="1" si="1"/>
        <v>0.87484035759897838</v>
      </c>
    </row>
    <row r="254" spans="1:4" ht="12.75" x14ac:dyDescent="0.2">
      <c r="A254" s="8">
        <f ca="1">IFERROR(__xludf.DUMMYFUNCTION("""COMPUTED_VALUE"""),44200.6458333333)</f>
        <v>44200.645833333299</v>
      </c>
      <c r="B254" s="7">
        <f ca="1">IFERROR(__xludf.DUMMYFUNCTION("""COMPUTED_VALUE"""),708)</f>
        <v>708</v>
      </c>
      <c r="C254" s="6">
        <f t="shared" ca="1" si="0"/>
        <v>-6.357627047282155E-3</v>
      </c>
      <c r="D254" s="7">
        <f t="shared" ca="1" si="1"/>
        <v>0.87097457627118646</v>
      </c>
    </row>
    <row r="255" spans="1:4" ht="12.75" x14ac:dyDescent="0.2">
      <c r="A255" s="8">
        <f ca="1">IFERROR(__xludf.DUMMYFUNCTION("""COMPUTED_VALUE"""),44201.6458333333)</f>
        <v>44201.645833333299</v>
      </c>
      <c r="B255" s="7">
        <f ca="1">IFERROR(__xludf.DUMMYFUNCTION("""COMPUTED_VALUE"""),713.35)</f>
        <v>713.35</v>
      </c>
      <c r="C255" s="6">
        <f t="shared" ca="1" si="0"/>
        <v>7.5564971751411747E-3</v>
      </c>
      <c r="D255" s="7">
        <f t="shared" ca="1" si="1"/>
        <v>0.8661947150767505</v>
      </c>
    </row>
    <row r="256" spans="1:4" ht="12.75" x14ac:dyDescent="0.2">
      <c r="A256" s="8">
        <f ca="1">IFERROR(__xludf.DUMMYFUNCTION("""COMPUTED_VALUE"""),44202.6458333333)</f>
        <v>44202.645833333299</v>
      </c>
      <c r="B256" s="7">
        <f ca="1">IFERROR(__xludf.DUMMYFUNCTION("""COMPUTED_VALUE"""),710.28)</f>
        <v>710.28</v>
      </c>
      <c r="C256" s="6">
        <f t="shared" ca="1" si="0"/>
        <v>-4.3036377654728231E-3</v>
      </c>
      <c r="D256" s="7">
        <f t="shared" ca="1" si="1"/>
        <v>0.8524103170580617</v>
      </c>
    </row>
    <row r="257" spans="1:4" ht="12.75" x14ac:dyDescent="0.2">
      <c r="A257" s="8">
        <f ca="1">IFERROR(__xludf.DUMMYFUNCTION("""COMPUTED_VALUE"""),44203.6458333333)</f>
        <v>44203.645833333299</v>
      </c>
      <c r="B257" s="7">
        <f ca="1">IFERROR(__xludf.DUMMYFUNCTION("""COMPUTED_VALUE"""),708.13)</f>
        <v>708.13</v>
      </c>
      <c r="C257" s="6">
        <f t="shared" ca="1" si="0"/>
        <v>-3.0269752773554037E-3</v>
      </c>
      <c r="D257" s="7">
        <f t="shared" ca="1" si="1"/>
        <v>0.87067346391199352</v>
      </c>
    </row>
    <row r="258" spans="1:4" ht="12.75" x14ac:dyDescent="0.2">
      <c r="A258" s="8">
        <f ca="1">IFERROR(__xludf.DUMMYFUNCTION("""COMPUTED_VALUE"""),44204.6458333333)</f>
        <v>44204.645833333299</v>
      </c>
      <c r="B258" s="7">
        <f ca="1">IFERROR(__xludf.DUMMYFUNCTION("""COMPUTED_VALUE"""),715.83)</f>
        <v>715.83</v>
      </c>
      <c r="C258" s="6">
        <f t="shared" ref="C258:C512" ca="1" si="2">(B258/B257)-1</f>
        <v>1.0873709629587891E-2</v>
      </c>
      <c r="D258" s="7">
        <f t="shared" ca="1" si="1"/>
        <v>0.84489334059762777</v>
      </c>
    </row>
    <row r="259" spans="1:4" ht="12.75" x14ac:dyDescent="0.2">
      <c r="A259" s="8">
        <f ca="1">IFERROR(__xludf.DUMMYFUNCTION("""COMPUTED_VALUE"""),44207.6458333333)</f>
        <v>44207.645833333299</v>
      </c>
      <c r="B259" s="7">
        <f ca="1">IFERROR(__xludf.DUMMYFUNCTION("""COMPUTED_VALUE"""),725.73)</f>
        <v>725.73</v>
      </c>
      <c r="C259" s="6">
        <f t="shared" ca="1" si="2"/>
        <v>1.3830099325258693E-2</v>
      </c>
      <c r="D259" s="7">
        <f t="shared" ca="1" si="1"/>
        <v>0.81793504471359868</v>
      </c>
    </row>
    <row r="260" spans="1:4" ht="12.75" x14ac:dyDescent="0.2">
      <c r="A260" s="8">
        <f ca="1">IFERROR(__xludf.DUMMYFUNCTION("""COMPUTED_VALUE"""),44208.6458333333)</f>
        <v>44208.645833333299</v>
      </c>
      <c r="B260" s="7">
        <f ca="1">IFERROR(__xludf.DUMMYFUNCTION("""COMPUTED_VALUE"""),740.5)</f>
        <v>740.5</v>
      </c>
      <c r="C260" s="6">
        <f t="shared" ca="1" si="2"/>
        <v>2.0351921513510618E-2</v>
      </c>
      <c r="D260" s="7">
        <f t="shared" ca="1" si="1"/>
        <v>0.79916272788656306</v>
      </c>
    </row>
    <row r="261" spans="1:4" ht="12.75" x14ac:dyDescent="0.2">
      <c r="A261" s="8">
        <f ca="1">IFERROR(__xludf.DUMMYFUNCTION("""COMPUTED_VALUE"""),44209.6458333333)</f>
        <v>44209.645833333299</v>
      </c>
      <c r="B261" s="7">
        <f ca="1">IFERROR(__xludf.DUMMYFUNCTION("""COMPUTED_VALUE"""),735.33)</f>
        <v>735.33</v>
      </c>
      <c r="C261" s="6">
        <f t="shared" ca="1" si="2"/>
        <v>-6.9817690749492956E-3</v>
      </c>
      <c r="D261" s="7">
        <f t="shared" ca="1" si="1"/>
        <v>0.82633647478003069</v>
      </c>
    </row>
    <row r="262" spans="1:4" ht="12.75" x14ac:dyDescent="0.2">
      <c r="A262" s="8">
        <f ca="1">IFERROR(__xludf.DUMMYFUNCTION("""COMPUTED_VALUE"""),44210.6458333333)</f>
        <v>44210.645833333299</v>
      </c>
      <c r="B262" s="7">
        <f ca="1">IFERROR(__xludf.DUMMYFUNCTION("""COMPUTED_VALUE"""),734.38)</f>
        <v>734.38</v>
      </c>
      <c r="C262" s="6">
        <f t="shared" ca="1" si="2"/>
        <v>-1.2919369534767355E-3</v>
      </c>
      <c r="D262" s="7">
        <f t="shared" ca="1" si="1"/>
        <v>0.8496691086358561</v>
      </c>
    </row>
    <row r="263" spans="1:4" ht="12.75" x14ac:dyDescent="0.2">
      <c r="A263" s="8">
        <f ca="1">IFERROR(__xludf.DUMMYFUNCTION("""COMPUTED_VALUE"""),44211.6458333333)</f>
        <v>44211.645833333299</v>
      </c>
      <c r="B263" s="7">
        <f ca="1">IFERROR(__xludf.DUMMYFUNCTION("""COMPUTED_VALUE"""),733.33)</f>
        <v>733.33</v>
      </c>
      <c r="C263" s="6">
        <f t="shared" ca="1" si="2"/>
        <v>-1.4297774993872192E-3</v>
      </c>
      <c r="D263" s="7">
        <f t="shared" ca="1" si="1"/>
        <v>0.8573220787367215</v>
      </c>
    </row>
    <row r="264" spans="1:4" ht="12.75" x14ac:dyDescent="0.2">
      <c r="A264" s="8">
        <f ca="1">IFERROR(__xludf.DUMMYFUNCTION("""COMPUTED_VALUE"""),44214.6458333333)</f>
        <v>44214.645833333299</v>
      </c>
      <c r="B264" s="7">
        <f ca="1">IFERROR(__xludf.DUMMYFUNCTION("""COMPUTED_VALUE"""),741.55)</f>
        <v>741.55</v>
      </c>
      <c r="C264" s="6">
        <f t="shared" ca="1" si="2"/>
        <v>1.1209141859735539E-2</v>
      </c>
      <c r="D264" s="7">
        <f t="shared" ca="1" si="1"/>
        <v>0.85577506574067841</v>
      </c>
    </row>
    <row r="265" spans="1:4" ht="12.75" x14ac:dyDescent="0.2">
      <c r="A265" s="8">
        <f ca="1">IFERROR(__xludf.DUMMYFUNCTION("""COMPUTED_VALUE"""),44215.6458333333)</f>
        <v>44215.645833333299</v>
      </c>
      <c r="B265" s="7">
        <f ca="1">IFERROR(__xludf.DUMMYFUNCTION("""COMPUTED_VALUE"""),751.93)</f>
        <v>751.93</v>
      </c>
      <c r="C265" s="6">
        <f t="shared" ca="1" si="2"/>
        <v>1.3997707504551204E-2</v>
      </c>
      <c r="D265" s="7">
        <f t="shared" ca="1" si="1"/>
        <v>0.86953572805979296</v>
      </c>
    </row>
    <row r="266" spans="1:4" ht="12.75" x14ac:dyDescent="0.2">
      <c r="A266" s="8">
        <f ca="1">IFERROR(__xludf.DUMMYFUNCTION("""COMPUTED_VALUE"""),44216.6458333333)</f>
        <v>44216.645833333299</v>
      </c>
      <c r="B266" s="7">
        <f ca="1">IFERROR(__xludf.DUMMYFUNCTION("""COMPUTED_VALUE"""),746)</f>
        <v>746</v>
      </c>
      <c r="C266" s="6">
        <f t="shared" ca="1" si="2"/>
        <v>-7.8863724016862147E-3</v>
      </c>
      <c r="D266" s="7">
        <f t="shared" ca="1" si="1"/>
        <v>0.89849865951742625</v>
      </c>
    </row>
    <row r="267" spans="1:4" ht="12.75" x14ac:dyDescent="0.2">
      <c r="A267" s="8">
        <f ca="1">IFERROR(__xludf.DUMMYFUNCTION("""COMPUTED_VALUE"""),44217.6458333333)</f>
        <v>44217.645833333299</v>
      </c>
      <c r="B267" s="7">
        <f ca="1">IFERROR(__xludf.DUMMYFUNCTION("""COMPUTED_VALUE"""),737.4)</f>
        <v>737.4</v>
      </c>
      <c r="C267" s="6">
        <f t="shared" ca="1" si="2"/>
        <v>-1.1528150134048287E-2</v>
      </c>
      <c r="D267" s="7">
        <f t="shared" ca="1" si="1"/>
        <v>0.94498237049091416</v>
      </c>
    </row>
    <row r="268" spans="1:4" ht="12.75" x14ac:dyDescent="0.2">
      <c r="A268" s="8">
        <f ca="1">IFERROR(__xludf.DUMMYFUNCTION("""COMPUTED_VALUE"""),44218.6458333333)</f>
        <v>44218.645833333299</v>
      </c>
      <c r="B268" s="7">
        <f ca="1">IFERROR(__xludf.DUMMYFUNCTION("""COMPUTED_VALUE"""),721.78)</f>
        <v>721.78</v>
      </c>
      <c r="C268" s="6">
        <f t="shared" ca="1" si="2"/>
        <v>-2.1182533224844091E-2</v>
      </c>
      <c r="D268" s="7">
        <f t="shared" ca="1" si="1"/>
        <v>0.96286957244589766</v>
      </c>
    </row>
    <row r="269" spans="1:4" ht="12.75" x14ac:dyDescent="0.2">
      <c r="A269" s="8">
        <f ca="1">IFERROR(__xludf.DUMMYFUNCTION("""COMPUTED_VALUE"""),44221.6458333333)</f>
        <v>44221.645833333299</v>
      </c>
      <c r="B269" s="7">
        <f ca="1">IFERROR(__xludf.DUMMYFUNCTION("""COMPUTED_VALUE"""),731.43)</f>
        <v>731.43</v>
      </c>
      <c r="C269" s="6">
        <f t="shared" ca="1" si="2"/>
        <v>1.3369724846906239E-2</v>
      </c>
      <c r="D269" s="7">
        <f t="shared" ca="1" si="1"/>
        <v>0.93768371546149332</v>
      </c>
    </row>
    <row r="270" spans="1:4" ht="12.75" x14ac:dyDescent="0.2">
      <c r="A270" s="8">
        <f ca="1">IFERROR(__xludf.DUMMYFUNCTION("""COMPUTED_VALUE"""),44223.6458333333)</f>
        <v>44223.645833333299</v>
      </c>
      <c r="B270" s="7">
        <f ca="1">IFERROR(__xludf.DUMMYFUNCTION("""COMPUTED_VALUE"""),704.8)</f>
        <v>704.8</v>
      </c>
      <c r="C270" s="6">
        <f t="shared" ca="1" si="2"/>
        <v>-3.6408132015367189E-2</v>
      </c>
      <c r="D270" s="7">
        <f t="shared" ca="1" si="1"/>
        <v>0.96396140749148695</v>
      </c>
    </row>
    <row r="271" spans="1:4" ht="12.75" x14ac:dyDescent="0.2">
      <c r="A271" s="8">
        <f ca="1">IFERROR(__xludf.DUMMYFUNCTION("""COMPUTED_VALUE"""),44224.6458333333)</f>
        <v>44224.645833333299</v>
      </c>
      <c r="B271" s="7">
        <f ca="1">IFERROR(__xludf.DUMMYFUNCTION("""COMPUTED_VALUE"""),685.73)</f>
        <v>685.73</v>
      </c>
      <c r="C271" s="6">
        <f t="shared" ca="1" si="2"/>
        <v>-2.705732122587956E-2</v>
      </c>
      <c r="D271" s="7">
        <f t="shared" ca="1" si="1"/>
        <v>1.0269785484082656</v>
      </c>
    </row>
    <row r="272" spans="1:4" ht="12.75" x14ac:dyDescent="0.2">
      <c r="A272" s="8">
        <f ca="1">IFERROR(__xludf.DUMMYFUNCTION("""COMPUTED_VALUE"""),44225.6458333333)</f>
        <v>44225.645833333299</v>
      </c>
      <c r="B272" s="7">
        <f ca="1">IFERROR(__xludf.DUMMYFUNCTION("""COMPUTED_VALUE"""),695.25)</f>
        <v>695.25</v>
      </c>
      <c r="C272" s="6">
        <f t="shared" ca="1" si="2"/>
        <v>1.3883015180902181E-2</v>
      </c>
      <c r="D272" s="7">
        <f t="shared" ca="1" si="1"/>
        <v>1.0130888169723122</v>
      </c>
    </row>
    <row r="273" spans="1:4" ht="12.75" x14ac:dyDescent="0.2">
      <c r="A273" s="8">
        <f ca="1">IFERROR(__xludf.DUMMYFUNCTION("""COMPUTED_VALUE"""),44228.6458333333)</f>
        <v>44228.645833333299</v>
      </c>
      <c r="B273" s="7">
        <f ca="1">IFERROR(__xludf.DUMMYFUNCTION("""COMPUTED_VALUE"""),738.38)</f>
        <v>738.38</v>
      </c>
      <c r="C273" s="6">
        <f t="shared" ca="1" si="2"/>
        <v>6.2035239122617769E-2</v>
      </c>
      <c r="D273" s="7">
        <f t="shared" ca="1" si="1"/>
        <v>0.93065901026571674</v>
      </c>
    </row>
    <row r="274" spans="1:4" ht="12.75" x14ac:dyDescent="0.2">
      <c r="A274" s="8">
        <f ca="1">IFERROR(__xludf.DUMMYFUNCTION("""COMPUTED_VALUE"""),44229.6458333333)</f>
        <v>44229.645833333299</v>
      </c>
      <c r="B274" s="7">
        <f ca="1">IFERROR(__xludf.DUMMYFUNCTION("""COMPUTED_VALUE"""),780.28)</f>
        <v>780.28</v>
      </c>
      <c r="C274" s="6">
        <f t="shared" ca="1" si="2"/>
        <v>5.6745849020829242E-2</v>
      </c>
      <c r="D274" s="7">
        <f t="shared" ca="1" si="1"/>
        <v>0.89945916850361418</v>
      </c>
    </row>
    <row r="275" spans="1:4" ht="12.75" x14ac:dyDescent="0.2">
      <c r="A275" s="8">
        <f ca="1">IFERROR(__xludf.DUMMYFUNCTION("""COMPUTED_VALUE"""),44230.6458333333)</f>
        <v>44230.645833333299</v>
      </c>
      <c r="B275" s="7">
        <f ca="1">IFERROR(__xludf.DUMMYFUNCTION("""COMPUTED_VALUE"""),787.4)</f>
        <v>787.4</v>
      </c>
      <c r="C275" s="6">
        <f t="shared" ca="1" si="2"/>
        <v>9.1249295124826713E-3</v>
      </c>
      <c r="D275" s="7">
        <f t="shared" ca="1" si="1"/>
        <v>0.88557277114554223</v>
      </c>
    </row>
    <row r="276" spans="1:4" ht="12.75" x14ac:dyDescent="0.2">
      <c r="A276" s="8">
        <f ca="1">IFERROR(__xludf.DUMMYFUNCTION("""COMPUTED_VALUE"""),44231.6458333333)</f>
        <v>44231.645833333299</v>
      </c>
      <c r="B276" s="7">
        <f ca="1">IFERROR(__xludf.DUMMYFUNCTION("""COMPUTED_VALUE"""),789.55)</f>
        <v>789.55</v>
      </c>
      <c r="C276" s="6">
        <f t="shared" ca="1" si="2"/>
        <v>2.7305054610109458E-3</v>
      </c>
      <c r="D276" s="7">
        <f t="shared" ca="1" si="1"/>
        <v>0.91077195871065808</v>
      </c>
    </row>
    <row r="277" spans="1:4" ht="12.75" x14ac:dyDescent="0.2">
      <c r="A277" s="8">
        <f ca="1">IFERROR(__xludf.DUMMYFUNCTION("""COMPUTED_VALUE"""),44232.6458333333)</f>
        <v>44232.645833333299</v>
      </c>
      <c r="B277" s="7">
        <f ca="1">IFERROR(__xludf.DUMMYFUNCTION("""COMPUTED_VALUE"""),798.8)</f>
        <v>798.8</v>
      </c>
      <c r="C277" s="6">
        <f t="shared" ca="1" si="2"/>
        <v>1.1715534165030794E-2</v>
      </c>
      <c r="D277" s="7">
        <f t="shared" ca="1" si="1"/>
        <v>0.87806710065097648</v>
      </c>
    </row>
    <row r="278" spans="1:4" ht="12.75" x14ac:dyDescent="0.2">
      <c r="A278" s="8">
        <f ca="1">IFERROR(__xludf.DUMMYFUNCTION("""COMPUTED_VALUE"""),44235.6458333333)</f>
        <v>44235.645833333299</v>
      </c>
      <c r="B278" s="7">
        <f ca="1">IFERROR(__xludf.DUMMYFUNCTION("""COMPUTED_VALUE"""),802.63)</f>
        <v>802.63</v>
      </c>
      <c r="C278" s="6">
        <f t="shared" ca="1" si="2"/>
        <v>4.7946920380570468E-3</v>
      </c>
      <c r="D278" s="7">
        <f t="shared" ca="1" si="1"/>
        <v>0.88874076473593067</v>
      </c>
    </row>
    <row r="279" spans="1:4" ht="12.75" x14ac:dyDescent="0.2">
      <c r="A279" s="8">
        <f ca="1">IFERROR(__xludf.DUMMYFUNCTION("""COMPUTED_VALUE"""),44236.6458333333)</f>
        <v>44236.645833333299</v>
      </c>
      <c r="B279" s="7">
        <f ca="1">IFERROR(__xludf.DUMMYFUNCTION("""COMPUTED_VALUE"""),805.93)</f>
        <v>805.93</v>
      </c>
      <c r="C279" s="6">
        <f t="shared" ca="1" si="2"/>
        <v>4.111483498000279E-3</v>
      </c>
      <c r="D279" s="7">
        <f t="shared" ca="1" si="1"/>
        <v>0.89391138188180119</v>
      </c>
    </row>
    <row r="280" spans="1:4" ht="12.75" x14ac:dyDescent="0.2">
      <c r="A280" s="8">
        <f ca="1">IFERROR(__xludf.DUMMYFUNCTION("""COMPUTED_VALUE"""),44237.6458333333)</f>
        <v>44237.645833333299</v>
      </c>
      <c r="B280" s="7">
        <f ca="1">IFERROR(__xludf.DUMMYFUNCTION("""COMPUTED_VALUE"""),790.88)</f>
        <v>790.88</v>
      </c>
      <c r="C280" s="6">
        <f t="shared" ca="1" si="2"/>
        <v>-1.8674078393905114E-2</v>
      </c>
      <c r="D280" s="7">
        <f t="shared" ca="1" si="1"/>
        <v>0.90614252478252066</v>
      </c>
    </row>
    <row r="281" spans="1:4" ht="12.75" x14ac:dyDescent="0.2">
      <c r="A281" s="8">
        <f ca="1">IFERROR(__xludf.DUMMYFUNCTION("""COMPUTED_VALUE"""),44238.6458333333)</f>
        <v>44238.645833333299</v>
      </c>
      <c r="B281" s="7">
        <f ca="1">IFERROR(__xludf.DUMMYFUNCTION("""COMPUTED_VALUE"""),786.18)</f>
        <v>786.18</v>
      </c>
      <c r="C281" s="6">
        <f t="shared" ca="1" si="2"/>
        <v>-5.9427473194416658E-3</v>
      </c>
      <c r="D281" s="7">
        <f t="shared" ca="1" si="1"/>
        <v>0.89480780482841082</v>
      </c>
    </row>
    <row r="282" spans="1:4" ht="12.75" x14ac:dyDescent="0.2">
      <c r="A282" s="8">
        <f ca="1">IFERROR(__xludf.DUMMYFUNCTION("""COMPUTED_VALUE"""),44239.6458333333)</f>
        <v>44239.645833333299</v>
      </c>
      <c r="B282" s="7">
        <f ca="1">IFERROR(__xludf.DUMMYFUNCTION("""COMPUTED_VALUE"""),790.98)</f>
        <v>790.98</v>
      </c>
      <c r="C282" s="6">
        <f t="shared" ca="1" si="2"/>
        <v>6.1054720293063358E-3</v>
      </c>
      <c r="D282" s="7">
        <f t="shared" ca="1" si="1"/>
        <v>0.87056562744949306</v>
      </c>
    </row>
    <row r="283" spans="1:4" ht="12.75" x14ac:dyDescent="0.2">
      <c r="A283" s="8">
        <f ca="1">IFERROR(__xludf.DUMMYFUNCTION("""COMPUTED_VALUE"""),44242.6458333333)</f>
        <v>44242.645833333299</v>
      </c>
      <c r="B283" s="7">
        <f ca="1">IFERROR(__xludf.DUMMYFUNCTION("""COMPUTED_VALUE"""),808.3)</f>
        <v>808.3</v>
      </c>
      <c r="C283" s="6">
        <f t="shared" ca="1" si="2"/>
        <v>2.1896887405497001E-2</v>
      </c>
      <c r="D283" s="7">
        <f t="shared" ca="1" si="1"/>
        <v>0.85710750958802429</v>
      </c>
    </row>
    <row r="284" spans="1:4" ht="12.75" x14ac:dyDescent="0.2">
      <c r="A284" s="8">
        <f ca="1">IFERROR(__xludf.DUMMYFUNCTION("""COMPUTED_VALUE"""),44243.6458333333)</f>
        <v>44243.645833333299</v>
      </c>
      <c r="B284" s="7">
        <f ca="1">IFERROR(__xludf.DUMMYFUNCTION("""COMPUTED_VALUE"""),813.33)</f>
        <v>813.33</v>
      </c>
      <c r="C284" s="6">
        <f t="shared" ca="1" si="2"/>
        <v>6.2229370283310992E-3</v>
      </c>
      <c r="D284" s="7">
        <f t="shared" ca="1" si="1"/>
        <v>0.84360591641769023</v>
      </c>
    </row>
    <row r="285" spans="1:4" ht="12.75" x14ac:dyDescent="0.2">
      <c r="A285" s="8">
        <f ca="1">IFERROR(__xludf.DUMMYFUNCTION("""COMPUTED_VALUE"""),44244.6458333333)</f>
        <v>44244.645833333299</v>
      </c>
      <c r="B285" s="7">
        <f ca="1">IFERROR(__xludf.DUMMYFUNCTION("""COMPUTED_VALUE"""),793.25)</f>
        <v>793.25</v>
      </c>
      <c r="C285" s="6">
        <f t="shared" ca="1" si="2"/>
        <v>-2.4688625773056527E-2</v>
      </c>
      <c r="D285" s="7">
        <f t="shared" ca="1" si="1"/>
        <v>0.86750709108099588</v>
      </c>
    </row>
    <row r="286" spans="1:4" ht="12.75" x14ac:dyDescent="0.2">
      <c r="A286" s="8">
        <f ca="1">IFERROR(__xludf.DUMMYFUNCTION("""COMPUTED_VALUE"""),44245.6458333333)</f>
        <v>44245.645833333299</v>
      </c>
      <c r="B286" s="7">
        <f ca="1">IFERROR(__xludf.DUMMYFUNCTION("""COMPUTED_VALUE"""),777.15)</f>
        <v>777.15</v>
      </c>
      <c r="C286" s="6">
        <f t="shared" ca="1" si="2"/>
        <v>-2.0296249606051031E-2</v>
      </c>
      <c r="D286" s="7">
        <f t="shared" ca="1" si="1"/>
        <v>0.90535932574149136</v>
      </c>
    </row>
    <row r="287" spans="1:4" ht="12.75" x14ac:dyDescent="0.2">
      <c r="A287" s="8">
        <f ca="1">IFERROR(__xludf.DUMMYFUNCTION("""COMPUTED_VALUE"""),44246.6458333333)</f>
        <v>44246.645833333299</v>
      </c>
      <c r="B287" s="7">
        <f ca="1">IFERROR(__xludf.DUMMYFUNCTION("""COMPUTED_VALUE"""),769.55)</f>
        <v>769.55</v>
      </c>
      <c r="C287" s="6">
        <f t="shared" ca="1" si="2"/>
        <v>-9.7793218812327609E-3</v>
      </c>
      <c r="D287" s="7">
        <f t="shared" ca="1" si="1"/>
        <v>0.9004353193424729</v>
      </c>
    </row>
    <row r="288" spans="1:4" ht="12.75" x14ac:dyDescent="0.2">
      <c r="A288" s="8">
        <f ca="1">IFERROR(__xludf.DUMMYFUNCTION("""COMPUTED_VALUE"""),44249.6458333333)</f>
        <v>44249.645833333299</v>
      </c>
      <c r="B288" s="7">
        <f ca="1">IFERROR(__xludf.DUMMYFUNCTION("""COMPUTED_VALUE"""),774)</f>
        <v>774</v>
      </c>
      <c r="C288" s="6">
        <f t="shared" ca="1" si="2"/>
        <v>5.7826002209084848E-3</v>
      </c>
      <c r="D288" s="7">
        <f t="shared" ca="1" si="1"/>
        <v>0.89328165374677004</v>
      </c>
    </row>
    <row r="289" spans="1:4" ht="12.75" x14ac:dyDescent="0.2">
      <c r="A289" s="8">
        <f ca="1">IFERROR(__xludf.DUMMYFUNCTION("""COMPUTED_VALUE"""),44250.6458333333)</f>
        <v>44250.645833333299</v>
      </c>
      <c r="B289" s="7">
        <f ca="1">IFERROR(__xludf.DUMMYFUNCTION("""COMPUTED_VALUE"""),764.58)</f>
        <v>764.58</v>
      </c>
      <c r="C289" s="6">
        <f t="shared" ca="1" si="2"/>
        <v>-1.2170542635658865E-2</v>
      </c>
      <c r="D289" s="7">
        <f t="shared" ca="1" si="1"/>
        <v>0.89732925266159203</v>
      </c>
    </row>
    <row r="290" spans="1:4" ht="12.75" x14ac:dyDescent="0.2">
      <c r="A290" s="8">
        <f ca="1">IFERROR(__xludf.DUMMYFUNCTION("""COMPUTED_VALUE"""),44251.6458333333)</f>
        <v>44251.645833333299</v>
      </c>
      <c r="B290" s="7">
        <f ca="1">IFERROR(__xludf.DUMMYFUNCTION("""COMPUTED_VALUE"""),803.23)</f>
        <v>803.23</v>
      </c>
      <c r="C290" s="6">
        <f t="shared" ca="1" si="2"/>
        <v>5.0550629103560007E-2</v>
      </c>
      <c r="D290" s="7">
        <f t="shared" ca="1" si="1"/>
        <v>0.8660657594960347</v>
      </c>
    </row>
    <row r="291" spans="1:4" ht="12.75" x14ac:dyDescent="0.2">
      <c r="A291" s="8">
        <f ca="1">IFERROR(__xludf.DUMMYFUNCTION("""COMPUTED_VALUE"""),44252.6458333333)</f>
        <v>44252.645833333299</v>
      </c>
      <c r="B291" s="7">
        <f ca="1">IFERROR(__xludf.DUMMYFUNCTION("""COMPUTED_VALUE"""),803.2)</f>
        <v>803.2</v>
      </c>
      <c r="C291" s="6">
        <f t="shared" ca="1" si="2"/>
        <v>-3.7349202594461062E-5</v>
      </c>
      <c r="D291" s="7">
        <f t="shared" ca="1" si="1"/>
        <v>0.87817480079681276</v>
      </c>
    </row>
    <row r="292" spans="1:4" ht="12.75" x14ac:dyDescent="0.2">
      <c r="A292" s="8">
        <f ca="1">IFERROR(__xludf.DUMMYFUNCTION("""COMPUTED_VALUE"""),44253.6458333333)</f>
        <v>44253.645833333299</v>
      </c>
      <c r="B292" s="7">
        <f ca="1">IFERROR(__xludf.DUMMYFUNCTION("""COMPUTED_VALUE"""),767.2)</f>
        <v>767.2</v>
      </c>
      <c r="C292" s="6">
        <f t="shared" ca="1" si="2"/>
        <v>-4.4820717131474064E-2</v>
      </c>
      <c r="D292" s="7">
        <f t="shared" ca="1" si="1"/>
        <v>0.93965067778936384</v>
      </c>
    </row>
    <row r="293" spans="1:4" ht="12.75" x14ac:dyDescent="0.2">
      <c r="A293" s="8">
        <f ca="1">IFERROR(__xludf.DUMMYFUNCTION("""COMPUTED_VALUE"""),44256.6458333333)</f>
        <v>44256.645833333299</v>
      </c>
      <c r="B293" s="7">
        <f ca="1">IFERROR(__xludf.DUMMYFUNCTION("""COMPUTED_VALUE"""),779.45)</f>
        <v>779.45</v>
      </c>
      <c r="C293" s="6">
        <f t="shared" ca="1" si="2"/>
        <v>1.5967153284671465E-2</v>
      </c>
      <c r="D293" s="7">
        <f t="shared" ca="1" si="1"/>
        <v>0.90535634100968621</v>
      </c>
    </row>
    <row r="294" spans="1:4" ht="12.75" x14ac:dyDescent="0.2">
      <c r="A294" s="8">
        <f ca="1">IFERROR(__xludf.DUMMYFUNCTION("""COMPUTED_VALUE"""),44257.6458333333)</f>
        <v>44257.645833333299</v>
      </c>
      <c r="B294" s="7">
        <f ca="1">IFERROR(__xludf.DUMMYFUNCTION("""COMPUTED_VALUE"""),784.1)</f>
        <v>784.1</v>
      </c>
      <c r="C294" s="6">
        <f t="shared" ca="1" si="2"/>
        <v>5.9657450766565923E-3</v>
      </c>
      <c r="D294" s="7">
        <f t="shared" ca="1" si="1"/>
        <v>0.87530927177655915</v>
      </c>
    </row>
    <row r="295" spans="1:4" ht="12.75" x14ac:dyDescent="0.2">
      <c r="A295" s="8">
        <f ca="1">IFERROR(__xludf.DUMMYFUNCTION("""COMPUTED_VALUE"""),44258.6458333333)</f>
        <v>44258.645833333299</v>
      </c>
      <c r="B295" s="7">
        <f ca="1">IFERROR(__xludf.DUMMYFUNCTION("""COMPUTED_VALUE"""),793.43)</f>
        <v>793.43</v>
      </c>
      <c r="C295" s="6">
        <f t="shared" ca="1" si="2"/>
        <v>1.1898992475449566E-2</v>
      </c>
      <c r="D295" s="7">
        <f t="shared" ca="1" si="1"/>
        <v>0.86529372471421551</v>
      </c>
    </row>
    <row r="296" spans="1:4" ht="12.75" x14ac:dyDescent="0.2">
      <c r="A296" s="8">
        <f ca="1">IFERROR(__xludf.DUMMYFUNCTION("""COMPUTED_VALUE"""),44259.6458333333)</f>
        <v>44259.645833333299</v>
      </c>
      <c r="B296" s="7">
        <f ca="1">IFERROR(__xludf.DUMMYFUNCTION("""COMPUTED_VALUE"""),776.03)</f>
        <v>776.03</v>
      </c>
      <c r="C296" s="6">
        <f t="shared" ca="1" si="2"/>
        <v>-2.193010095408543E-2</v>
      </c>
      <c r="D296" s="7">
        <f t="shared" ca="1" si="1"/>
        <v>0.88634460007989391</v>
      </c>
    </row>
    <row r="297" spans="1:4" ht="12.75" x14ac:dyDescent="0.2">
      <c r="A297" s="8">
        <f ca="1">IFERROR(__xludf.DUMMYFUNCTION("""COMPUTED_VALUE"""),44260.6458333333)</f>
        <v>44260.645833333299</v>
      </c>
      <c r="B297" s="7">
        <f ca="1">IFERROR(__xludf.DUMMYFUNCTION("""COMPUTED_VALUE"""),765)</f>
        <v>765</v>
      </c>
      <c r="C297" s="6">
        <f t="shared" ca="1" si="2"/>
        <v>-1.4213368039895369E-2</v>
      </c>
      <c r="D297" s="7">
        <f t="shared" ca="1" si="1"/>
        <v>0.91313725490196074</v>
      </c>
    </row>
    <row r="298" spans="1:4" ht="12.75" x14ac:dyDescent="0.2">
      <c r="A298" s="8">
        <f ca="1">IFERROR(__xludf.DUMMYFUNCTION("""COMPUTED_VALUE"""),44263.6458333333)</f>
        <v>44263.645833333299</v>
      </c>
      <c r="B298" s="7">
        <f ca="1">IFERROR(__xludf.DUMMYFUNCTION("""COMPUTED_VALUE"""),759.75)</f>
        <v>759.75</v>
      </c>
      <c r="C298" s="6">
        <f t="shared" ca="1" si="2"/>
        <v>-6.8627450980391913E-3</v>
      </c>
      <c r="D298" s="7">
        <f t="shared" ca="1" si="1"/>
        <v>0.92981901941428091</v>
      </c>
    </row>
    <row r="299" spans="1:4" ht="12.75" x14ac:dyDescent="0.2">
      <c r="A299" s="8">
        <f ca="1">IFERROR(__xludf.DUMMYFUNCTION("""COMPUTED_VALUE"""),44264.6458333333)</f>
        <v>44264.645833333299</v>
      </c>
      <c r="B299" s="7">
        <f ca="1">IFERROR(__xludf.DUMMYFUNCTION("""COMPUTED_VALUE"""),781.25)</f>
        <v>781.25</v>
      </c>
      <c r="C299" s="6">
        <f t="shared" ca="1" si="2"/>
        <v>2.8298782494241559E-2</v>
      </c>
      <c r="D299" s="7">
        <f t="shared" ca="1" si="1"/>
        <v>0.913408</v>
      </c>
    </row>
    <row r="300" spans="1:4" ht="12.75" x14ac:dyDescent="0.2">
      <c r="A300" s="8">
        <f ca="1">IFERROR(__xludf.DUMMYFUNCTION("""COMPUTED_VALUE"""),44265.6458333333)</f>
        <v>44265.645833333299</v>
      </c>
      <c r="B300" s="7">
        <f ca="1">IFERROR(__xludf.DUMMYFUNCTION("""COMPUTED_VALUE"""),777.88)</f>
        <v>777.88</v>
      </c>
      <c r="C300" s="6">
        <f t="shared" ca="1" si="2"/>
        <v>-4.3136000000000285E-3</v>
      </c>
      <c r="D300" s="7">
        <f t="shared" ca="1" si="1"/>
        <v>0.92077184141512836</v>
      </c>
    </row>
    <row r="301" spans="1:4" ht="12.75" x14ac:dyDescent="0.2">
      <c r="A301" s="8">
        <f ca="1">IFERROR(__xludf.DUMMYFUNCTION("""COMPUTED_VALUE"""),44267.6458333333)</f>
        <v>44267.645833333299</v>
      </c>
      <c r="B301" s="7">
        <f ca="1">IFERROR(__xludf.DUMMYFUNCTION("""COMPUTED_VALUE"""),775.98)</f>
        <v>775.98</v>
      </c>
      <c r="C301" s="6">
        <f t="shared" ca="1" si="2"/>
        <v>-2.4425361238237242E-3</v>
      </c>
      <c r="D301" s="7">
        <f t="shared" ca="1" si="1"/>
        <v>0.92547488337328276</v>
      </c>
    </row>
    <row r="302" spans="1:4" ht="12.75" x14ac:dyDescent="0.2">
      <c r="A302" s="8">
        <f ca="1">IFERROR(__xludf.DUMMYFUNCTION("""COMPUTED_VALUE"""),44270.6458333333)</f>
        <v>44270.645833333299</v>
      </c>
      <c r="B302" s="7">
        <f ca="1">IFERROR(__xludf.DUMMYFUNCTION("""COMPUTED_VALUE"""),764.33)</f>
        <v>764.33</v>
      </c>
      <c r="C302" s="6">
        <f t="shared" ca="1" si="2"/>
        <v>-1.5013273537977767E-2</v>
      </c>
      <c r="D302" s="7">
        <f t="shared" ca="1" si="1"/>
        <v>0.93222822602802446</v>
      </c>
    </row>
    <row r="303" spans="1:4" ht="12.75" x14ac:dyDescent="0.2">
      <c r="A303" s="8">
        <f ca="1">IFERROR(__xludf.DUMMYFUNCTION("""COMPUTED_VALUE"""),44271.6458333333)</f>
        <v>44271.645833333299</v>
      </c>
      <c r="B303" s="7">
        <f ca="1">IFERROR(__xludf.DUMMYFUNCTION("""COMPUTED_VALUE"""),756.08)</f>
        <v>756.08</v>
      </c>
      <c r="C303" s="6">
        <f t="shared" ca="1" si="2"/>
        <v>-1.0793767090131245E-2</v>
      </c>
      <c r="D303" s="7">
        <f t="shared" ca="1" si="1"/>
        <v>0.93640884562480153</v>
      </c>
    </row>
    <row r="304" spans="1:4" ht="12.75" x14ac:dyDescent="0.2">
      <c r="A304" s="8">
        <f ca="1">IFERROR(__xludf.DUMMYFUNCTION("""COMPUTED_VALUE"""),44272.6458333333)</f>
        <v>44272.645833333299</v>
      </c>
      <c r="B304" s="7">
        <f ca="1">IFERROR(__xludf.DUMMYFUNCTION("""COMPUTED_VALUE"""),747.68)</f>
        <v>747.68</v>
      </c>
      <c r="C304" s="6">
        <f t="shared" ca="1" si="2"/>
        <v>-1.1109935456565578E-2</v>
      </c>
      <c r="D304" s="7">
        <f t="shared" ca="1" si="1"/>
        <v>0.9540846351380271</v>
      </c>
    </row>
    <row r="305" spans="1:4" ht="12.75" x14ac:dyDescent="0.2">
      <c r="A305" s="8">
        <f ca="1">IFERROR(__xludf.DUMMYFUNCTION("""COMPUTED_VALUE"""),44273.6458333333)</f>
        <v>44273.645833333299</v>
      </c>
      <c r="B305" s="7">
        <f ca="1">IFERROR(__xludf.DUMMYFUNCTION("""COMPUTED_VALUE"""),745.5)</f>
        <v>745.5</v>
      </c>
      <c r="C305" s="6">
        <f t="shared" ca="1" si="2"/>
        <v>-2.9156858549110876E-3</v>
      </c>
      <c r="D305" s="7">
        <f t="shared" ca="1" si="1"/>
        <v>0.95275653923541248</v>
      </c>
    </row>
    <row r="306" spans="1:4" ht="12.75" x14ac:dyDescent="0.2">
      <c r="A306" s="8">
        <f ca="1">IFERROR(__xludf.DUMMYFUNCTION("""COMPUTED_VALUE"""),44274.6458333333)</f>
        <v>44274.645833333299</v>
      </c>
      <c r="B306" s="7">
        <f ca="1">IFERROR(__xludf.DUMMYFUNCTION("""COMPUTED_VALUE"""),748.75)</f>
        <v>748.75</v>
      </c>
      <c r="C306" s="6">
        <f t="shared" ca="1" si="2"/>
        <v>4.3594902749832798E-3</v>
      </c>
      <c r="D306" s="7">
        <f t="shared" ref="D306:D560" ca="1" si="3">AVERAGE(B257/B306)</f>
        <v>0.94574958263772957</v>
      </c>
    </row>
    <row r="307" spans="1:4" ht="12.75" x14ac:dyDescent="0.2">
      <c r="A307" s="8">
        <f ca="1">IFERROR(__xludf.DUMMYFUNCTION("""COMPUTED_VALUE"""),44277.6458333333)</f>
        <v>44277.645833333299</v>
      </c>
      <c r="B307" s="7">
        <f ca="1">IFERROR(__xludf.DUMMYFUNCTION("""COMPUTED_VALUE"""),734.58)</f>
        <v>734.58</v>
      </c>
      <c r="C307" s="6">
        <f t="shared" ca="1" si="2"/>
        <v>-1.8924874791318769E-2</v>
      </c>
      <c r="D307" s="7">
        <f t="shared" ca="1" si="3"/>
        <v>0.97447521032426698</v>
      </c>
    </row>
    <row r="308" spans="1:4" ht="12.75" x14ac:dyDescent="0.2">
      <c r="A308" s="8">
        <f ca="1">IFERROR(__xludf.DUMMYFUNCTION("""COMPUTED_VALUE"""),44278.6458333333)</f>
        <v>44278.645833333299</v>
      </c>
      <c r="B308" s="7">
        <f ca="1">IFERROR(__xludf.DUMMYFUNCTION("""COMPUTED_VALUE"""),750.08)</f>
        <v>750.08</v>
      </c>
      <c r="C308" s="6">
        <f t="shared" ca="1" si="2"/>
        <v>2.1100492798606041E-2</v>
      </c>
      <c r="D308" s="7">
        <f t="shared" ca="1" si="3"/>
        <v>0.96753679607508525</v>
      </c>
    </row>
    <row r="309" spans="1:4" ht="12.75" x14ac:dyDescent="0.2">
      <c r="A309" s="8">
        <f ca="1">IFERROR(__xludf.DUMMYFUNCTION("""COMPUTED_VALUE"""),44279.6458333333)</f>
        <v>44279.645833333299</v>
      </c>
      <c r="B309" s="7">
        <f ca="1">IFERROR(__xludf.DUMMYFUNCTION("""COMPUTED_VALUE"""),739.4)</f>
        <v>739.4</v>
      </c>
      <c r="C309" s="6">
        <f t="shared" ca="1" si="2"/>
        <v>-1.4238481228668998E-2</v>
      </c>
      <c r="D309" s="7">
        <f t="shared" ca="1" si="3"/>
        <v>1.0014876927238301</v>
      </c>
    </row>
    <row r="310" spans="1:4" ht="12.75" x14ac:dyDescent="0.2">
      <c r="A310" s="8">
        <f ca="1">IFERROR(__xludf.DUMMYFUNCTION("""COMPUTED_VALUE"""),44280.6458333333)</f>
        <v>44280.645833333299</v>
      </c>
      <c r="B310" s="7">
        <f ca="1">IFERROR(__xludf.DUMMYFUNCTION("""COMPUTED_VALUE"""),731.68)</f>
        <v>731.68</v>
      </c>
      <c r="C310" s="6">
        <f t="shared" ca="1" si="2"/>
        <v>-1.0440898025426026E-2</v>
      </c>
      <c r="D310" s="7">
        <f t="shared" ca="1" si="3"/>
        <v>1.0049885195713975</v>
      </c>
    </row>
    <row r="311" spans="1:4" ht="12.75" x14ac:dyDescent="0.2">
      <c r="A311" s="8">
        <f ca="1">IFERROR(__xludf.DUMMYFUNCTION("""COMPUTED_VALUE"""),44281.6458333333)</f>
        <v>44281.645833333299</v>
      </c>
      <c r="B311" s="7">
        <f ca="1">IFERROR(__xludf.DUMMYFUNCTION("""COMPUTED_VALUE"""),745.65)</f>
        <v>745.65</v>
      </c>
      <c r="C311" s="6">
        <f t="shared" ca="1" si="2"/>
        <v>1.9093046140389314E-2</v>
      </c>
      <c r="D311" s="7">
        <f t="shared" ca="1" si="3"/>
        <v>0.98488567022061291</v>
      </c>
    </row>
    <row r="312" spans="1:4" ht="12.75" x14ac:dyDescent="0.2">
      <c r="A312" s="8">
        <f ca="1">IFERROR(__xludf.DUMMYFUNCTION("""COMPUTED_VALUE"""),44285.6458333333)</f>
        <v>44285.645833333299</v>
      </c>
      <c r="B312" s="7">
        <f ca="1">IFERROR(__xludf.DUMMYFUNCTION("""COMPUTED_VALUE"""),776.85)</f>
        <v>776.85</v>
      </c>
      <c r="C312" s="6">
        <f t="shared" ca="1" si="2"/>
        <v>4.1842687588010463E-2</v>
      </c>
      <c r="D312" s="7">
        <f t="shared" ca="1" si="3"/>
        <v>0.94397888910343053</v>
      </c>
    </row>
    <row r="313" spans="1:4" ht="12.75" x14ac:dyDescent="0.2">
      <c r="A313" s="8">
        <f ca="1">IFERROR(__xludf.DUMMYFUNCTION("""COMPUTED_VALUE"""),44286.6458333333)</f>
        <v>44286.645833333299</v>
      </c>
      <c r="B313" s="7">
        <f ca="1">IFERROR(__xludf.DUMMYFUNCTION("""COMPUTED_VALUE"""),746.83)</f>
        <v>746.83</v>
      </c>
      <c r="C313" s="6">
        <f t="shared" ca="1" si="2"/>
        <v>-3.8643238720473705E-2</v>
      </c>
      <c r="D313" s="7">
        <f t="shared" ca="1" si="3"/>
        <v>0.99293011796526642</v>
      </c>
    </row>
    <row r="314" spans="1:4" ht="12.75" x14ac:dyDescent="0.2">
      <c r="A314" s="8">
        <f ca="1">IFERROR(__xludf.DUMMYFUNCTION("""COMPUTED_VALUE"""),44287.6458333333)</f>
        <v>44287.645833333299</v>
      </c>
      <c r="B314" s="7">
        <f ca="1">IFERROR(__xludf.DUMMYFUNCTION("""COMPUTED_VALUE"""),743.38)</f>
        <v>743.38</v>
      </c>
      <c r="C314" s="6">
        <f t="shared" ca="1" si="2"/>
        <v>-4.6195251931497872E-3</v>
      </c>
      <c r="D314" s="7">
        <f t="shared" ca="1" si="3"/>
        <v>1.0115015200839408</v>
      </c>
    </row>
    <row r="315" spans="1:4" ht="12.75" x14ac:dyDescent="0.2">
      <c r="A315" s="8">
        <f ca="1">IFERROR(__xludf.DUMMYFUNCTION("""COMPUTED_VALUE"""),44291.6458333333)</f>
        <v>44291.645833333299</v>
      </c>
      <c r="B315" s="7">
        <f ca="1">IFERROR(__xludf.DUMMYFUNCTION("""COMPUTED_VALUE"""),724.8)</f>
        <v>724.8</v>
      </c>
      <c r="C315" s="6">
        <f t="shared" ca="1" si="2"/>
        <v>-2.4993946568376946E-2</v>
      </c>
      <c r="D315" s="7">
        <f t="shared" ca="1" si="3"/>
        <v>1.0292494481236203</v>
      </c>
    </row>
    <row r="316" spans="1:4" ht="12.75" x14ac:dyDescent="0.2">
      <c r="A316" s="8">
        <f ca="1">IFERROR(__xludf.DUMMYFUNCTION("""COMPUTED_VALUE"""),44292.6458333333)</f>
        <v>44292.645833333299</v>
      </c>
      <c r="B316" s="7">
        <f ca="1">IFERROR(__xludf.DUMMYFUNCTION("""COMPUTED_VALUE"""),720.13)</f>
        <v>720.13</v>
      </c>
      <c r="C316" s="6">
        <f t="shared" ca="1" si="2"/>
        <v>-6.4431567328917527E-3</v>
      </c>
      <c r="D316" s="7">
        <f t="shared" ca="1" si="3"/>
        <v>1.0239817810673073</v>
      </c>
    </row>
    <row r="317" spans="1:4" ht="12.75" x14ac:dyDescent="0.2">
      <c r="A317" s="8">
        <f ca="1">IFERROR(__xludf.DUMMYFUNCTION("""COMPUTED_VALUE"""),44293.6458333333)</f>
        <v>44293.645833333299</v>
      </c>
      <c r="B317" s="7">
        <f ca="1">IFERROR(__xludf.DUMMYFUNCTION("""COMPUTED_VALUE"""),723.6)</f>
        <v>723.6</v>
      </c>
      <c r="C317" s="6">
        <f t="shared" ca="1" si="2"/>
        <v>4.8185744240623052E-3</v>
      </c>
      <c r="D317" s="7">
        <f t="shared" ca="1" si="3"/>
        <v>0.99748479823106684</v>
      </c>
    </row>
    <row r="318" spans="1:4" ht="12.75" x14ac:dyDescent="0.2">
      <c r="A318" s="8">
        <f ca="1">IFERROR(__xludf.DUMMYFUNCTION("""COMPUTED_VALUE"""),44294.6458333333)</f>
        <v>44294.645833333299</v>
      </c>
      <c r="B318" s="7">
        <f ca="1">IFERROR(__xludf.DUMMYFUNCTION("""COMPUTED_VALUE"""),716.4)</f>
        <v>716.4</v>
      </c>
      <c r="C318" s="6">
        <f t="shared" ca="1" si="2"/>
        <v>-9.9502487562189712E-3</v>
      </c>
      <c r="D318" s="7">
        <f t="shared" ca="1" si="3"/>
        <v>1.0209798994974875</v>
      </c>
    </row>
    <row r="319" spans="1:4" ht="12.75" x14ac:dyDescent="0.2">
      <c r="A319" s="8">
        <f ca="1">IFERROR(__xludf.DUMMYFUNCTION("""COMPUTED_VALUE"""),44295.6458333333)</f>
        <v>44295.645833333299</v>
      </c>
      <c r="B319" s="7">
        <f ca="1">IFERROR(__xludf.DUMMYFUNCTION("""COMPUTED_VALUE"""),710.88)</f>
        <v>710.88</v>
      </c>
      <c r="C319" s="6">
        <f t="shared" ca="1" si="2"/>
        <v>-7.7051926298157269E-3</v>
      </c>
      <c r="D319" s="7">
        <f t="shared" ca="1" si="3"/>
        <v>0.99144722034661259</v>
      </c>
    </row>
    <row r="320" spans="1:4" ht="12.75" x14ac:dyDescent="0.2">
      <c r="A320" s="8">
        <f ca="1">IFERROR(__xludf.DUMMYFUNCTION("""COMPUTED_VALUE"""),44298.6458333333)</f>
        <v>44298.645833333299</v>
      </c>
      <c r="B320" s="7">
        <f ca="1">IFERROR(__xludf.DUMMYFUNCTION("""COMPUTED_VALUE"""),683.53)</f>
        <v>683.53</v>
      </c>
      <c r="C320" s="6">
        <f t="shared" ca="1" si="2"/>
        <v>-3.8473441368444772E-2</v>
      </c>
      <c r="D320" s="7">
        <f t="shared" ca="1" si="3"/>
        <v>1.0032185858704081</v>
      </c>
    </row>
    <row r="321" spans="1:4" ht="12.75" x14ac:dyDescent="0.2">
      <c r="A321" s="8">
        <f ca="1">IFERROR(__xludf.DUMMYFUNCTION("""COMPUTED_VALUE"""),44299.6458333333)</f>
        <v>44299.645833333299</v>
      </c>
      <c r="B321" s="7">
        <f ca="1">IFERROR(__xludf.DUMMYFUNCTION("""COMPUTED_VALUE"""),700.18)</f>
        <v>700.18</v>
      </c>
      <c r="C321" s="6">
        <f t="shared" ca="1" si="2"/>
        <v>2.4358843064678837E-2</v>
      </c>
      <c r="D321" s="7">
        <f t="shared" ca="1" si="3"/>
        <v>0.99295895341197982</v>
      </c>
    </row>
    <row r="322" spans="1:4" ht="12.75" x14ac:dyDescent="0.2">
      <c r="A322" s="8">
        <f ca="1">IFERROR(__xludf.DUMMYFUNCTION("""COMPUTED_VALUE"""),44301.6458333333)</f>
        <v>44301.645833333299</v>
      </c>
      <c r="B322" s="7">
        <f ca="1">IFERROR(__xludf.DUMMYFUNCTION("""COMPUTED_VALUE"""),715.05)</f>
        <v>715.05</v>
      </c>
      <c r="C322" s="6">
        <f t="shared" ca="1" si="2"/>
        <v>2.1237396098146233E-2</v>
      </c>
      <c r="D322" s="7">
        <f t="shared" ca="1" si="3"/>
        <v>1.0326270890147542</v>
      </c>
    </row>
    <row r="323" spans="1:4" ht="12.75" x14ac:dyDescent="0.2">
      <c r="A323" s="8">
        <f ca="1">IFERROR(__xludf.DUMMYFUNCTION("""COMPUTED_VALUE"""),44302.6458333333)</f>
        <v>44302.645833333299</v>
      </c>
      <c r="B323" s="7">
        <f ca="1">IFERROR(__xludf.DUMMYFUNCTION("""COMPUTED_VALUE"""),714.33)</f>
        <v>714.33</v>
      </c>
      <c r="C323" s="6">
        <f t="shared" ca="1" si="2"/>
        <v>-1.0069225928255321E-3</v>
      </c>
      <c r="D323" s="7">
        <f t="shared" ca="1" si="3"/>
        <v>1.0923242758948943</v>
      </c>
    </row>
    <row r="324" spans="1:4" ht="12.75" x14ac:dyDescent="0.2">
      <c r="A324" s="8">
        <f ca="1">IFERROR(__xludf.DUMMYFUNCTION("""COMPUTED_VALUE"""),44305.6458333333)</f>
        <v>44305.645833333299</v>
      </c>
      <c r="B324" s="7">
        <f ca="1">IFERROR(__xludf.DUMMYFUNCTION("""COMPUTED_VALUE"""),706.2)</f>
        <v>706.2</v>
      </c>
      <c r="C324" s="6">
        <f t="shared" ca="1" si="2"/>
        <v>-1.1381294359749661E-2</v>
      </c>
      <c r="D324" s="7">
        <f t="shared" ca="1" si="3"/>
        <v>1.1149815916171055</v>
      </c>
    </row>
    <row r="325" spans="1:4" ht="12.75" x14ac:dyDescent="0.2">
      <c r="A325" s="8">
        <f ca="1">IFERROR(__xludf.DUMMYFUNCTION("""COMPUTED_VALUE"""),44306.6458333333)</f>
        <v>44306.645833333299</v>
      </c>
      <c r="B325" s="7">
        <f ca="1">IFERROR(__xludf.DUMMYFUNCTION("""COMPUTED_VALUE"""),695.7)</f>
        <v>695.7</v>
      </c>
      <c r="C325" s="6">
        <f t="shared" ca="1" si="2"/>
        <v>-1.4868309260832602E-2</v>
      </c>
      <c r="D325" s="7">
        <f t="shared" ca="1" si="3"/>
        <v>1.1349001006180823</v>
      </c>
    </row>
    <row r="326" spans="1:4" ht="12.75" x14ac:dyDescent="0.2">
      <c r="A326" s="8">
        <f ca="1">IFERROR(__xludf.DUMMYFUNCTION("""COMPUTED_VALUE"""),44308.6458333333)</f>
        <v>44308.645833333299</v>
      </c>
      <c r="B326" s="7">
        <f ca="1">IFERROR(__xludf.DUMMYFUNCTION("""COMPUTED_VALUE"""),711.25)</f>
        <v>711.25</v>
      </c>
      <c r="C326" s="6">
        <f t="shared" ca="1" si="2"/>
        <v>2.2351588328302308E-2</v>
      </c>
      <c r="D326" s="7">
        <f t="shared" ca="1" si="3"/>
        <v>1.1230931458699471</v>
      </c>
    </row>
    <row r="327" spans="1:4" ht="12.75" x14ac:dyDescent="0.2">
      <c r="A327" s="8">
        <f ca="1">IFERROR(__xludf.DUMMYFUNCTION("""COMPUTED_VALUE"""),44309.6458333333)</f>
        <v>44309.645833333299</v>
      </c>
      <c r="B327" s="7">
        <f ca="1">IFERROR(__xludf.DUMMYFUNCTION("""COMPUTED_VALUE"""),707.08)</f>
        <v>707.08</v>
      </c>
      <c r="C327" s="6">
        <f t="shared" ca="1" si="2"/>
        <v>-5.8629173989455108E-3</v>
      </c>
      <c r="D327" s="7">
        <f t="shared" ca="1" si="3"/>
        <v>1.135133223963342</v>
      </c>
    </row>
    <row r="328" spans="1:4" ht="12.75" x14ac:dyDescent="0.2">
      <c r="A328" s="8">
        <f ca="1">IFERROR(__xludf.DUMMYFUNCTION("""COMPUTED_VALUE"""),44312.6458333333)</f>
        <v>44312.645833333299</v>
      </c>
      <c r="B328" s="7">
        <f ca="1">IFERROR(__xludf.DUMMYFUNCTION("""COMPUTED_VALUE"""),702.4)</f>
        <v>702.4</v>
      </c>
      <c r="C328" s="6">
        <f t="shared" ca="1" si="2"/>
        <v>-6.6187701533066967E-3</v>
      </c>
      <c r="D328" s="7">
        <f t="shared" ca="1" si="3"/>
        <v>1.1473946469248291</v>
      </c>
    </row>
    <row r="329" spans="1:4" ht="12.75" x14ac:dyDescent="0.2">
      <c r="A329" s="8">
        <f ca="1">IFERROR(__xludf.DUMMYFUNCTION("""COMPUTED_VALUE"""),44313.6458333333)</f>
        <v>44313.645833333299</v>
      </c>
      <c r="B329" s="7">
        <f ca="1">IFERROR(__xludf.DUMMYFUNCTION("""COMPUTED_VALUE"""),719.35)</f>
        <v>719.35</v>
      </c>
      <c r="C329" s="6">
        <f t="shared" ca="1" si="2"/>
        <v>2.4131548974943184E-2</v>
      </c>
      <c r="D329" s="7">
        <f t="shared" ca="1" si="3"/>
        <v>1.099436991728644</v>
      </c>
    </row>
    <row r="330" spans="1:4" ht="12.75" x14ac:dyDescent="0.2">
      <c r="A330" s="8">
        <f ca="1">IFERROR(__xludf.DUMMYFUNCTION("""COMPUTED_VALUE"""),44314.6458333333)</f>
        <v>44314.645833333299</v>
      </c>
      <c r="B330" s="7">
        <f ca="1">IFERROR(__xludf.DUMMYFUNCTION("""COMPUTED_VALUE"""),738.4)</f>
        <v>738.4</v>
      </c>
      <c r="C330" s="6">
        <f t="shared" ca="1" si="2"/>
        <v>2.6482240911934296E-2</v>
      </c>
      <c r="D330" s="7">
        <f t="shared" ca="1" si="3"/>
        <v>1.0647074756229686</v>
      </c>
    </row>
    <row r="331" spans="1:4" ht="12.75" x14ac:dyDescent="0.2">
      <c r="A331" s="8">
        <f ca="1">IFERROR(__xludf.DUMMYFUNCTION("""COMPUTED_VALUE"""),44315.6458333333)</f>
        <v>44315.645833333299</v>
      </c>
      <c r="B331" s="7">
        <f ca="1">IFERROR(__xludf.DUMMYFUNCTION("""COMPUTED_VALUE"""),736.25)</f>
        <v>736.25</v>
      </c>
      <c r="C331" s="6">
        <f t="shared" ca="1" si="2"/>
        <v>-2.9117009750811995E-3</v>
      </c>
      <c r="D331" s="7">
        <f t="shared" ca="1" si="3"/>
        <v>1.0743361629881154</v>
      </c>
    </row>
    <row r="332" spans="1:4" ht="12.75" x14ac:dyDescent="0.2">
      <c r="A332" s="8">
        <f ca="1">IFERROR(__xludf.DUMMYFUNCTION("""COMPUTED_VALUE"""),44316.6458333333)</f>
        <v>44316.645833333299</v>
      </c>
      <c r="B332" s="7">
        <f ca="1">IFERROR(__xludf.DUMMYFUNCTION("""COMPUTED_VALUE"""),706.15)</f>
        <v>706.15</v>
      </c>
      <c r="C332" s="6">
        <f t="shared" ca="1" si="2"/>
        <v>-4.0882852292020377E-2</v>
      </c>
      <c r="D332" s="7">
        <f t="shared" ca="1" si="3"/>
        <v>1.1446576506407986</v>
      </c>
    </row>
    <row r="333" spans="1:4" ht="12.75" x14ac:dyDescent="0.2">
      <c r="A333" s="8">
        <f ca="1">IFERROR(__xludf.DUMMYFUNCTION("""COMPUTED_VALUE"""),44319.6458333333)</f>
        <v>44319.645833333299</v>
      </c>
      <c r="B333" s="7">
        <f ca="1">IFERROR(__xludf.DUMMYFUNCTION("""COMPUTED_VALUE"""),707.23)</f>
        <v>707.23</v>
      </c>
      <c r="C333" s="6">
        <f t="shared" ca="1" si="2"/>
        <v>1.5294200948807735E-3</v>
      </c>
      <c r="D333" s="7">
        <f t="shared" ca="1" si="3"/>
        <v>1.1500219164910992</v>
      </c>
    </row>
    <row r="334" spans="1:4" ht="12.75" x14ac:dyDescent="0.2">
      <c r="A334" s="8">
        <f ca="1">IFERROR(__xludf.DUMMYFUNCTION("""COMPUTED_VALUE"""),44320.6458333333)</f>
        <v>44320.645833333299</v>
      </c>
      <c r="B334" s="7">
        <f ca="1">IFERROR(__xludf.DUMMYFUNCTION("""COMPUTED_VALUE"""),694.18)</f>
        <v>694.18</v>
      </c>
      <c r="C334" s="6">
        <f t="shared" ca="1" si="2"/>
        <v>-1.8452271538255016E-2</v>
      </c>
      <c r="D334" s="7">
        <f t="shared" ca="1" si="3"/>
        <v>1.1427151459275693</v>
      </c>
    </row>
    <row r="335" spans="1:4" ht="12.75" x14ac:dyDescent="0.2">
      <c r="A335" s="8">
        <f ca="1">IFERROR(__xludf.DUMMYFUNCTION("""COMPUTED_VALUE"""),44321.6458333333)</f>
        <v>44321.645833333299</v>
      </c>
      <c r="B335" s="7">
        <f ca="1">IFERROR(__xludf.DUMMYFUNCTION("""COMPUTED_VALUE"""),701.3)</f>
        <v>701.3</v>
      </c>
      <c r="C335" s="6">
        <f t="shared" ca="1" si="2"/>
        <v>1.0256705753550976E-2</v>
      </c>
      <c r="D335" s="7">
        <f t="shared" ca="1" si="3"/>
        <v>1.108156281192072</v>
      </c>
    </row>
    <row r="336" spans="1:4" ht="12.75" x14ac:dyDescent="0.2">
      <c r="A336" s="8">
        <f ca="1">IFERROR(__xludf.DUMMYFUNCTION("""COMPUTED_VALUE"""),44322.6458333333)</f>
        <v>44322.645833333299</v>
      </c>
      <c r="B336" s="7">
        <f ca="1">IFERROR(__xludf.DUMMYFUNCTION("""COMPUTED_VALUE"""),700.45)</f>
        <v>700.45</v>
      </c>
      <c r="C336" s="6">
        <f t="shared" ca="1" si="2"/>
        <v>-1.2120347925280717E-3</v>
      </c>
      <c r="D336" s="7">
        <f t="shared" ca="1" si="3"/>
        <v>1.0986508672995929</v>
      </c>
    </row>
    <row r="337" spans="1:4" ht="12.75" x14ac:dyDescent="0.2">
      <c r="A337" s="8">
        <f ca="1">IFERROR(__xludf.DUMMYFUNCTION("""COMPUTED_VALUE"""),44323.6458333333)</f>
        <v>44323.645833333299</v>
      </c>
      <c r="B337" s="7">
        <f ca="1">IFERROR(__xludf.DUMMYFUNCTION("""COMPUTED_VALUE"""),707.38)</f>
        <v>707.38</v>
      </c>
      <c r="C337" s="6">
        <f t="shared" ca="1" si="2"/>
        <v>9.8936398029836337E-3</v>
      </c>
      <c r="D337" s="7">
        <f t="shared" ca="1" si="3"/>
        <v>1.0941785179111652</v>
      </c>
    </row>
    <row r="338" spans="1:4" ht="12.75" x14ac:dyDescent="0.2">
      <c r="A338" s="8">
        <f ca="1">IFERROR(__xludf.DUMMYFUNCTION("""COMPUTED_VALUE"""),44326.6458333333)</f>
        <v>44326.645833333299</v>
      </c>
      <c r="B338" s="7">
        <f ca="1">IFERROR(__xludf.DUMMYFUNCTION("""COMPUTED_VALUE"""),709.93)</f>
        <v>709.93</v>
      </c>
      <c r="C338" s="6">
        <f t="shared" ca="1" si="2"/>
        <v>3.6048517062963192E-3</v>
      </c>
      <c r="D338" s="7">
        <f t="shared" ca="1" si="3"/>
        <v>1.0769794205062473</v>
      </c>
    </row>
    <row r="339" spans="1:4" ht="12.75" x14ac:dyDescent="0.2">
      <c r="A339" s="8">
        <f ca="1">IFERROR(__xludf.DUMMYFUNCTION("""COMPUTED_VALUE"""),44327.6458333333)</f>
        <v>44327.645833333299</v>
      </c>
      <c r="B339" s="7">
        <f ca="1">IFERROR(__xludf.DUMMYFUNCTION("""COMPUTED_VALUE"""),701.78)</f>
        <v>701.78</v>
      </c>
      <c r="C339" s="6">
        <f t="shared" ca="1" si="2"/>
        <v>-1.1480005070922505E-2</v>
      </c>
      <c r="D339" s="7">
        <f t="shared" ca="1" si="3"/>
        <v>1.1445609735244664</v>
      </c>
    </row>
    <row r="340" spans="1:4" ht="12.75" x14ac:dyDescent="0.2">
      <c r="A340" s="8">
        <f ca="1">IFERROR(__xludf.DUMMYFUNCTION("""COMPUTED_VALUE"""),44328.6458333333)</f>
        <v>44328.645833333299</v>
      </c>
      <c r="B340" s="7">
        <f ca="1">IFERROR(__xludf.DUMMYFUNCTION("""COMPUTED_VALUE"""),699.75)</f>
        <v>699.75</v>
      </c>
      <c r="C340" s="6">
        <f t="shared" ca="1" si="2"/>
        <v>-2.8926444184786959E-3</v>
      </c>
      <c r="D340" s="7">
        <f t="shared" ca="1" si="3"/>
        <v>1.1478385137549125</v>
      </c>
    </row>
    <row r="341" spans="1:4" ht="12.75" x14ac:dyDescent="0.2">
      <c r="A341" s="8">
        <f ca="1">IFERROR(__xludf.DUMMYFUNCTION("""COMPUTED_VALUE"""),44330.6458333333)</f>
        <v>44330.645833333299</v>
      </c>
      <c r="B341" s="7">
        <f ca="1">IFERROR(__xludf.DUMMYFUNCTION("""COMPUTED_VALUE"""),693.43)</f>
        <v>693.43</v>
      </c>
      <c r="C341" s="6">
        <f t="shared" ca="1" si="2"/>
        <v>-9.0317970703823747E-3</v>
      </c>
      <c r="D341" s="7">
        <f t="shared" ca="1" si="3"/>
        <v>1.1063842060481954</v>
      </c>
    </row>
    <row r="342" spans="1:4" ht="12.75" x14ac:dyDescent="0.2">
      <c r="A342" s="8">
        <f ca="1">IFERROR(__xludf.DUMMYFUNCTION("""COMPUTED_VALUE"""),44333.6458333333)</f>
        <v>44333.645833333299</v>
      </c>
      <c r="B342" s="7">
        <f ca="1">IFERROR(__xludf.DUMMYFUNCTION("""COMPUTED_VALUE"""),720.13)</f>
        <v>720.13</v>
      </c>
      <c r="C342" s="6">
        <f t="shared" ca="1" si="2"/>
        <v>3.8504247004023551E-2</v>
      </c>
      <c r="D342" s="7">
        <f t="shared" ca="1" si="3"/>
        <v>1.0823740158027024</v>
      </c>
    </row>
    <row r="343" spans="1:4" ht="12.75" x14ac:dyDescent="0.2">
      <c r="A343" s="8">
        <f ca="1">IFERROR(__xludf.DUMMYFUNCTION("""COMPUTED_VALUE"""),44334.6458333333)</f>
        <v>44334.645833333299</v>
      </c>
      <c r="B343" s="7">
        <f ca="1">IFERROR(__xludf.DUMMYFUNCTION("""COMPUTED_VALUE"""),738.35)</f>
        <v>738.35</v>
      </c>
      <c r="C343" s="6">
        <f t="shared" ca="1" si="2"/>
        <v>2.5300987321733581E-2</v>
      </c>
      <c r="D343" s="7">
        <f t="shared" ca="1" si="3"/>
        <v>1.0619624839168416</v>
      </c>
    </row>
    <row r="344" spans="1:4" ht="12.75" x14ac:dyDescent="0.2">
      <c r="A344" s="8">
        <f ca="1">IFERROR(__xludf.DUMMYFUNCTION("""COMPUTED_VALUE"""),44335.6458333333)</f>
        <v>44335.645833333299</v>
      </c>
      <c r="B344" s="7">
        <f ca="1">IFERROR(__xludf.DUMMYFUNCTION("""COMPUTED_VALUE"""),729.1)</f>
        <v>729.1</v>
      </c>
      <c r="C344" s="6">
        <f t="shared" ca="1" si="2"/>
        <v>-1.252793390668383E-2</v>
      </c>
      <c r="D344" s="7">
        <f t="shared" ca="1" si="3"/>
        <v>1.0882320669318337</v>
      </c>
    </row>
    <row r="345" spans="1:4" ht="12.75" x14ac:dyDescent="0.2">
      <c r="A345" s="8">
        <f ca="1">IFERROR(__xludf.DUMMYFUNCTION("""COMPUTED_VALUE"""),44336.6458333333)</f>
        <v>44336.645833333299</v>
      </c>
      <c r="B345" s="7">
        <f ca="1">IFERROR(__xludf.DUMMYFUNCTION("""COMPUTED_VALUE"""),716.4)</f>
        <v>716.4</v>
      </c>
      <c r="C345" s="6">
        <f t="shared" ca="1" si="2"/>
        <v>-1.7418735427239151E-2</v>
      </c>
      <c r="D345" s="7">
        <f t="shared" ca="1" si="3"/>
        <v>1.0832356225572306</v>
      </c>
    </row>
    <row r="346" spans="1:4" ht="12.75" x14ac:dyDescent="0.2">
      <c r="A346" s="8">
        <f ca="1">IFERROR(__xludf.DUMMYFUNCTION("""COMPUTED_VALUE"""),44337.6458333333)</f>
        <v>44337.645833333299</v>
      </c>
      <c r="B346" s="7">
        <f ca="1">IFERROR(__xludf.DUMMYFUNCTION("""COMPUTED_VALUE"""),748.65)</f>
        <v>748.65</v>
      </c>
      <c r="C346" s="6">
        <f t="shared" ca="1" si="2"/>
        <v>4.501675041876041E-2</v>
      </c>
      <c r="D346" s="7">
        <f t="shared" ca="1" si="3"/>
        <v>1.0218393107593668</v>
      </c>
    </row>
    <row r="347" spans="1:4" ht="12.75" x14ac:dyDescent="0.2">
      <c r="A347" s="8">
        <f ca="1">IFERROR(__xludf.DUMMYFUNCTION("""COMPUTED_VALUE"""),44340.6458333333)</f>
        <v>44340.645833333299</v>
      </c>
      <c r="B347" s="7">
        <f ca="1">IFERROR(__xludf.DUMMYFUNCTION("""COMPUTED_VALUE"""),754.98)</f>
        <v>754.98</v>
      </c>
      <c r="C347" s="6">
        <f t="shared" ca="1" si="2"/>
        <v>8.4552193949107846E-3</v>
      </c>
      <c r="D347" s="7">
        <f t="shared" ca="1" si="3"/>
        <v>1.0063180481602161</v>
      </c>
    </row>
    <row r="348" spans="1:4" ht="12.75" x14ac:dyDescent="0.2">
      <c r="A348" s="8">
        <f ca="1">IFERROR(__xludf.DUMMYFUNCTION("""COMPUTED_VALUE"""),44341.6458333333)</f>
        <v>44341.645833333299</v>
      </c>
      <c r="B348" s="7">
        <f ca="1">IFERROR(__xludf.DUMMYFUNCTION("""COMPUTED_VALUE"""),739.48)</f>
        <v>739.48</v>
      </c>
      <c r="C348" s="6">
        <f t="shared" ca="1" si="2"/>
        <v>-2.0530345174706643E-2</v>
      </c>
      <c r="D348" s="7">
        <f t="shared" ca="1" si="3"/>
        <v>1.0564856385568238</v>
      </c>
    </row>
    <row r="349" spans="1:4" ht="12.75" x14ac:dyDescent="0.2">
      <c r="A349" s="8">
        <f ca="1">IFERROR(__xludf.DUMMYFUNCTION("""COMPUTED_VALUE"""),44342.6458333333)</f>
        <v>44342.645833333299</v>
      </c>
      <c r="B349" s="7">
        <f ca="1">IFERROR(__xludf.DUMMYFUNCTION("""COMPUTED_VALUE"""),738.53)</f>
        <v>738.53</v>
      </c>
      <c r="C349" s="6">
        <f t="shared" ca="1" si="2"/>
        <v>-1.284686536485169E-3</v>
      </c>
      <c r="D349" s="7">
        <f t="shared" ca="1" si="3"/>
        <v>1.0532815186925379</v>
      </c>
    </row>
    <row r="350" spans="1:4" ht="12.75" x14ac:dyDescent="0.2">
      <c r="A350" s="8">
        <f ca="1">IFERROR(__xludf.DUMMYFUNCTION("""COMPUTED_VALUE"""),44343.6458333333)</f>
        <v>44343.645833333299</v>
      </c>
      <c r="B350" s="7">
        <f ca="1">IFERROR(__xludf.DUMMYFUNCTION("""COMPUTED_VALUE"""),741.33)</f>
        <v>741.33</v>
      </c>
      <c r="C350" s="6">
        <f t="shared" ca="1" si="2"/>
        <v>3.7913151801551859E-3</v>
      </c>
      <c r="D350" s="7">
        <f t="shared" ca="1" si="3"/>
        <v>1.0467403180769697</v>
      </c>
    </row>
    <row r="351" spans="1:4" ht="12.75" x14ac:dyDescent="0.2">
      <c r="A351" s="8">
        <f ca="1">IFERROR(__xludf.DUMMYFUNCTION("""COMPUTED_VALUE"""),44344.6458333333)</f>
        <v>44344.645833333299</v>
      </c>
      <c r="B351" s="7">
        <f ca="1">IFERROR(__xludf.DUMMYFUNCTION("""COMPUTED_VALUE"""),751.73)</f>
        <v>751.73</v>
      </c>
      <c r="C351" s="6">
        <f t="shared" ca="1" si="2"/>
        <v>1.4028840057733971E-2</v>
      </c>
      <c r="D351" s="7">
        <f t="shared" ca="1" si="3"/>
        <v>1.016761337182233</v>
      </c>
    </row>
    <row r="352" spans="1:4" ht="12.75" x14ac:dyDescent="0.2">
      <c r="A352" s="8">
        <f ca="1">IFERROR(__xludf.DUMMYFUNCTION("""COMPUTED_VALUE"""),44347.6458333333)</f>
        <v>44347.645833333299</v>
      </c>
      <c r="B352" s="7">
        <f ca="1">IFERROR(__xludf.DUMMYFUNCTION("""COMPUTED_VALUE"""),757.93)</f>
        <v>757.93</v>
      </c>
      <c r="C352" s="6">
        <f t="shared" ca="1" si="2"/>
        <v>8.2476421055430738E-3</v>
      </c>
      <c r="D352" s="7">
        <f t="shared" ca="1" si="3"/>
        <v>0.99755914134550694</v>
      </c>
    </row>
    <row r="353" spans="1:4" ht="12.75" x14ac:dyDescent="0.2">
      <c r="A353" s="8">
        <f ca="1">IFERROR(__xludf.DUMMYFUNCTION("""COMPUTED_VALUE"""),44348.6458333333)</f>
        <v>44348.645833333299</v>
      </c>
      <c r="B353" s="7">
        <f ca="1">IFERROR(__xludf.DUMMYFUNCTION("""COMPUTED_VALUE"""),755.85)</f>
        <v>755.85</v>
      </c>
      <c r="C353" s="6">
        <f t="shared" ca="1" si="2"/>
        <v>-2.7443167574840999E-3</v>
      </c>
      <c r="D353" s="7">
        <f t="shared" ca="1" si="3"/>
        <v>0.98919097704571002</v>
      </c>
    </row>
    <row r="354" spans="1:4" ht="12.75" x14ac:dyDescent="0.2">
      <c r="A354" s="8">
        <f ca="1">IFERROR(__xludf.DUMMYFUNCTION("""COMPUTED_VALUE"""),44349.6458333333)</f>
        <v>44349.645833333299</v>
      </c>
      <c r="B354" s="7">
        <f ca="1">IFERROR(__xludf.DUMMYFUNCTION("""COMPUTED_VALUE"""),752)</f>
        <v>752</v>
      </c>
      <c r="C354" s="6">
        <f t="shared" ca="1" si="2"/>
        <v>-5.0936032281537758E-3</v>
      </c>
      <c r="D354" s="7">
        <f t="shared" ca="1" si="3"/>
        <v>0.99135638297872342</v>
      </c>
    </row>
    <row r="355" spans="1:4" ht="12.75" x14ac:dyDescent="0.2">
      <c r="A355" s="8">
        <f ca="1">IFERROR(__xludf.DUMMYFUNCTION("""COMPUTED_VALUE"""),44350.6458333333)</f>
        <v>44350.645833333299</v>
      </c>
      <c r="B355" s="7">
        <f ca="1">IFERROR(__xludf.DUMMYFUNCTION("""COMPUTED_VALUE"""),760.28)</f>
        <v>760.28</v>
      </c>
      <c r="C355" s="6">
        <f t="shared" ca="1" si="2"/>
        <v>1.1010638297872299E-2</v>
      </c>
      <c r="D355" s="7">
        <f t="shared" ca="1" si="3"/>
        <v>0.98483453464513082</v>
      </c>
    </row>
    <row r="356" spans="1:4" ht="12.75" x14ac:dyDescent="0.2">
      <c r="A356" s="8">
        <f ca="1">IFERROR(__xludf.DUMMYFUNCTION("""COMPUTED_VALUE"""),44351.6458333333)</f>
        <v>44351.645833333299</v>
      </c>
      <c r="B356" s="7">
        <f ca="1">IFERROR(__xludf.DUMMYFUNCTION("""COMPUTED_VALUE"""),750.48)</f>
        <v>750.48</v>
      </c>
      <c r="C356" s="6">
        <f t="shared" ca="1" si="2"/>
        <v>-1.2889987899194932E-2</v>
      </c>
      <c r="D356" s="7">
        <f t="shared" ca="1" si="3"/>
        <v>0.97881355932203395</v>
      </c>
    </row>
    <row r="357" spans="1:4" ht="12.75" x14ac:dyDescent="0.2">
      <c r="A357" s="8">
        <f ca="1">IFERROR(__xludf.DUMMYFUNCTION("""COMPUTED_VALUE"""),44354.6458333333)</f>
        <v>44354.645833333299</v>
      </c>
      <c r="B357" s="7">
        <f ca="1">IFERROR(__xludf.DUMMYFUNCTION("""COMPUTED_VALUE"""),749.93)</f>
        <v>749.93</v>
      </c>
      <c r="C357" s="6">
        <f t="shared" ca="1" si="2"/>
        <v>-7.3286430018126847E-4</v>
      </c>
      <c r="D357" s="7">
        <f t="shared" ca="1" si="3"/>
        <v>1.0002000186684092</v>
      </c>
    </row>
    <row r="358" spans="1:4" ht="12.75" x14ac:dyDescent="0.2">
      <c r="A358" s="8">
        <f ca="1">IFERROR(__xludf.DUMMYFUNCTION("""COMPUTED_VALUE"""),44355.6458333333)</f>
        <v>44355.645833333299</v>
      </c>
      <c r="B358" s="7">
        <f ca="1">IFERROR(__xludf.DUMMYFUNCTION("""COMPUTED_VALUE"""),741.53)</f>
        <v>741.53</v>
      </c>
      <c r="C358" s="6">
        <f t="shared" ca="1" si="2"/>
        <v>-1.1201045430906831E-2</v>
      </c>
      <c r="D358" s="7">
        <f t="shared" ca="1" si="3"/>
        <v>0.99712756058419749</v>
      </c>
    </row>
    <row r="359" spans="1:4" ht="12.75" x14ac:dyDescent="0.2">
      <c r="A359" s="8">
        <f ca="1">IFERROR(__xludf.DUMMYFUNCTION("""COMPUTED_VALUE"""),44356.6458333333)</f>
        <v>44356.645833333299</v>
      </c>
      <c r="B359" s="7">
        <f ca="1">IFERROR(__xludf.DUMMYFUNCTION("""COMPUTED_VALUE"""),740.15)</f>
        <v>740.15</v>
      </c>
      <c r="C359" s="6">
        <f t="shared" ca="1" si="2"/>
        <v>-1.8610170862944919E-3</v>
      </c>
      <c r="D359" s="7">
        <f t="shared" ca="1" si="3"/>
        <v>0.98855637370803207</v>
      </c>
    </row>
    <row r="360" spans="1:4" ht="12.75" x14ac:dyDescent="0.2">
      <c r="A360" s="8">
        <f ca="1">IFERROR(__xludf.DUMMYFUNCTION("""COMPUTED_VALUE"""),44357.6458333333)</f>
        <v>44357.645833333299</v>
      </c>
      <c r="B360" s="7">
        <f ca="1">IFERROR(__xludf.DUMMYFUNCTION("""COMPUTED_VALUE"""),740.53)</f>
        <v>740.53</v>
      </c>
      <c r="C360" s="6">
        <f t="shared" ca="1" si="2"/>
        <v>5.1340944403155397E-4</v>
      </c>
      <c r="D360" s="7">
        <f t="shared" ca="1" si="3"/>
        <v>1.0069139670236182</v>
      </c>
    </row>
    <row r="361" spans="1:4" ht="12.75" x14ac:dyDescent="0.2">
      <c r="A361" s="8">
        <f ca="1">IFERROR(__xludf.DUMMYFUNCTION("""COMPUTED_VALUE"""),44358.6458333333)</f>
        <v>44358.645833333299</v>
      </c>
      <c r="B361" s="7">
        <f ca="1">IFERROR(__xludf.DUMMYFUNCTION("""COMPUTED_VALUE"""),743.18)</f>
        <v>743.18</v>
      </c>
      <c r="C361" s="6">
        <f t="shared" ca="1" si="2"/>
        <v>3.5785180883960432E-3</v>
      </c>
      <c r="D361" s="7">
        <f t="shared" ca="1" si="3"/>
        <v>1.0453053096154366</v>
      </c>
    </row>
    <row r="362" spans="1:4" ht="12.75" x14ac:dyDescent="0.2">
      <c r="A362" s="8">
        <f ca="1">IFERROR(__xludf.DUMMYFUNCTION("""COMPUTED_VALUE"""),44361.6458333333)</f>
        <v>44361.645833333299</v>
      </c>
      <c r="B362" s="7">
        <f ca="1">IFERROR(__xludf.DUMMYFUNCTION("""COMPUTED_VALUE"""),739.73)</f>
        <v>739.73</v>
      </c>
      <c r="C362" s="6">
        <f t="shared" ca="1" si="2"/>
        <v>-4.6422131919587883E-3</v>
      </c>
      <c r="D362" s="7">
        <f t="shared" ca="1" si="3"/>
        <v>1.0095980966028146</v>
      </c>
    </row>
    <row r="363" spans="1:4" ht="12.75" x14ac:dyDescent="0.2">
      <c r="A363" s="8">
        <f ca="1">IFERROR(__xludf.DUMMYFUNCTION("""COMPUTED_VALUE"""),44362.6458333333)</f>
        <v>44362.645833333299</v>
      </c>
      <c r="B363" s="7">
        <f ca="1">IFERROR(__xludf.DUMMYFUNCTION("""COMPUTED_VALUE"""),745.13)</f>
        <v>745.13</v>
      </c>
      <c r="C363" s="6">
        <f t="shared" ca="1" si="2"/>
        <v>7.2999607965067437E-3</v>
      </c>
      <c r="D363" s="7">
        <f t="shared" ca="1" si="3"/>
        <v>0.99765141653134348</v>
      </c>
    </row>
    <row r="364" spans="1:4" ht="12.75" x14ac:dyDescent="0.2">
      <c r="A364" s="8">
        <f ca="1">IFERROR(__xludf.DUMMYFUNCTION("""COMPUTED_VALUE"""),44363.6458333333)</f>
        <v>44363.645833333299</v>
      </c>
      <c r="B364" s="7">
        <f ca="1">IFERROR(__xludf.DUMMYFUNCTION("""COMPUTED_VALUE"""),742.3)</f>
        <v>742.3</v>
      </c>
      <c r="C364" s="6">
        <f t="shared" ca="1" si="2"/>
        <v>-3.7979949807416258E-3</v>
      </c>
      <c r="D364" s="7">
        <f t="shared" ca="1" si="3"/>
        <v>0.97642462616192915</v>
      </c>
    </row>
    <row r="365" spans="1:4" ht="12.75" x14ac:dyDescent="0.2">
      <c r="A365" s="8">
        <f ca="1">IFERROR(__xludf.DUMMYFUNCTION("""COMPUTED_VALUE"""),44364.6458333333)</f>
        <v>44364.645833333299</v>
      </c>
      <c r="B365" s="7">
        <f ca="1">IFERROR(__xludf.DUMMYFUNCTION("""COMPUTED_VALUE"""),733.05)</f>
        <v>733.05</v>
      </c>
      <c r="C365" s="6">
        <f t="shared" ca="1" si="2"/>
        <v>-1.2461269028694599E-2</v>
      </c>
      <c r="D365" s="7">
        <f t="shared" ca="1" si="3"/>
        <v>0.98237500852602144</v>
      </c>
    </row>
    <row r="366" spans="1:4" ht="12.75" x14ac:dyDescent="0.2">
      <c r="A366" s="8">
        <f ca="1">IFERROR(__xludf.DUMMYFUNCTION("""COMPUTED_VALUE"""),44365.6458333333)</f>
        <v>44365.645833333299</v>
      </c>
      <c r="B366" s="7">
        <f ca="1">IFERROR(__xludf.DUMMYFUNCTION("""COMPUTED_VALUE"""),739.9)</f>
        <v>739.9</v>
      </c>
      <c r="C366" s="6">
        <f t="shared" ca="1" si="2"/>
        <v>9.3445194734329551E-3</v>
      </c>
      <c r="D366" s="7">
        <f t="shared" ca="1" si="3"/>
        <v>0.97796999594539813</v>
      </c>
    </row>
    <row r="367" spans="1:4" ht="12.75" x14ac:dyDescent="0.2">
      <c r="A367" s="8">
        <f ca="1">IFERROR(__xludf.DUMMYFUNCTION("""COMPUTED_VALUE"""),44368.6458333333)</f>
        <v>44368.645833333299</v>
      </c>
      <c r="B367" s="7">
        <f ca="1">IFERROR(__xludf.DUMMYFUNCTION("""COMPUTED_VALUE"""),744.35)</f>
        <v>744.35</v>
      </c>
      <c r="C367" s="6">
        <f t="shared" ca="1" si="2"/>
        <v>6.0143262603054026E-3</v>
      </c>
      <c r="D367" s="7">
        <f t="shared" ca="1" si="3"/>
        <v>0.96245046013300184</v>
      </c>
    </row>
    <row r="368" spans="1:4" ht="12.75" x14ac:dyDescent="0.2">
      <c r="A368" s="8">
        <f ca="1">IFERROR(__xludf.DUMMYFUNCTION("""COMPUTED_VALUE"""),44369.6458333333)</f>
        <v>44369.645833333299</v>
      </c>
      <c r="B368" s="7">
        <f ca="1">IFERROR(__xludf.DUMMYFUNCTION("""COMPUTED_VALUE"""),741.9)</f>
        <v>741.9</v>
      </c>
      <c r="C368" s="6">
        <f t="shared" ca="1" si="2"/>
        <v>-3.2914623497011242E-3</v>
      </c>
      <c r="D368" s="7">
        <f t="shared" ca="1" si="3"/>
        <v>0.95818843509906992</v>
      </c>
    </row>
    <row r="369" spans="1:4" ht="12.75" x14ac:dyDescent="0.2">
      <c r="A369" s="8">
        <f ca="1">IFERROR(__xludf.DUMMYFUNCTION("""COMPUTED_VALUE"""),44370.6458333333)</f>
        <v>44370.645833333299</v>
      </c>
      <c r="B369" s="7">
        <f ca="1">IFERROR(__xludf.DUMMYFUNCTION("""COMPUTED_VALUE"""),742.75)</f>
        <v>742.75</v>
      </c>
      <c r="C369" s="6">
        <f t="shared" ca="1" si="2"/>
        <v>1.1457069685942844E-3</v>
      </c>
      <c r="D369" s="7">
        <f t="shared" ca="1" si="3"/>
        <v>0.92026926960619315</v>
      </c>
    </row>
    <row r="370" spans="1:4" ht="12.75" x14ac:dyDescent="0.2">
      <c r="A370" s="8">
        <f ca="1">IFERROR(__xludf.DUMMYFUNCTION("""COMPUTED_VALUE"""),44371.6458333333)</f>
        <v>44371.645833333299</v>
      </c>
      <c r="B370" s="7">
        <f ca="1">IFERROR(__xludf.DUMMYFUNCTION("""COMPUTED_VALUE"""),753.13)</f>
        <v>753.13</v>
      </c>
      <c r="C370" s="6">
        <f t="shared" ca="1" si="2"/>
        <v>1.3975092561427038E-2</v>
      </c>
      <c r="D370" s="7">
        <f t="shared" ca="1" si="3"/>
        <v>0.92969341282381524</v>
      </c>
    </row>
    <row r="371" spans="1:4" ht="12.75" x14ac:dyDescent="0.2">
      <c r="A371" s="8">
        <f ca="1">IFERROR(__xludf.DUMMYFUNCTION("""COMPUTED_VALUE"""),44372.6458333333)</f>
        <v>44372.645833333299</v>
      </c>
      <c r="B371" s="7">
        <f ca="1">IFERROR(__xludf.DUMMYFUNCTION("""COMPUTED_VALUE"""),757.55)</f>
        <v>757.55</v>
      </c>
      <c r="C371" s="6">
        <f t="shared" ca="1" si="2"/>
        <v>5.8688407047919888E-3</v>
      </c>
      <c r="D371" s="7">
        <f t="shared" ca="1" si="3"/>
        <v>0.94389809253514623</v>
      </c>
    </row>
    <row r="372" spans="1:4" ht="12.75" x14ac:dyDescent="0.2">
      <c r="A372" s="8">
        <f ca="1">IFERROR(__xludf.DUMMYFUNCTION("""COMPUTED_VALUE"""),44375.6458333333)</f>
        <v>44375.645833333299</v>
      </c>
      <c r="B372" s="7">
        <f ca="1">IFERROR(__xludf.DUMMYFUNCTION("""COMPUTED_VALUE"""),754.18)</f>
        <v>754.18</v>
      </c>
      <c r="C372" s="6">
        <f t="shared" ca="1" si="2"/>
        <v>-4.4485512507425051E-3</v>
      </c>
      <c r="D372" s="7">
        <f t="shared" ca="1" si="3"/>
        <v>0.94716115516189781</v>
      </c>
    </row>
    <row r="373" spans="1:4" ht="12.75" x14ac:dyDescent="0.2">
      <c r="A373" s="8">
        <f ca="1">IFERROR(__xludf.DUMMYFUNCTION("""COMPUTED_VALUE"""),44376.6458333333)</f>
        <v>44376.645833333299</v>
      </c>
      <c r="B373" s="7">
        <f ca="1">IFERROR(__xludf.DUMMYFUNCTION("""COMPUTED_VALUE"""),751.03)</f>
        <v>751.03</v>
      </c>
      <c r="C373" s="6">
        <f t="shared" ca="1" si="2"/>
        <v>-4.1767217375162646E-3</v>
      </c>
      <c r="D373" s="7">
        <f t="shared" ca="1" si="3"/>
        <v>0.94030864279722526</v>
      </c>
    </row>
    <row r="374" spans="1:4" ht="12.75" x14ac:dyDescent="0.2">
      <c r="A374" s="8">
        <f ca="1">IFERROR(__xludf.DUMMYFUNCTION("""COMPUTED_VALUE"""),44377.6458333333)</f>
        <v>44377.645833333299</v>
      </c>
      <c r="B374" s="7">
        <f ca="1">IFERROR(__xludf.DUMMYFUNCTION("""COMPUTED_VALUE"""),748.95)</f>
        <v>748.95</v>
      </c>
      <c r="C374" s="6">
        <f t="shared" ca="1" si="2"/>
        <v>-2.7695298456784645E-3</v>
      </c>
      <c r="D374" s="7">
        <f t="shared" ca="1" si="3"/>
        <v>0.92890046064490284</v>
      </c>
    </row>
    <row r="375" spans="1:4" ht="12.75" x14ac:dyDescent="0.2">
      <c r="A375" s="8">
        <f ca="1">IFERROR(__xludf.DUMMYFUNCTION("""COMPUTED_VALUE"""),44378.6458333333)</f>
        <v>44378.645833333299</v>
      </c>
      <c r="B375" s="7">
        <f ca="1">IFERROR(__xludf.DUMMYFUNCTION("""COMPUTED_VALUE"""),743.38)</f>
        <v>743.38</v>
      </c>
      <c r="C375" s="6">
        <f t="shared" ca="1" si="2"/>
        <v>-7.4370785766740832E-3</v>
      </c>
      <c r="D375" s="7">
        <f t="shared" ca="1" si="3"/>
        <v>0.95677849821087468</v>
      </c>
    </row>
    <row r="376" spans="1:4" ht="12.75" x14ac:dyDescent="0.2">
      <c r="A376" s="8">
        <f ca="1">IFERROR(__xludf.DUMMYFUNCTION("""COMPUTED_VALUE"""),44379.6458333333)</f>
        <v>44379.645833333299</v>
      </c>
      <c r="B376" s="7">
        <f ca="1">IFERROR(__xludf.DUMMYFUNCTION("""COMPUTED_VALUE"""),740.2)</f>
        <v>740.2</v>
      </c>
      <c r="C376" s="6">
        <f t="shared" ca="1" si="2"/>
        <v>-4.2777583470094971E-3</v>
      </c>
      <c r="D376" s="7">
        <f t="shared" ca="1" si="3"/>
        <v>0.95525533639556881</v>
      </c>
    </row>
    <row r="377" spans="1:4" ht="12.75" x14ac:dyDescent="0.2">
      <c r="A377" s="8">
        <f ca="1">IFERROR(__xludf.DUMMYFUNCTION("""COMPUTED_VALUE"""),44382.6458333333)</f>
        <v>44382.645833333299</v>
      </c>
      <c r="B377" s="7">
        <f ca="1">IFERROR(__xludf.DUMMYFUNCTION("""COMPUTED_VALUE"""),747.73)</f>
        <v>747.73</v>
      </c>
      <c r="C377" s="6">
        <f t="shared" ca="1" si="2"/>
        <v>1.0172926236152291E-2</v>
      </c>
      <c r="D377" s="7">
        <f t="shared" ca="1" si="3"/>
        <v>0.93937651291241486</v>
      </c>
    </row>
    <row r="378" spans="1:4" ht="12.75" x14ac:dyDescent="0.2">
      <c r="A378" s="8">
        <f ca="1">IFERROR(__xludf.DUMMYFUNCTION("""COMPUTED_VALUE"""),44383.6458333333)</f>
        <v>44383.645833333299</v>
      </c>
      <c r="B378" s="7">
        <f ca="1">IFERROR(__xludf.DUMMYFUNCTION("""COMPUTED_VALUE"""),767.35)</f>
        <v>767.35</v>
      </c>
      <c r="C378" s="6">
        <f t="shared" ca="1" si="2"/>
        <v>2.6239417971727796E-2</v>
      </c>
      <c r="D378" s="7">
        <f t="shared" ca="1" si="3"/>
        <v>0.93744705805694928</v>
      </c>
    </row>
    <row r="379" spans="1:4" ht="12.75" x14ac:dyDescent="0.2">
      <c r="A379" s="8">
        <f ca="1">IFERROR(__xludf.DUMMYFUNCTION("""COMPUTED_VALUE"""),44384.6458333333)</f>
        <v>44384.645833333299</v>
      </c>
      <c r="B379" s="7">
        <f ca="1">IFERROR(__xludf.DUMMYFUNCTION("""COMPUTED_VALUE"""),769.75)</f>
        <v>769.75</v>
      </c>
      <c r="C379" s="6">
        <f t="shared" ca="1" si="2"/>
        <v>3.1276470971524084E-3</v>
      </c>
      <c r="D379" s="7">
        <f t="shared" ca="1" si="3"/>
        <v>0.95927249106852874</v>
      </c>
    </row>
    <row r="380" spans="1:4" ht="12.75" x14ac:dyDescent="0.2">
      <c r="A380" s="8">
        <f ca="1">IFERROR(__xludf.DUMMYFUNCTION("""COMPUTED_VALUE"""),44385.6458333333)</f>
        <v>44385.645833333299</v>
      </c>
      <c r="B380" s="7">
        <f ca="1">IFERROR(__xludf.DUMMYFUNCTION("""COMPUTED_VALUE"""),760.23)</f>
        <v>760.23</v>
      </c>
      <c r="C380" s="6">
        <f t="shared" ca="1" si="2"/>
        <v>-1.2367651835011317E-2</v>
      </c>
      <c r="D380" s="7">
        <f t="shared" ca="1" si="3"/>
        <v>0.96845691435486625</v>
      </c>
    </row>
    <row r="381" spans="1:4" ht="12.75" x14ac:dyDescent="0.2">
      <c r="A381" s="8">
        <f ca="1">IFERROR(__xludf.DUMMYFUNCTION("""COMPUTED_VALUE"""),44386.6458333333)</f>
        <v>44386.645833333299</v>
      </c>
      <c r="B381" s="7">
        <f ca="1">IFERROR(__xludf.DUMMYFUNCTION("""COMPUTED_VALUE"""),751)</f>
        <v>751</v>
      </c>
      <c r="C381" s="6">
        <f t="shared" ca="1" si="2"/>
        <v>-1.2141062573168715E-2</v>
      </c>
      <c r="D381" s="7">
        <f t="shared" ca="1" si="3"/>
        <v>0.94027962716378155</v>
      </c>
    </row>
    <row r="382" spans="1:4" ht="12.75" x14ac:dyDescent="0.2">
      <c r="A382" s="8">
        <f ca="1">IFERROR(__xludf.DUMMYFUNCTION("""COMPUTED_VALUE"""),44389.6458333333)</f>
        <v>44389.645833333299</v>
      </c>
      <c r="B382" s="7">
        <f ca="1">IFERROR(__xludf.DUMMYFUNCTION("""COMPUTED_VALUE"""),743.5)</f>
        <v>743.5</v>
      </c>
      <c r="C382" s="6">
        <f t="shared" ca="1" si="2"/>
        <v>-9.9866844207723293E-3</v>
      </c>
      <c r="D382" s="7">
        <f t="shared" ca="1" si="3"/>
        <v>0.95121721587088104</v>
      </c>
    </row>
    <row r="383" spans="1:4" ht="12.75" x14ac:dyDescent="0.2">
      <c r="A383" s="8">
        <f ca="1">IFERROR(__xludf.DUMMYFUNCTION("""COMPUTED_VALUE"""),44390.6458333333)</f>
        <v>44390.645833333299</v>
      </c>
      <c r="B383" s="7">
        <f ca="1">IFERROR(__xludf.DUMMYFUNCTION("""COMPUTED_VALUE"""),750.93)</f>
        <v>750.93</v>
      </c>
      <c r="C383" s="6">
        <f t="shared" ca="1" si="2"/>
        <v>9.9932750504370116E-3</v>
      </c>
      <c r="D383" s="7">
        <f t="shared" ca="1" si="3"/>
        <v>0.92442704379902252</v>
      </c>
    </row>
    <row r="384" spans="1:4" ht="12.75" x14ac:dyDescent="0.2">
      <c r="A384" s="8">
        <f ca="1">IFERROR(__xludf.DUMMYFUNCTION("""COMPUTED_VALUE"""),44391.6458333333)</f>
        <v>44391.645833333299</v>
      </c>
      <c r="B384" s="7">
        <f ca="1">IFERROR(__xludf.DUMMYFUNCTION("""COMPUTED_VALUE"""),749.58)</f>
        <v>749.58</v>
      </c>
      <c r="C384" s="6">
        <f t="shared" ca="1" si="2"/>
        <v>-1.7977707642522489E-3</v>
      </c>
      <c r="D384" s="7">
        <f t="shared" ca="1" si="3"/>
        <v>0.9355905974012112</v>
      </c>
    </row>
    <row r="385" spans="1:4" ht="12.75" x14ac:dyDescent="0.2">
      <c r="A385" s="8">
        <f ca="1">IFERROR(__xludf.DUMMYFUNCTION("""COMPUTED_VALUE"""),44392.6458333333)</f>
        <v>44392.645833333299</v>
      </c>
      <c r="B385" s="7">
        <f ca="1">IFERROR(__xludf.DUMMYFUNCTION("""COMPUTED_VALUE"""),760.35)</f>
        <v>760.35</v>
      </c>
      <c r="C385" s="6">
        <f t="shared" ca="1" si="2"/>
        <v>1.4368046105819321E-2</v>
      </c>
      <c r="D385" s="7">
        <f t="shared" ca="1" si="3"/>
        <v>0.92122049056355626</v>
      </c>
    </row>
    <row r="386" spans="1:4" ht="12.75" x14ac:dyDescent="0.2">
      <c r="A386" s="8">
        <f ca="1">IFERROR(__xludf.DUMMYFUNCTION("""COMPUTED_VALUE"""),44393.6458333333)</f>
        <v>44393.645833333299</v>
      </c>
      <c r="B386" s="7">
        <f ca="1">IFERROR(__xludf.DUMMYFUNCTION("""COMPUTED_VALUE"""),761.18)</f>
        <v>761.18</v>
      </c>
      <c r="C386" s="6">
        <f t="shared" ca="1" si="2"/>
        <v>1.0916025514564609E-3</v>
      </c>
      <c r="D386" s="7">
        <f t="shared" ca="1" si="3"/>
        <v>0.92932026590294026</v>
      </c>
    </row>
    <row r="387" spans="1:4" ht="12.75" x14ac:dyDescent="0.2">
      <c r="A387" s="8">
        <f ca="1">IFERROR(__xludf.DUMMYFUNCTION("""COMPUTED_VALUE"""),44396.6458333333)</f>
        <v>44396.645833333299</v>
      </c>
      <c r="B387" s="7">
        <f ca="1">IFERROR(__xludf.DUMMYFUNCTION("""COMPUTED_VALUE"""),735.5)</f>
        <v>735.5</v>
      </c>
      <c r="C387" s="6">
        <f t="shared" ca="1" si="2"/>
        <v>-3.3737092409154124E-2</v>
      </c>
      <c r="D387" s="7">
        <f t="shared" ca="1" si="3"/>
        <v>0.96523453433038742</v>
      </c>
    </row>
    <row r="388" spans="1:4" ht="12.75" x14ac:dyDescent="0.2">
      <c r="A388" s="8">
        <f ca="1">IFERROR(__xludf.DUMMYFUNCTION("""COMPUTED_VALUE"""),44397.6458333333)</f>
        <v>44397.645833333299</v>
      </c>
      <c r="B388" s="7">
        <f ca="1">IFERROR(__xludf.DUMMYFUNCTION("""COMPUTED_VALUE"""),721.58)</f>
        <v>721.58</v>
      </c>
      <c r="C388" s="6">
        <f t="shared" ca="1" si="2"/>
        <v>-1.8925900747790547E-2</v>
      </c>
      <c r="D388" s="7">
        <f t="shared" ca="1" si="3"/>
        <v>0.97256021508356649</v>
      </c>
    </row>
    <row r="389" spans="1:4" ht="12.75" x14ac:dyDescent="0.2">
      <c r="A389" s="8">
        <f ca="1">IFERROR(__xludf.DUMMYFUNCTION("""COMPUTED_VALUE"""),44399.6458333333)</f>
        <v>44399.645833333299</v>
      </c>
      <c r="B389" s="7">
        <f ca="1">IFERROR(__xludf.DUMMYFUNCTION("""COMPUTED_VALUE"""),724.35)</f>
        <v>724.35</v>
      </c>
      <c r="C389" s="6">
        <f t="shared" ca="1" si="2"/>
        <v>3.8387981928544868E-3</v>
      </c>
      <c r="D389" s="7">
        <f t="shared" ca="1" si="3"/>
        <v>0.9660385172913647</v>
      </c>
    </row>
    <row r="390" spans="1:4" ht="12.75" x14ac:dyDescent="0.2">
      <c r="A390" s="8">
        <f ca="1">IFERROR(__xludf.DUMMYFUNCTION("""COMPUTED_VALUE"""),44400.6458333333)</f>
        <v>44400.645833333299</v>
      </c>
      <c r="B390" s="7">
        <f ca="1">IFERROR(__xludf.DUMMYFUNCTION("""COMPUTED_VALUE"""),721.38)</f>
        <v>721.38</v>
      </c>
      <c r="C390" s="6">
        <f t="shared" ca="1" si="2"/>
        <v>-4.1002277904328421E-3</v>
      </c>
      <c r="D390" s="7">
        <f t="shared" ca="1" si="3"/>
        <v>0.96125481715600647</v>
      </c>
    </row>
    <row r="391" spans="1:4" ht="12.75" x14ac:dyDescent="0.2">
      <c r="A391" s="8">
        <f ca="1">IFERROR(__xludf.DUMMYFUNCTION("""COMPUTED_VALUE"""),44403.6458333333)</f>
        <v>44403.645833333299</v>
      </c>
      <c r="B391" s="7">
        <f ca="1">IFERROR(__xludf.DUMMYFUNCTION("""COMPUTED_VALUE"""),717.28)</f>
        <v>717.28</v>
      </c>
      <c r="C391" s="6">
        <f t="shared" ca="1" si="2"/>
        <v>-5.6835509717486632E-3</v>
      </c>
      <c r="D391" s="7">
        <f t="shared" ca="1" si="3"/>
        <v>1.0039733437430292</v>
      </c>
    </row>
    <row r="392" spans="1:4" ht="12.75" x14ac:dyDescent="0.2">
      <c r="A392" s="8">
        <f ca="1">IFERROR(__xludf.DUMMYFUNCTION("""COMPUTED_VALUE"""),44404.6458333333)</f>
        <v>44404.645833333299</v>
      </c>
      <c r="B392" s="7">
        <f ca="1">IFERROR(__xludf.DUMMYFUNCTION("""COMPUTED_VALUE"""),719.88)</f>
        <v>719.88</v>
      </c>
      <c r="C392" s="6">
        <f t="shared" ca="1" si="2"/>
        <v>3.6248048182021542E-3</v>
      </c>
      <c r="D392" s="7">
        <f t="shared" ca="1" si="3"/>
        <v>1.0256570539534366</v>
      </c>
    </row>
    <row r="393" spans="1:4" ht="12.75" x14ac:dyDescent="0.2">
      <c r="A393" s="8">
        <f ca="1">IFERROR(__xludf.DUMMYFUNCTION("""COMPUTED_VALUE"""),44405.6458333333)</f>
        <v>44405.645833333299</v>
      </c>
      <c r="B393" s="7">
        <f ca="1">IFERROR(__xludf.DUMMYFUNCTION("""COMPUTED_VALUE"""),708.65)</f>
        <v>708.65</v>
      </c>
      <c r="C393" s="6">
        <f t="shared" ca="1" si="2"/>
        <v>-1.5599822192587709E-2</v>
      </c>
      <c r="D393" s="7">
        <f t="shared" ca="1" si="3"/>
        <v>1.0288576871516264</v>
      </c>
    </row>
    <row r="394" spans="1:4" ht="12.75" x14ac:dyDescent="0.2">
      <c r="A394" s="8">
        <f ca="1">IFERROR(__xludf.DUMMYFUNCTION("""COMPUTED_VALUE"""),44406.6458333333)</f>
        <v>44406.645833333299</v>
      </c>
      <c r="B394" s="7">
        <f ca="1">IFERROR(__xludf.DUMMYFUNCTION("""COMPUTED_VALUE"""),709.13)</f>
        <v>709.13</v>
      </c>
      <c r="C394" s="6">
        <f t="shared" ca="1" si="2"/>
        <v>6.7734424610166322E-4</v>
      </c>
      <c r="D394" s="7">
        <f t="shared" ca="1" si="3"/>
        <v>1.0102519989282641</v>
      </c>
    </row>
    <row r="395" spans="1:4" ht="12.75" x14ac:dyDescent="0.2">
      <c r="A395" s="8">
        <f ca="1">IFERROR(__xludf.DUMMYFUNCTION("""COMPUTED_VALUE"""),44407.6458333333)</f>
        <v>44407.645833333299</v>
      </c>
      <c r="B395" s="7">
        <f ca="1">IFERROR(__xludf.DUMMYFUNCTION("""COMPUTED_VALUE"""),713.23)</f>
        <v>713.23</v>
      </c>
      <c r="C395" s="6">
        <f t="shared" ca="1" si="2"/>
        <v>5.7817325455136181E-3</v>
      </c>
      <c r="D395" s="7">
        <f t="shared" ca="1" si="3"/>
        <v>1.0496613995485327</v>
      </c>
    </row>
    <row r="396" spans="1:4" ht="12.75" x14ac:dyDescent="0.2">
      <c r="A396" s="8">
        <f ca="1">IFERROR(__xludf.DUMMYFUNCTION("""COMPUTED_VALUE"""),44410.6458333333)</f>
        <v>44410.645833333299</v>
      </c>
      <c r="B396" s="7">
        <f ca="1">IFERROR(__xludf.DUMMYFUNCTION("""COMPUTED_VALUE"""),711.33)</f>
        <v>711.33</v>
      </c>
      <c r="C396" s="6">
        <f t="shared" ca="1" si="2"/>
        <v>-2.663937299328345E-3</v>
      </c>
      <c r="D396" s="7">
        <f t="shared" ca="1" si="3"/>
        <v>1.0613639239171693</v>
      </c>
    </row>
    <row r="397" spans="1:4" ht="12.75" x14ac:dyDescent="0.2">
      <c r="A397" s="8">
        <f ca="1">IFERROR(__xludf.DUMMYFUNCTION("""COMPUTED_VALUE"""),44411.6458333333)</f>
        <v>44411.645833333299</v>
      </c>
      <c r="B397" s="7">
        <f ca="1">IFERROR(__xludf.DUMMYFUNCTION("""COMPUTED_VALUE"""),717.35)</f>
        <v>717.35</v>
      </c>
      <c r="C397" s="6">
        <f t="shared" ca="1" si="2"/>
        <v>8.4630199766633218E-3</v>
      </c>
      <c r="D397" s="7">
        <f t="shared" ca="1" si="3"/>
        <v>1.0308496549801351</v>
      </c>
    </row>
    <row r="398" spans="1:4" ht="12.75" x14ac:dyDescent="0.2">
      <c r="A398" s="8">
        <f ca="1">IFERROR(__xludf.DUMMYFUNCTION("""COMPUTED_VALUE"""),44412.6458333333)</f>
        <v>44412.645833333299</v>
      </c>
      <c r="B398" s="7">
        <f ca="1">IFERROR(__xludf.DUMMYFUNCTION("""COMPUTED_VALUE"""),732.65)</f>
        <v>732.65</v>
      </c>
      <c r="C398" s="6">
        <f t="shared" ca="1" si="2"/>
        <v>2.1328500731860212E-2</v>
      </c>
      <c r="D398" s="7">
        <f t="shared" ca="1" si="3"/>
        <v>1.0080256602743465</v>
      </c>
    </row>
    <row r="399" spans="1:4" ht="12.75" x14ac:dyDescent="0.2">
      <c r="A399" s="8">
        <f ca="1">IFERROR(__xludf.DUMMYFUNCTION("""COMPUTED_VALUE"""),44413.6458333333)</f>
        <v>44413.645833333299</v>
      </c>
      <c r="B399" s="7">
        <f ca="1">IFERROR(__xludf.DUMMYFUNCTION("""COMPUTED_VALUE"""),742.43)</f>
        <v>742.43</v>
      </c>
      <c r="C399" s="6">
        <f t="shared" ca="1" si="2"/>
        <v>1.3348802293045692E-2</v>
      </c>
      <c r="D399" s="7">
        <f t="shared" ca="1" si="3"/>
        <v>0.99851837883706218</v>
      </c>
    </row>
    <row r="400" spans="1:4" ht="12.75" x14ac:dyDescent="0.2">
      <c r="A400" s="8">
        <f ca="1">IFERROR(__xludf.DUMMYFUNCTION("""COMPUTED_VALUE"""),44414.6458333333)</f>
        <v>44414.645833333299</v>
      </c>
      <c r="B400" s="7">
        <f ca="1">IFERROR(__xludf.DUMMYFUNCTION("""COMPUTED_VALUE"""),746.33)</f>
        <v>746.33</v>
      </c>
      <c r="C400" s="6">
        <f t="shared" ca="1" si="2"/>
        <v>5.2530204867800023E-3</v>
      </c>
      <c r="D400" s="7">
        <f t="shared" ca="1" si="3"/>
        <v>1.0072354052496884</v>
      </c>
    </row>
    <row r="401" spans="1:4" ht="12.75" x14ac:dyDescent="0.2">
      <c r="A401" s="8">
        <f ca="1">IFERROR(__xludf.DUMMYFUNCTION("""COMPUTED_VALUE"""),44417.6458333333)</f>
        <v>44417.645833333299</v>
      </c>
      <c r="B401" s="7">
        <f ca="1">IFERROR(__xludf.DUMMYFUNCTION("""COMPUTED_VALUE"""),751.95)</f>
        <v>751.95</v>
      </c>
      <c r="C401" s="6">
        <f t="shared" ca="1" si="2"/>
        <v>7.5301810191201746E-3</v>
      </c>
      <c r="D401" s="7">
        <f t="shared" ca="1" si="3"/>
        <v>1.0079526564266239</v>
      </c>
    </row>
    <row r="402" spans="1:4" ht="12.75" x14ac:dyDescent="0.2">
      <c r="A402" s="8">
        <f ca="1">IFERROR(__xludf.DUMMYFUNCTION("""COMPUTED_VALUE"""),44418.6458333333)</f>
        <v>44418.645833333299</v>
      </c>
      <c r="B402" s="7">
        <f ca="1">IFERROR(__xludf.DUMMYFUNCTION("""COMPUTED_VALUE"""),753.83)</f>
        <v>753.83</v>
      </c>
      <c r="C402" s="6">
        <f t="shared" ca="1" si="2"/>
        <v>2.5001662344570352E-3</v>
      </c>
      <c r="D402" s="7">
        <f t="shared" ca="1" si="3"/>
        <v>1.0026796492577903</v>
      </c>
    </row>
    <row r="403" spans="1:4" ht="12.75" x14ac:dyDescent="0.2">
      <c r="A403" s="8">
        <f ca="1">IFERROR(__xludf.DUMMYFUNCTION("""COMPUTED_VALUE"""),44419.6458333333)</f>
        <v>44419.645833333299</v>
      </c>
      <c r="B403" s="7">
        <f ca="1">IFERROR(__xludf.DUMMYFUNCTION("""COMPUTED_VALUE"""),747.48)</f>
        <v>747.48</v>
      </c>
      <c r="C403" s="6">
        <f t="shared" ca="1" si="2"/>
        <v>-8.4236498945385874E-3</v>
      </c>
      <c r="D403" s="7">
        <f t="shared" ca="1" si="3"/>
        <v>1.0060469845347033</v>
      </c>
    </row>
    <row r="404" spans="1:4" ht="12.75" x14ac:dyDescent="0.2">
      <c r="A404" s="8">
        <f ca="1">IFERROR(__xludf.DUMMYFUNCTION("""COMPUTED_VALUE"""),44420.6458333333)</f>
        <v>44420.645833333299</v>
      </c>
      <c r="B404" s="7">
        <f ca="1">IFERROR(__xludf.DUMMYFUNCTION("""COMPUTED_VALUE"""),750.7)</f>
        <v>750.7</v>
      </c>
      <c r="C404" s="6">
        <f t="shared" ca="1" si="2"/>
        <v>4.3078075667577487E-3</v>
      </c>
      <c r="D404" s="7">
        <f t="shared" ca="1" si="3"/>
        <v>1.0127614226721726</v>
      </c>
    </row>
    <row r="405" spans="1:4" ht="12.75" x14ac:dyDescent="0.2">
      <c r="A405" s="8">
        <f ca="1">IFERROR(__xludf.DUMMYFUNCTION("""COMPUTED_VALUE"""),44421.6458333333)</f>
        <v>44421.645833333299</v>
      </c>
      <c r="B405" s="7">
        <f ca="1">IFERROR(__xludf.DUMMYFUNCTION("""COMPUTED_VALUE"""),763.1)</f>
        <v>763.1</v>
      </c>
      <c r="C405" s="6">
        <f t="shared" ca="1" si="2"/>
        <v>1.6517916611162864E-2</v>
      </c>
      <c r="D405" s="7">
        <f t="shared" ca="1" si="3"/>
        <v>0.98346219368365873</v>
      </c>
    </row>
    <row r="406" spans="1:4" ht="12.75" x14ac:dyDescent="0.2">
      <c r="A406" s="8">
        <f ca="1">IFERROR(__xludf.DUMMYFUNCTION("""COMPUTED_VALUE"""),44424.6458333333)</f>
        <v>44424.645833333299</v>
      </c>
      <c r="B406" s="7">
        <f ca="1">IFERROR(__xludf.DUMMYFUNCTION("""COMPUTED_VALUE"""),765.3)</f>
        <v>765.3</v>
      </c>
      <c r="C406" s="6">
        <f t="shared" ca="1" si="2"/>
        <v>2.8829773293146399E-3</v>
      </c>
      <c r="D406" s="7">
        <f t="shared" ca="1" si="3"/>
        <v>0.97991637266431464</v>
      </c>
    </row>
    <row r="407" spans="1:4" ht="12.75" x14ac:dyDescent="0.2">
      <c r="A407" s="8">
        <f ca="1">IFERROR(__xludf.DUMMYFUNCTION("""COMPUTED_VALUE"""),44425.6458333333)</f>
        <v>44425.645833333299</v>
      </c>
      <c r="B407" s="7">
        <f ca="1">IFERROR(__xludf.DUMMYFUNCTION("""COMPUTED_VALUE"""),757.33)</f>
        <v>757.33</v>
      </c>
      <c r="C407" s="6">
        <f t="shared" ca="1" si="2"/>
        <v>-1.0414216647066432E-2</v>
      </c>
      <c r="D407" s="7">
        <f t="shared" ca="1" si="3"/>
        <v>0.979137232118099</v>
      </c>
    </row>
    <row r="408" spans="1:4" ht="12.75" x14ac:dyDescent="0.2">
      <c r="A408" s="8">
        <f ca="1">IFERROR(__xludf.DUMMYFUNCTION("""COMPUTED_VALUE"""),44426.6458333333)</f>
        <v>44426.645833333299</v>
      </c>
      <c r="B408" s="7">
        <f ca="1">IFERROR(__xludf.DUMMYFUNCTION("""COMPUTED_VALUE"""),756.5)</f>
        <v>756.5</v>
      </c>
      <c r="C408" s="6">
        <f t="shared" ca="1" si="2"/>
        <v>-1.095955527973369E-3</v>
      </c>
      <c r="D408" s="7">
        <f t="shared" ca="1" si="3"/>
        <v>0.97838730998017176</v>
      </c>
    </row>
    <row r="409" spans="1:4" ht="12.75" x14ac:dyDescent="0.2">
      <c r="A409" s="8">
        <f ca="1">IFERROR(__xludf.DUMMYFUNCTION("""COMPUTED_VALUE"""),44428.6458333333)</f>
        <v>44428.645833333299</v>
      </c>
      <c r="B409" s="7">
        <f ca="1">IFERROR(__xludf.DUMMYFUNCTION("""COMPUTED_VALUE"""),757.38)</f>
        <v>757.38</v>
      </c>
      <c r="C409" s="6">
        <f t="shared" ca="1" si="2"/>
        <v>1.1632518175810347E-3</v>
      </c>
      <c r="D409" s="7">
        <f t="shared" ca="1" si="3"/>
        <v>0.97775225118170528</v>
      </c>
    </row>
    <row r="410" spans="1:4" ht="12.75" x14ac:dyDescent="0.2">
      <c r="A410" s="8">
        <f ca="1">IFERROR(__xludf.DUMMYFUNCTION("""COMPUTED_VALUE"""),44431.6458333333)</f>
        <v>44431.645833333299</v>
      </c>
      <c r="B410" s="7">
        <f ca="1">IFERROR(__xludf.DUMMYFUNCTION("""COMPUTED_VALUE"""),762.3)</f>
        <v>762.3</v>
      </c>
      <c r="C410" s="6">
        <f t="shared" ca="1" si="2"/>
        <v>6.496078586706755E-3</v>
      </c>
      <c r="D410" s="7">
        <f t="shared" ca="1" si="3"/>
        <v>0.97491801128164768</v>
      </c>
    </row>
    <row r="411" spans="1:4" ht="12.75" x14ac:dyDescent="0.2">
      <c r="A411" s="8">
        <f ca="1">IFERROR(__xludf.DUMMYFUNCTION("""COMPUTED_VALUE"""),44432.6458333333)</f>
        <v>44432.645833333299</v>
      </c>
      <c r="B411" s="7">
        <f ca="1">IFERROR(__xludf.DUMMYFUNCTION("""COMPUTED_VALUE"""),779.43)</f>
        <v>779.43</v>
      </c>
      <c r="C411" s="6">
        <f t="shared" ca="1" si="2"/>
        <v>2.24714679260134E-2</v>
      </c>
      <c r="D411" s="7">
        <f t="shared" ca="1" si="3"/>
        <v>0.94906534262217268</v>
      </c>
    </row>
    <row r="412" spans="1:4" ht="12.75" x14ac:dyDescent="0.2">
      <c r="A412" s="8">
        <f ca="1">IFERROR(__xludf.DUMMYFUNCTION("""COMPUTED_VALUE"""),44433.6458333333)</f>
        <v>44433.645833333299</v>
      </c>
      <c r="B412" s="7">
        <f ca="1">IFERROR(__xludf.DUMMYFUNCTION("""COMPUTED_VALUE"""),778.7)</f>
        <v>778.7</v>
      </c>
      <c r="C412" s="6">
        <f t="shared" ca="1" si="2"/>
        <v>-9.365818611034582E-4</v>
      </c>
      <c r="D412" s="7">
        <f t="shared" ca="1" si="3"/>
        <v>0.9568896879414408</v>
      </c>
    </row>
    <row r="413" spans="1:4" ht="12.75" x14ac:dyDescent="0.2">
      <c r="A413" s="8">
        <f ca="1">IFERROR(__xludf.DUMMYFUNCTION("""COMPUTED_VALUE"""),44434.6458333333)</f>
        <v>44434.645833333299</v>
      </c>
      <c r="B413" s="7">
        <f ca="1">IFERROR(__xludf.DUMMYFUNCTION("""COMPUTED_VALUE"""),777.4)</f>
        <v>777.4</v>
      </c>
      <c r="C413" s="6">
        <f t="shared" ca="1" si="2"/>
        <v>-1.6694490818031094E-3</v>
      </c>
      <c r="D413" s="7">
        <f t="shared" ca="1" si="3"/>
        <v>0.95484949832775912</v>
      </c>
    </row>
    <row r="414" spans="1:4" ht="12.75" x14ac:dyDescent="0.2">
      <c r="A414" s="8">
        <f ca="1">IFERROR(__xludf.DUMMYFUNCTION("""COMPUTED_VALUE"""),44435.6458333333)</f>
        <v>44435.645833333299</v>
      </c>
      <c r="B414" s="7">
        <f ca="1">IFERROR(__xludf.DUMMYFUNCTION("""COMPUTED_VALUE"""),774.23)</f>
        <v>774.23</v>
      </c>
      <c r="C414" s="6">
        <f t="shared" ca="1" si="2"/>
        <v>-4.0776948803704638E-3</v>
      </c>
      <c r="D414" s="7">
        <f t="shared" ca="1" si="3"/>
        <v>0.94681167095049268</v>
      </c>
    </row>
    <row r="415" spans="1:4" ht="12.75" x14ac:dyDescent="0.2">
      <c r="A415" s="8">
        <f ca="1">IFERROR(__xludf.DUMMYFUNCTION("""COMPUTED_VALUE"""),44438.6458333333)</f>
        <v>44438.645833333299</v>
      </c>
      <c r="B415" s="7">
        <f ca="1">IFERROR(__xludf.DUMMYFUNCTION("""COMPUTED_VALUE"""),784.13)</f>
        <v>784.13</v>
      </c>
      <c r="C415" s="6">
        <f t="shared" ca="1" si="2"/>
        <v>1.2786897950221476E-2</v>
      </c>
      <c r="D415" s="7">
        <f t="shared" ca="1" si="3"/>
        <v>0.94359353678599212</v>
      </c>
    </row>
    <row r="416" spans="1:4" ht="12.75" x14ac:dyDescent="0.2">
      <c r="A416" s="8">
        <f ca="1">IFERROR(__xludf.DUMMYFUNCTION("""COMPUTED_VALUE"""),44439.6458333333)</f>
        <v>44439.645833333299</v>
      </c>
      <c r="B416" s="7">
        <f ca="1">IFERROR(__xludf.DUMMYFUNCTION("""COMPUTED_VALUE"""),790.7)</f>
        <v>790.7</v>
      </c>
      <c r="C416" s="6">
        <f t="shared" ca="1" si="2"/>
        <v>8.3787127134531403E-3</v>
      </c>
      <c r="D416" s="7">
        <f t="shared" ca="1" si="3"/>
        <v>0.94138105476160361</v>
      </c>
    </row>
    <row r="417" spans="1:4" ht="12.75" x14ac:dyDescent="0.2">
      <c r="A417" s="8">
        <f ca="1">IFERROR(__xludf.DUMMYFUNCTION("""COMPUTED_VALUE"""),44440.6458333333)</f>
        <v>44440.645833333299</v>
      </c>
      <c r="B417" s="7">
        <f ca="1">IFERROR(__xludf.DUMMYFUNCTION("""COMPUTED_VALUE"""),789.55)</f>
        <v>789.55</v>
      </c>
      <c r="C417" s="6">
        <f t="shared" ca="1" si="2"/>
        <v>-1.4544074870369572E-3</v>
      </c>
      <c r="D417" s="7">
        <f t="shared" ca="1" si="3"/>
        <v>0.93964916724716618</v>
      </c>
    </row>
    <row r="418" spans="1:4" ht="12.75" x14ac:dyDescent="0.2">
      <c r="A418" s="8">
        <f ca="1">IFERROR(__xludf.DUMMYFUNCTION("""COMPUTED_VALUE"""),44441.6458333333)</f>
        <v>44441.645833333299</v>
      </c>
      <c r="B418" s="7">
        <f ca="1">IFERROR(__xludf.DUMMYFUNCTION("""COMPUTED_VALUE"""),794.5)</f>
        <v>794.5</v>
      </c>
      <c r="C418" s="6">
        <f t="shared" ca="1" si="2"/>
        <v>6.2693939585840575E-3</v>
      </c>
      <c r="D418" s="7">
        <f t="shared" ca="1" si="3"/>
        <v>0.93486469477658907</v>
      </c>
    </row>
    <row r="419" spans="1:4" ht="12.75" x14ac:dyDescent="0.2">
      <c r="A419" s="8">
        <f ca="1">IFERROR(__xludf.DUMMYFUNCTION("""COMPUTED_VALUE"""),44442.6458333333)</f>
        <v>44442.645833333299</v>
      </c>
      <c r="B419" s="7">
        <f ca="1">IFERROR(__xludf.DUMMYFUNCTION("""COMPUTED_VALUE"""),788.03)</f>
        <v>788.03</v>
      </c>
      <c r="C419" s="6">
        <f t="shared" ca="1" si="2"/>
        <v>-8.143486469477712E-3</v>
      </c>
      <c r="D419" s="7">
        <f t="shared" ca="1" si="3"/>
        <v>0.95571234597667609</v>
      </c>
    </row>
    <row r="420" spans="1:4" ht="12.75" x14ac:dyDescent="0.2">
      <c r="A420" s="8">
        <f ca="1">IFERROR(__xludf.DUMMYFUNCTION("""COMPUTED_VALUE"""),44445.6458333333)</f>
        <v>44445.645833333299</v>
      </c>
      <c r="B420" s="7">
        <f ca="1">IFERROR(__xludf.DUMMYFUNCTION("""COMPUTED_VALUE"""),782.85)</f>
        <v>782.85</v>
      </c>
      <c r="C420" s="6">
        <f t="shared" ca="1" si="2"/>
        <v>-6.5733538063270647E-3</v>
      </c>
      <c r="D420" s="7">
        <f t="shared" ca="1" si="3"/>
        <v>0.96768218688126706</v>
      </c>
    </row>
    <row r="421" spans="1:4" ht="12.75" x14ac:dyDescent="0.2">
      <c r="A421" s="8">
        <f ca="1">IFERROR(__xludf.DUMMYFUNCTION("""COMPUTED_VALUE"""),44446.6458333333)</f>
        <v>44446.645833333299</v>
      </c>
      <c r="B421" s="7">
        <f ca="1">IFERROR(__xludf.DUMMYFUNCTION("""COMPUTED_VALUE"""),784.63)</f>
        <v>784.63</v>
      </c>
      <c r="C421" s="6">
        <f t="shared" ca="1" si="2"/>
        <v>2.2737433735708912E-3</v>
      </c>
      <c r="D421" s="7">
        <f t="shared" ca="1" si="3"/>
        <v>0.96119189936658034</v>
      </c>
    </row>
    <row r="422" spans="1:4" ht="12.75" x14ac:dyDescent="0.2">
      <c r="A422" s="8">
        <f ca="1">IFERROR(__xludf.DUMMYFUNCTION("""COMPUTED_VALUE"""),44447.6458333333)</f>
        <v>44447.645833333299</v>
      </c>
      <c r="B422" s="7">
        <f ca="1">IFERROR(__xludf.DUMMYFUNCTION("""COMPUTED_VALUE"""),788.2)</f>
        <v>788.2</v>
      </c>
      <c r="C422" s="6">
        <f t="shared" ca="1" si="2"/>
        <v>4.5499152466768056E-3</v>
      </c>
      <c r="D422" s="7">
        <f t="shared" ca="1" si="3"/>
        <v>0.95284191829484899</v>
      </c>
    </row>
    <row r="423" spans="1:4" ht="12.75" x14ac:dyDescent="0.2">
      <c r="A423" s="8">
        <f ca="1">IFERROR(__xludf.DUMMYFUNCTION("""COMPUTED_VALUE"""),44448.6458333333)</f>
        <v>44448.645833333299</v>
      </c>
      <c r="B423" s="7">
        <f ca="1">IFERROR(__xludf.DUMMYFUNCTION("""COMPUTED_VALUE"""),784.3)</f>
        <v>784.3</v>
      </c>
      <c r="C423" s="6">
        <f t="shared" ca="1" si="2"/>
        <v>-4.9479827454961267E-3</v>
      </c>
      <c r="D423" s="7">
        <f t="shared" ca="1" si="3"/>
        <v>0.95492796123932178</v>
      </c>
    </row>
    <row r="424" spans="1:4" ht="12.75" x14ac:dyDescent="0.2">
      <c r="A424" s="8">
        <f ca="1">IFERROR(__xludf.DUMMYFUNCTION("""COMPUTED_VALUE"""),44452.6458333333)</f>
        <v>44452.645833333299</v>
      </c>
      <c r="B424" s="7">
        <f ca="1">IFERROR(__xludf.DUMMYFUNCTION("""COMPUTED_VALUE"""),777.78)</f>
        <v>777.78</v>
      </c>
      <c r="C424" s="6">
        <f t="shared" ca="1" si="2"/>
        <v>-8.3131454800459137E-3</v>
      </c>
      <c r="D424" s="7">
        <f t="shared" ca="1" si="3"/>
        <v>0.95577155493841448</v>
      </c>
    </row>
    <row r="425" spans="1:4" ht="12.75" x14ac:dyDescent="0.2">
      <c r="A425" s="8">
        <f ca="1">IFERROR(__xludf.DUMMYFUNCTION("""COMPUTED_VALUE"""),44453.6458333333)</f>
        <v>44453.645833333299</v>
      </c>
      <c r="B425" s="7">
        <f ca="1">IFERROR(__xludf.DUMMYFUNCTION("""COMPUTED_VALUE"""),774.28)</f>
        <v>774.28</v>
      </c>
      <c r="C425" s="6">
        <f t="shared" ca="1" si="2"/>
        <v>-4.499987142893902E-3</v>
      </c>
      <c r="D425" s="7">
        <f t="shared" ca="1" si="3"/>
        <v>0.95598491501782312</v>
      </c>
    </row>
    <row r="426" spans="1:4" ht="12.75" x14ac:dyDescent="0.2">
      <c r="A426" s="8">
        <f ca="1">IFERROR(__xludf.DUMMYFUNCTION("""COMPUTED_VALUE"""),44454.6458333333)</f>
        <v>44454.645833333299</v>
      </c>
      <c r="B426" s="7">
        <f ca="1">IFERROR(__xludf.DUMMYFUNCTION("""COMPUTED_VALUE"""),773.4)</f>
        <v>773.4</v>
      </c>
      <c r="C426" s="6">
        <f t="shared" ca="1" si="2"/>
        <v>-1.1365397530609389E-3</v>
      </c>
      <c r="D426" s="7">
        <f t="shared" ca="1" si="3"/>
        <v>0.96680889578484619</v>
      </c>
    </row>
    <row r="427" spans="1:4" ht="12.75" x14ac:dyDescent="0.2">
      <c r="A427" s="8">
        <f ca="1">IFERROR(__xludf.DUMMYFUNCTION("""COMPUTED_VALUE"""),44455.6458333333)</f>
        <v>44455.645833333299</v>
      </c>
      <c r="B427" s="7">
        <f ca="1">IFERROR(__xludf.DUMMYFUNCTION("""COMPUTED_VALUE"""),779.98)</f>
        <v>779.98</v>
      </c>
      <c r="C427" s="6">
        <f t="shared" ca="1" si="2"/>
        <v>8.5078872510990777E-3</v>
      </c>
      <c r="D427" s="7">
        <f t="shared" ca="1" si="3"/>
        <v>0.98380727710966953</v>
      </c>
    </row>
    <row r="428" spans="1:4" ht="12.75" x14ac:dyDescent="0.2">
      <c r="A428" s="8">
        <f ca="1">IFERROR(__xludf.DUMMYFUNCTION("""COMPUTED_VALUE"""),44456.6458333333)</f>
        <v>44456.645833333299</v>
      </c>
      <c r="B428" s="7">
        <f ca="1">IFERROR(__xludf.DUMMYFUNCTION("""COMPUTED_VALUE"""),791.08)</f>
        <v>791.08</v>
      </c>
      <c r="C428" s="6">
        <f t="shared" ca="1" si="2"/>
        <v>1.4231134131644341E-2</v>
      </c>
      <c r="D428" s="7">
        <f t="shared" ca="1" si="3"/>
        <v>0.97303686100015163</v>
      </c>
    </row>
    <row r="429" spans="1:4" ht="12.75" x14ac:dyDescent="0.2">
      <c r="A429" s="8">
        <f ca="1">IFERROR(__xludf.DUMMYFUNCTION("""COMPUTED_VALUE"""),44459.6458333333)</f>
        <v>44459.645833333299</v>
      </c>
      <c r="B429" s="7">
        <f ca="1">IFERROR(__xludf.DUMMYFUNCTION("""COMPUTED_VALUE"""),779.93)</f>
        <v>779.93</v>
      </c>
      <c r="C429" s="6">
        <f t="shared" ca="1" si="2"/>
        <v>-1.4094655407797085E-2</v>
      </c>
      <c r="D429" s="7">
        <f t="shared" ca="1" si="3"/>
        <v>0.97474132293923821</v>
      </c>
    </row>
    <row r="430" spans="1:4" ht="12.75" x14ac:dyDescent="0.2">
      <c r="A430" s="8">
        <f ca="1">IFERROR(__xludf.DUMMYFUNCTION("""COMPUTED_VALUE"""),44460.6458333333)</f>
        <v>44460.645833333299</v>
      </c>
      <c r="B430" s="7">
        <f ca="1">IFERROR(__xludf.DUMMYFUNCTION("""COMPUTED_VALUE"""),775.98)</f>
        <v>775.98</v>
      </c>
      <c r="C430" s="6">
        <f t="shared" ca="1" si="2"/>
        <v>-5.0645570756349123E-3</v>
      </c>
      <c r="D430" s="7">
        <f t="shared" ca="1" si="3"/>
        <v>0.96780844867135751</v>
      </c>
    </row>
    <row r="431" spans="1:4" ht="12.75" x14ac:dyDescent="0.2">
      <c r="A431" s="8">
        <f ca="1">IFERROR(__xludf.DUMMYFUNCTION("""COMPUTED_VALUE"""),44461.6458333333)</f>
        <v>44461.645833333299</v>
      </c>
      <c r="B431" s="7">
        <f ca="1">IFERROR(__xludf.DUMMYFUNCTION("""COMPUTED_VALUE"""),766.85)</f>
        <v>766.85</v>
      </c>
      <c r="C431" s="6">
        <f t="shared" ca="1" si="2"/>
        <v>-1.1765767158947393E-2</v>
      </c>
      <c r="D431" s="7">
        <f t="shared" ca="1" si="3"/>
        <v>0.96955075960096493</v>
      </c>
    </row>
    <row r="432" spans="1:4" ht="12.75" x14ac:dyDescent="0.2">
      <c r="A432" s="8">
        <f ca="1">IFERROR(__xludf.DUMMYFUNCTION("""COMPUTED_VALUE"""),44462.6458333333)</f>
        <v>44462.645833333299</v>
      </c>
      <c r="B432" s="7">
        <f ca="1">IFERROR(__xludf.DUMMYFUNCTION("""COMPUTED_VALUE"""),785)</f>
        <v>785</v>
      </c>
      <c r="C432" s="6">
        <f t="shared" ca="1" si="2"/>
        <v>2.3668253243789517E-2</v>
      </c>
      <c r="D432" s="7">
        <f t="shared" ca="1" si="3"/>
        <v>0.95659872611464958</v>
      </c>
    </row>
    <row r="433" spans="1:4" ht="12.75" x14ac:dyDescent="0.2">
      <c r="A433" s="8">
        <f ca="1">IFERROR(__xludf.DUMMYFUNCTION("""COMPUTED_VALUE"""),44463.6458333333)</f>
        <v>44463.645833333299</v>
      </c>
      <c r="B433" s="7">
        <f ca="1">IFERROR(__xludf.DUMMYFUNCTION("""COMPUTED_VALUE"""),800.78)</f>
        <v>800.78</v>
      </c>
      <c r="C433" s="6">
        <f t="shared" ca="1" si="2"/>
        <v>2.0101910828025371E-2</v>
      </c>
      <c r="D433" s="7">
        <f t="shared" ca="1" si="3"/>
        <v>0.9360623392192613</v>
      </c>
    </row>
    <row r="434" spans="1:4" ht="12.75" x14ac:dyDescent="0.2">
      <c r="A434" s="8">
        <f ca="1">IFERROR(__xludf.DUMMYFUNCTION("""COMPUTED_VALUE"""),44466.6458333333)</f>
        <v>44466.645833333299</v>
      </c>
      <c r="B434" s="7">
        <f ca="1">IFERROR(__xludf.DUMMYFUNCTION("""COMPUTED_VALUE"""),812.55)</f>
        <v>812.55</v>
      </c>
      <c r="C434" s="6">
        <f t="shared" ca="1" si="2"/>
        <v>1.4698169284947049E-2</v>
      </c>
      <c r="D434" s="7">
        <f t="shared" ca="1" si="3"/>
        <v>0.93575779952002958</v>
      </c>
    </row>
    <row r="435" spans="1:4" ht="12.75" x14ac:dyDescent="0.2">
      <c r="A435" s="8">
        <f ca="1">IFERROR(__xludf.DUMMYFUNCTION("""COMPUTED_VALUE"""),44467.6458333333)</f>
        <v>44467.645833333299</v>
      </c>
      <c r="B435" s="7">
        <f ca="1">IFERROR(__xludf.DUMMYFUNCTION("""COMPUTED_VALUE"""),807.53)</f>
        <v>807.53</v>
      </c>
      <c r="C435" s="6">
        <f t="shared" ca="1" si="2"/>
        <v>-6.1780813488400144E-3</v>
      </c>
      <c r="D435" s="7">
        <f t="shared" ca="1" si="3"/>
        <v>0.94260275160055973</v>
      </c>
    </row>
    <row r="436" spans="1:4" ht="12.75" x14ac:dyDescent="0.2">
      <c r="A436" s="8">
        <f ca="1">IFERROR(__xludf.DUMMYFUNCTION("""COMPUTED_VALUE"""),44468.6458333333)</f>
        <v>44468.645833333299</v>
      </c>
      <c r="B436" s="7">
        <f ca="1">IFERROR(__xludf.DUMMYFUNCTION("""COMPUTED_VALUE"""),796.93)</f>
        <v>796.93</v>
      </c>
      <c r="C436" s="6">
        <f t="shared" ca="1" si="2"/>
        <v>-1.3126447314650846E-2</v>
      </c>
      <c r="D436" s="7">
        <f t="shared" ca="1" si="3"/>
        <v>0.92291669280865329</v>
      </c>
    </row>
    <row r="437" spans="1:4" ht="12.75" x14ac:dyDescent="0.2">
      <c r="A437" s="8">
        <f ca="1">IFERROR(__xludf.DUMMYFUNCTION("""COMPUTED_VALUE"""),44469.6458333333)</f>
        <v>44469.645833333299</v>
      </c>
      <c r="B437" s="7">
        <f ca="1">IFERROR(__xludf.DUMMYFUNCTION("""COMPUTED_VALUE"""),797.48)</f>
        <v>797.48</v>
      </c>
      <c r="C437" s="6">
        <f t="shared" ca="1" si="2"/>
        <v>6.9014844465642433E-4</v>
      </c>
      <c r="D437" s="7">
        <f t="shared" ca="1" si="3"/>
        <v>0.90482519937804085</v>
      </c>
    </row>
    <row r="438" spans="1:4" ht="12.75" x14ac:dyDescent="0.2">
      <c r="A438" s="8">
        <f ca="1">IFERROR(__xludf.DUMMYFUNCTION("""COMPUTED_VALUE"""),44470.6458333333)</f>
        <v>44470.645833333299</v>
      </c>
      <c r="B438" s="7">
        <f ca="1">IFERROR(__xludf.DUMMYFUNCTION("""COMPUTED_VALUE"""),791.35)</f>
        <v>791.35</v>
      </c>
      <c r="C438" s="6">
        <f t="shared" ca="1" si="2"/>
        <v>-7.6867131464112282E-3</v>
      </c>
      <c r="D438" s="7">
        <f t="shared" ca="1" si="3"/>
        <v>0.91533455487458137</v>
      </c>
    </row>
    <row r="439" spans="1:4" ht="12.75" x14ac:dyDescent="0.2">
      <c r="A439" s="8">
        <f ca="1">IFERROR(__xludf.DUMMYFUNCTION("""COMPUTED_VALUE"""),44473.6458333333)</f>
        <v>44473.645833333299</v>
      </c>
      <c r="B439" s="7">
        <f ca="1">IFERROR(__xludf.DUMMYFUNCTION("""COMPUTED_VALUE"""),792.88)</f>
        <v>792.88</v>
      </c>
      <c r="C439" s="6">
        <f t="shared" ca="1" si="2"/>
        <v>1.9334049409236442E-3</v>
      </c>
      <c r="D439" s="7">
        <f t="shared" ca="1" si="3"/>
        <v>0.90982241953385123</v>
      </c>
    </row>
    <row r="440" spans="1:4" ht="12.75" x14ac:dyDescent="0.2">
      <c r="A440" s="8">
        <f ca="1">IFERROR(__xludf.DUMMYFUNCTION("""COMPUTED_VALUE"""),44474.6458333333)</f>
        <v>44474.645833333299</v>
      </c>
      <c r="B440" s="7">
        <f ca="1">IFERROR(__xludf.DUMMYFUNCTION("""COMPUTED_VALUE"""),797.73)</f>
        <v>797.73</v>
      </c>
      <c r="C440" s="6">
        <f t="shared" ca="1" si="2"/>
        <v>6.1169407728787206E-3</v>
      </c>
      <c r="D440" s="7">
        <f t="shared" ca="1" si="3"/>
        <v>0.89915134193273405</v>
      </c>
    </row>
    <row r="441" spans="1:4" ht="12.75" x14ac:dyDescent="0.2">
      <c r="A441" s="8">
        <f ca="1">IFERROR(__xludf.DUMMYFUNCTION("""COMPUTED_VALUE"""),44475.6458333333)</f>
        <v>44475.645833333299</v>
      </c>
      <c r="B441" s="7">
        <f ca="1">IFERROR(__xludf.DUMMYFUNCTION("""COMPUTED_VALUE"""),807.45)</f>
        <v>807.45</v>
      </c>
      <c r="C441" s="6">
        <f t="shared" ca="1" si="2"/>
        <v>1.2184573727953119E-2</v>
      </c>
      <c r="D441" s="7">
        <f t="shared" ca="1" si="3"/>
        <v>0.89154746423927178</v>
      </c>
    </row>
    <row r="442" spans="1:4" ht="12.75" x14ac:dyDescent="0.2">
      <c r="A442" s="8">
        <f ca="1">IFERROR(__xludf.DUMMYFUNCTION("""COMPUTED_VALUE"""),44476.6458333333)</f>
        <v>44476.645833333299</v>
      </c>
      <c r="B442" s="7">
        <f ca="1">IFERROR(__xludf.DUMMYFUNCTION("""COMPUTED_VALUE"""),805.25)</f>
        <v>805.25</v>
      </c>
      <c r="C442" s="6">
        <f t="shared" ca="1" si="2"/>
        <v>-2.7246269118831323E-3</v>
      </c>
      <c r="D442" s="7">
        <f t="shared" ca="1" si="3"/>
        <v>0.88003725551071088</v>
      </c>
    </row>
    <row r="443" spans="1:4" ht="12.75" x14ac:dyDescent="0.2">
      <c r="A443" s="8">
        <f ca="1">IFERROR(__xludf.DUMMYFUNCTION("""COMPUTED_VALUE"""),44477.6458333333)</f>
        <v>44477.645833333299</v>
      </c>
      <c r="B443" s="7">
        <f ca="1">IFERROR(__xludf.DUMMYFUNCTION("""COMPUTED_VALUE"""),801.33)</f>
        <v>801.33</v>
      </c>
      <c r="C443" s="6">
        <f t="shared" ca="1" si="2"/>
        <v>-4.8680533995653086E-3</v>
      </c>
      <c r="D443" s="7">
        <f t="shared" ca="1" si="3"/>
        <v>0.88494128511349879</v>
      </c>
    </row>
    <row r="444" spans="1:4" ht="12.75" x14ac:dyDescent="0.2">
      <c r="A444" s="8">
        <f ca="1">IFERROR(__xludf.DUMMYFUNCTION("""COMPUTED_VALUE"""),44480.6458333333)</f>
        <v>44480.645833333299</v>
      </c>
      <c r="B444" s="7">
        <f ca="1">IFERROR(__xludf.DUMMYFUNCTION("""COMPUTED_VALUE"""),816.9)</f>
        <v>816.9</v>
      </c>
      <c r="C444" s="6">
        <f t="shared" ca="1" si="2"/>
        <v>1.943019729699369E-2</v>
      </c>
      <c r="D444" s="7">
        <f t="shared" ca="1" si="3"/>
        <v>0.8730934018851757</v>
      </c>
    </row>
    <row r="445" spans="1:4" ht="12.75" x14ac:dyDescent="0.2">
      <c r="A445" s="8">
        <f ca="1">IFERROR(__xludf.DUMMYFUNCTION("""COMPUTED_VALUE"""),44481.6458333333)</f>
        <v>44481.645833333299</v>
      </c>
      <c r="B445" s="7">
        <f ca="1">IFERROR(__xludf.DUMMYFUNCTION("""COMPUTED_VALUE"""),814.8)</f>
        <v>814.8</v>
      </c>
      <c r="C445" s="6">
        <f t="shared" ca="1" si="2"/>
        <v>-2.5706940874036244E-3</v>
      </c>
      <c r="D445" s="7">
        <f t="shared" ca="1" si="3"/>
        <v>0.87301178203240071</v>
      </c>
    </row>
    <row r="446" spans="1:4" ht="12.75" x14ac:dyDescent="0.2">
      <c r="A446" s="8">
        <f ca="1">IFERROR(__xludf.DUMMYFUNCTION("""COMPUTED_VALUE"""),44482.6458333333)</f>
        <v>44482.645833333299</v>
      </c>
      <c r="B446" s="7">
        <f ca="1">IFERROR(__xludf.DUMMYFUNCTION("""COMPUTED_VALUE"""),819.7)</f>
        <v>819.7</v>
      </c>
      <c r="C446" s="6">
        <f t="shared" ca="1" si="2"/>
        <v>6.0137457044675546E-3</v>
      </c>
      <c r="D446" s="7">
        <f t="shared" ca="1" si="3"/>
        <v>0.87513724533365866</v>
      </c>
    </row>
    <row r="447" spans="1:4" ht="12.75" x14ac:dyDescent="0.2">
      <c r="A447" s="8">
        <f ca="1">IFERROR(__xludf.DUMMYFUNCTION("""COMPUTED_VALUE"""),44483.6458333333)</f>
        <v>44483.645833333299</v>
      </c>
      <c r="B447" s="7">
        <f ca="1">IFERROR(__xludf.DUMMYFUNCTION("""COMPUTED_VALUE"""),843.7)</f>
        <v>843.7</v>
      </c>
      <c r="C447" s="6">
        <f t="shared" ca="1" si="2"/>
        <v>2.9279004513846463E-2</v>
      </c>
      <c r="D447" s="7">
        <f t="shared" ca="1" si="3"/>
        <v>0.86837738532653774</v>
      </c>
    </row>
    <row r="448" spans="1:4" ht="12.75" x14ac:dyDescent="0.2">
      <c r="A448" s="8">
        <f ca="1">IFERROR(__xludf.DUMMYFUNCTION("""COMPUTED_VALUE"""),44487.6458333333)</f>
        <v>44487.645833333299</v>
      </c>
      <c r="B448" s="7">
        <f ca="1">IFERROR(__xludf.DUMMYFUNCTION("""COMPUTED_VALUE"""),835.15)</f>
        <v>835.15</v>
      </c>
      <c r="C448" s="6">
        <f t="shared" ca="1" si="2"/>
        <v>-1.0133933862747524E-2</v>
      </c>
      <c r="D448" s="7">
        <f t="shared" ca="1" si="3"/>
        <v>0.88897802789917979</v>
      </c>
    </row>
    <row r="449" spans="1:4" ht="12.75" x14ac:dyDescent="0.2">
      <c r="A449" s="8">
        <f ca="1">IFERROR(__xludf.DUMMYFUNCTION("""COMPUTED_VALUE"""),44488.6458333333)</f>
        <v>44488.645833333299</v>
      </c>
      <c r="B449" s="7">
        <f ca="1">IFERROR(__xludf.DUMMYFUNCTION("""COMPUTED_VALUE"""),844.35)</f>
        <v>844.35</v>
      </c>
      <c r="C449" s="6">
        <f t="shared" ca="1" si="2"/>
        <v>1.1015985152367902E-2</v>
      </c>
      <c r="D449" s="7">
        <f t="shared" ca="1" si="3"/>
        <v>0.8839107005388761</v>
      </c>
    </row>
    <row r="450" spans="1:4" ht="12.75" x14ac:dyDescent="0.2">
      <c r="A450" s="8">
        <f ca="1">IFERROR(__xludf.DUMMYFUNCTION("""COMPUTED_VALUE"""),44489.6458333333)</f>
        <v>44489.645833333299</v>
      </c>
      <c r="B450" s="7">
        <f ca="1">IFERROR(__xludf.DUMMYFUNCTION("""COMPUTED_VALUE"""),836.93)</f>
        <v>836.93</v>
      </c>
      <c r="C450" s="6">
        <f t="shared" ca="1" si="2"/>
        <v>-8.7878249541067932E-3</v>
      </c>
      <c r="D450" s="7">
        <f t="shared" ca="1" si="3"/>
        <v>0.89846223698517214</v>
      </c>
    </row>
    <row r="451" spans="1:4" ht="12.75" x14ac:dyDescent="0.2">
      <c r="A451" s="8">
        <f ca="1">IFERROR(__xludf.DUMMYFUNCTION("""COMPUTED_VALUE"""),44490.6458333333)</f>
        <v>44490.645833333299</v>
      </c>
      <c r="B451" s="7">
        <f ca="1">IFERROR(__xludf.DUMMYFUNCTION("""COMPUTED_VALUE"""),838.15)</f>
        <v>838.15</v>
      </c>
      <c r="C451" s="6">
        <f t="shared" ca="1" si="2"/>
        <v>1.4577085299847248E-3</v>
      </c>
      <c r="D451" s="7">
        <f t="shared" ca="1" si="3"/>
        <v>0.89939748255085616</v>
      </c>
    </row>
    <row r="452" spans="1:4" ht="12.75" x14ac:dyDescent="0.2">
      <c r="A452" s="8">
        <f ca="1">IFERROR(__xludf.DUMMYFUNCTION("""COMPUTED_VALUE"""),44491.6458333333)</f>
        <v>44491.645833333299</v>
      </c>
      <c r="B452" s="7">
        <f ca="1">IFERROR(__xludf.DUMMYFUNCTION("""COMPUTED_VALUE"""),840.38)</f>
        <v>840.38</v>
      </c>
      <c r="C452" s="6">
        <f t="shared" ca="1" si="2"/>
        <v>2.6606216071110023E-3</v>
      </c>
      <c r="D452" s="7">
        <f t="shared" ca="1" si="3"/>
        <v>0.88945477046098198</v>
      </c>
    </row>
    <row r="453" spans="1:4" ht="12.75" x14ac:dyDescent="0.2">
      <c r="A453" s="8">
        <f ca="1">IFERROR(__xludf.DUMMYFUNCTION("""COMPUTED_VALUE"""),44494.6458333333)</f>
        <v>44494.645833333299</v>
      </c>
      <c r="B453" s="7">
        <f ca="1">IFERROR(__xludf.DUMMYFUNCTION("""COMPUTED_VALUE"""),828.5)</f>
        <v>828.5</v>
      </c>
      <c r="C453" s="6">
        <f t="shared" ca="1" si="2"/>
        <v>-1.4136462076679623E-2</v>
      </c>
      <c r="D453" s="7">
        <f t="shared" ca="1" si="3"/>
        <v>0.90609535304767663</v>
      </c>
    </row>
    <row r="454" spans="1:4" ht="12.75" x14ac:dyDescent="0.2">
      <c r="A454" s="8">
        <f ca="1">IFERROR(__xludf.DUMMYFUNCTION("""COMPUTED_VALUE"""),44495.6458333333)</f>
        <v>44495.645833333299</v>
      </c>
      <c r="B454" s="7">
        <f ca="1">IFERROR(__xludf.DUMMYFUNCTION("""COMPUTED_VALUE"""),826.38)</f>
        <v>826.38</v>
      </c>
      <c r="C454" s="6">
        <f t="shared" ca="1" si="2"/>
        <v>-2.5588412794206317E-3</v>
      </c>
      <c r="D454" s="7">
        <f t="shared" ca="1" si="3"/>
        <v>0.92342505868970692</v>
      </c>
    </row>
    <row r="455" spans="1:4" ht="12.75" x14ac:dyDescent="0.2">
      <c r="A455" s="8">
        <f ca="1">IFERROR(__xludf.DUMMYFUNCTION("""COMPUTED_VALUE"""),44496.6458333333)</f>
        <v>44496.645833333299</v>
      </c>
      <c r="B455" s="7">
        <f ca="1">IFERROR(__xludf.DUMMYFUNCTION("""COMPUTED_VALUE"""),821.4)</f>
        <v>821.4</v>
      </c>
      <c r="C455" s="6">
        <f t="shared" ca="1" si="2"/>
        <v>-6.0262833079213207E-3</v>
      </c>
      <c r="D455" s="7">
        <f t="shared" ca="1" si="3"/>
        <v>0.93170197224251272</v>
      </c>
    </row>
    <row r="456" spans="1:4" ht="12.75" x14ac:dyDescent="0.2">
      <c r="A456" s="8">
        <f ca="1">IFERROR(__xludf.DUMMYFUNCTION("""COMPUTED_VALUE"""),44497.6458333333)</f>
        <v>44497.645833333299</v>
      </c>
      <c r="B456" s="7">
        <f ca="1">IFERROR(__xludf.DUMMYFUNCTION("""COMPUTED_VALUE"""),796.8)</f>
        <v>796.8</v>
      </c>
      <c r="C456" s="6">
        <f t="shared" ca="1" si="2"/>
        <v>-2.9948867786705691E-2</v>
      </c>
      <c r="D456" s="7">
        <f t="shared" ca="1" si="3"/>
        <v>0.95046435742971902</v>
      </c>
    </row>
    <row r="457" spans="1:4" ht="12.75" x14ac:dyDescent="0.2">
      <c r="A457" s="8">
        <f ca="1">IFERROR(__xludf.DUMMYFUNCTION("""COMPUTED_VALUE"""),44498.6458333333)</f>
        <v>44498.645833333299</v>
      </c>
      <c r="B457" s="7">
        <f ca="1">IFERROR(__xludf.DUMMYFUNCTION("""COMPUTED_VALUE"""),791.43)</f>
        <v>791.43</v>
      </c>
      <c r="C457" s="6">
        <f t="shared" ca="1" si="2"/>
        <v>-6.7394578313253461E-3</v>
      </c>
      <c r="D457" s="7">
        <f t="shared" ca="1" si="3"/>
        <v>0.95586470060523365</v>
      </c>
    </row>
    <row r="458" spans="1:4" ht="12.75" x14ac:dyDescent="0.2">
      <c r="A458" s="8">
        <f ca="1">IFERROR(__xludf.DUMMYFUNCTION("""COMPUTED_VALUE"""),44501.6458333333)</f>
        <v>44501.645833333299</v>
      </c>
      <c r="B458" s="7">
        <f ca="1">IFERROR(__xludf.DUMMYFUNCTION("""COMPUTED_VALUE"""),802.65)</f>
        <v>802.65</v>
      </c>
      <c r="C458" s="6">
        <f t="shared" ca="1" si="2"/>
        <v>1.4176869716841622E-2</v>
      </c>
      <c r="D458" s="7">
        <f t="shared" ca="1" si="3"/>
        <v>0.94359932722855544</v>
      </c>
    </row>
    <row r="459" spans="1:4" ht="12.75" x14ac:dyDescent="0.2">
      <c r="A459" s="8">
        <f ca="1">IFERROR(__xludf.DUMMYFUNCTION("""COMPUTED_VALUE"""),44502.6458333333)</f>
        <v>44502.645833333299</v>
      </c>
      <c r="B459" s="7">
        <f ca="1">IFERROR(__xludf.DUMMYFUNCTION("""COMPUTED_VALUE"""),803.38)</f>
        <v>803.38</v>
      </c>
      <c r="C459" s="6">
        <f t="shared" ca="1" si="2"/>
        <v>9.0948732324180881E-4</v>
      </c>
      <c r="D459" s="7">
        <f t="shared" ca="1" si="3"/>
        <v>0.94886604097687266</v>
      </c>
    </row>
    <row r="460" spans="1:4" ht="12.75" x14ac:dyDescent="0.2">
      <c r="A460" s="8">
        <f ca="1">IFERROR(__xludf.DUMMYFUNCTION("""COMPUTED_VALUE"""),44503.6458333333)</f>
        <v>44503.645833333299</v>
      </c>
      <c r="B460" s="7">
        <f ca="1">IFERROR(__xludf.DUMMYFUNCTION("""COMPUTED_VALUE"""),790.73)</f>
        <v>790.73</v>
      </c>
      <c r="C460" s="6">
        <f t="shared" ca="1" si="2"/>
        <v>-1.5745973262963897E-2</v>
      </c>
      <c r="D460" s="7">
        <f t="shared" ca="1" si="3"/>
        <v>0.98570940776244731</v>
      </c>
    </row>
    <row r="461" spans="1:4" ht="12.75" x14ac:dyDescent="0.2">
      <c r="A461" s="8">
        <f ca="1">IFERROR(__xludf.DUMMYFUNCTION("""COMPUTED_VALUE"""),44504.8020833333)</f>
        <v>44504.802083333299</v>
      </c>
      <c r="B461" s="7">
        <f ca="1">IFERROR(__xludf.DUMMYFUNCTION("""COMPUTED_VALUE"""),796.98)</f>
        <v>796.98</v>
      </c>
      <c r="C461" s="6">
        <f t="shared" ca="1" si="2"/>
        <v>7.9040886269650112E-3</v>
      </c>
      <c r="D461" s="7">
        <f t="shared" ca="1" si="3"/>
        <v>0.97706341438931976</v>
      </c>
    </row>
    <row r="462" spans="1:4" ht="12.75" x14ac:dyDescent="0.2">
      <c r="A462" s="8">
        <f ca="1">IFERROR(__xludf.DUMMYFUNCTION("""COMPUTED_VALUE"""),44508.6458333333)</f>
        <v>44508.645833333299</v>
      </c>
      <c r="B462" s="7">
        <f ca="1">IFERROR(__xludf.DUMMYFUNCTION("""COMPUTED_VALUE"""),800.13)</f>
        <v>800.13</v>
      </c>
      <c r="C462" s="6">
        <f t="shared" ca="1" si="2"/>
        <v>3.9524203869607533E-3</v>
      </c>
      <c r="D462" s="7">
        <f t="shared" ca="1" si="3"/>
        <v>0.97159211628110431</v>
      </c>
    </row>
    <row r="463" spans="1:4" ht="12.75" x14ac:dyDescent="0.2">
      <c r="A463" s="8">
        <f ca="1">IFERROR(__xludf.DUMMYFUNCTION("""COMPUTED_VALUE"""),44509.6458333333)</f>
        <v>44509.645833333299</v>
      </c>
      <c r="B463" s="7">
        <f ca="1">IFERROR(__xludf.DUMMYFUNCTION("""COMPUTED_VALUE"""),786.13)</f>
        <v>786.13</v>
      </c>
      <c r="C463" s="6">
        <f t="shared" ca="1" si="2"/>
        <v>-1.7497156712034334E-2</v>
      </c>
      <c r="D463" s="7">
        <f t="shared" ca="1" si="3"/>
        <v>0.98486255453932559</v>
      </c>
    </row>
    <row r="464" spans="1:4" ht="12.75" x14ac:dyDescent="0.2">
      <c r="A464" s="8">
        <f ca="1">IFERROR(__xludf.DUMMYFUNCTION("""COMPUTED_VALUE"""),44510.6458333333)</f>
        <v>44510.645833333299</v>
      </c>
      <c r="B464" s="7">
        <f ca="1">IFERROR(__xludf.DUMMYFUNCTION("""COMPUTED_VALUE"""),777.63)</f>
        <v>777.63</v>
      </c>
      <c r="C464" s="6">
        <f t="shared" ca="1" si="2"/>
        <v>-1.0812461043338883E-2</v>
      </c>
      <c r="D464" s="7">
        <f t="shared" ca="1" si="3"/>
        <v>1.008358731016036</v>
      </c>
    </row>
    <row r="465" spans="1:4" ht="12.75" x14ac:dyDescent="0.2">
      <c r="A465" s="8">
        <f ca="1">IFERROR(__xludf.DUMMYFUNCTION("""COMPUTED_VALUE"""),44511.6458333333)</f>
        <v>44511.645833333299</v>
      </c>
      <c r="B465" s="7">
        <f ca="1">IFERROR(__xludf.DUMMYFUNCTION("""COMPUTED_VALUE"""),774.15)</f>
        <v>774.15</v>
      </c>
      <c r="C465" s="6">
        <f t="shared" ca="1" si="2"/>
        <v>-4.4751359901238352E-3</v>
      </c>
      <c r="D465" s="7">
        <f t="shared" ca="1" si="3"/>
        <v>1.0213782858619131</v>
      </c>
    </row>
    <row r="466" spans="1:4" ht="12.75" x14ac:dyDescent="0.2">
      <c r="A466" s="8">
        <f ca="1">IFERROR(__xludf.DUMMYFUNCTION("""COMPUTED_VALUE"""),44512.6458333333)</f>
        <v>44512.645833333299</v>
      </c>
      <c r="B466" s="7">
        <f ca="1">IFERROR(__xludf.DUMMYFUNCTION("""COMPUTED_VALUE"""),776.5)</f>
        <v>776.5</v>
      </c>
      <c r="C466" s="6">
        <f t="shared" ca="1" si="2"/>
        <v>3.0355874184588849E-3</v>
      </c>
      <c r="D466" s="7">
        <f t="shared" ca="1" si="3"/>
        <v>1.0168061815840308</v>
      </c>
    </row>
    <row r="467" spans="1:4" ht="12.75" x14ac:dyDescent="0.2">
      <c r="A467" s="8">
        <f ca="1">IFERROR(__xludf.DUMMYFUNCTION("""COMPUTED_VALUE"""),44515.6458333333)</f>
        <v>44515.645833333299</v>
      </c>
      <c r="B467" s="7">
        <f ca="1">IFERROR(__xludf.DUMMYFUNCTION("""COMPUTED_VALUE"""),778.63)</f>
        <v>778.63</v>
      </c>
      <c r="C467" s="6">
        <f t="shared" ca="1" si="2"/>
        <v>2.7430779137154193E-3</v>
      </c>
      <c r="D467" s="7">
        <f t="shared" ca="1" si="3"/>
        <v>1.0203819529173035</v>
      </c>
    </row>
    <row r="468" spans="1:4" ht="12.75" x14ac:dyDescent="0.2">
      <c r="A468" s="8">
        <f ca="1">IFERROR(__xludf.DUMMYFUNCTION("""COMPUTED_VALUE"""),44516.6458333333)</f>
        <v>44516.645833333299</v>
      </c>
      <c r="B468" s="7">
        <f ca="1">IFERROR(__xludf.DUMMYFUNCTION("""COMPUTED_VALUE"""),774)</f>
        <v>774</v>
      </c>
      <c r="C468" s="6">
        <f t="shared" ca="1" si="2"/>
        <v>-5.946341651361986E-3</v>
      </c>
      <c r="D468" s="7">
        <f t="shared" ca="1" si="3"/>
        <v>1.01812661498708</v>
      </c>
    </row>
    <row r="469" spans="1:4" ht="12.75" x14ac:dyDescent="0.2">
      <c r="A469" s="8">
        <f ca="1">IFERROR(__xludf.DUMMYFUNCTION("""COMPUTED_VALUE"""),44517.6458333333)</f>
        <v>44517.645833333299</v>
      </c>
      <c r="B469" s="7">
        <f ca="1">IFERROR(__xludf.DUMMYFUNCTION("""COMPUTED_VALUE"""),765.4)</f>
        <v>765.4</v>
      </c>
      <c r="C469" s="6">
        <f t="shared" ca="1" si="2"/>
        <v>-1.1111111111111183E-2</v>
      </c>
      <c r="D469" s="7">
        <f t="shared" ca="1" si="3"/>
        <v>1.0227985367128301</v>
      </c>
    </row>
    <row r="470" spans="1:4" ht="12.75" x14ac:dyDescent="0.2">
      <c r="A470" s="8">
        <f ca="1">IFERROR(__xludf.DUMMYFUNCTION("""COMPUTED_VALUE"""),44518.6458333333)</f>
        <v>44518.645833333299</v>
      </c>
      <c r="B470" s="7">
        <f ca="1">IFERROR(__xludf.DUMMYFUNCTION("""COMPUTED_VALUE"""),769.7)</f>
        <v>769.7</v>
      </c>
      <c r="C470" s="6">
        <f t="shared" ca="1" si="2"/>
        <v>5.6179775280900124E-3</v>
      </c>
      <c r="D470" s="7">
        <f t="shared" ca="1" si="3"/>
        <v>1.0193971677276861</v>
      </c>
    </row>
    <row r="471" spans="1:4" ht="12.75" x14ac:dyDescent="0.2">
      <c r="A471" s="8">
        <f ca="1">IFERROR(__xludf.DUMMYFUNCTION("""COMPUTED_VALUE"""),44522.6458333333)</f>
        <v>44522.645833333299</v>
      </c>
      <c r="B471" s="7">
        <f ca="1">IFERROR(__xludf.DUMMYFUNCTION("""COMPUTED_VALUE"""),757.68)</f>
        <v>757.68</v>
      </c>
      <c r="C471" s="6">
        <f t="shared" ca="1" si="2"/>
        <v>-1.5616473950890053E-2</v>
      </c>
      <c r="D471" s="7">
        <f t="shared" ca="1" si="3"/>
        <v>1.0402808573540283</v>
      </c>
    </row>
    <row r="472" spans="1:4" ht="12.75" x14ac:dyDescent="0.2">
      <c r="A472" s="8">
        <f ca="1">IFERROR(__xludf.DUMMYFUNCTION("""COMPUTED_VALUE"""),44523.6458333333)</f>
        <v>44523.645833333299</v>
      </c>
      <c r="B472" s="7">
        <f ca="1">IFERROR(__xludf.DUMMYFUNCTION("""COMPUTED_VALUE"""),757.78)</f>
        <v>757.78</v>
      </c>
      <c r="C472" s="6">
        <f t="shared" ca="1" si="2"/>
        <v>1.3198183929885587E-4</v>
      </c>
      <c r="D472" s="7">
        <f t="shared" ca="1" si="3"/>
        <v>1.0349969648182851</v>
      </c>
    </row>
    <row r="473" spans="1:4" ht="12.75" x14ac:dyDescent="0.2">
      <c r="A473" s="8">
        <f ca="1">IFERROR(__xludf.DUMMYFUNCTION("""COMPUTED_VALUE"""),44524.6458333333)</f>
        <v>44524.645833333299</v>
      </c>
      <c r="B473" s="7">
        <f ca="1">IFERROR(__xludf.DUMMYFUNCTION("""COMPUTED_VALUE"""),759.03)</f>
        <v>759.03</v>
      </c>
      <c r="C473" s="6">
        <f t="shared" ca="1" si="2"/>
        <v>1.6495552798965196E-3</v>
      </c>
      <c r="D473" s="7">
        <f t="shared" ca="1" si="3"/>
        <v>1.0247025809256551</v>
      </c>
    </row>
    <row r="474" spans="1:4" ht="12.75" x14ac:dyDescent="0.2">
      <c r="A474" s="8">
        <f ca="1">IFERROR(__xludf.DUMMYFUNCTION("""COMPUTED_VALUE"""),44525.6458333333)</f>
        <v>44525.645833333299</v>
      </c>
      <c r="B474" s="7">
        <f ca="1">IFERROR(__xludf.DUMMYFUNCTION("""COMPUTED_VALUE"""),762.98)</f>
        <v>762.98</v>
      </c>
      <c r="C474" s="6">
        <f t="shared" ca="1" si="2"/>
        <v>5.2040103816715089E-3</v>
      </c>
      <c r="D474" s="7">
        <f t="shared" ca="1" si="3"/>
        <v>1.0148103488951217</v>
      </c>
    </row>
    <row r="475" spans="1:4" ht="12.75" x14ac:dyDescent="0.2">
      <c r="A475" s="8">
        <f ca="1">IFERROR(__xludf.DUMMYFUNCTION("""COMPUTED_VALUE"""),44526.6458333333)</f>
        <v>44526.645833333299</v>
      </c>
      <c r="B475" s="7">
        <f ca="1">IFERROR(__xludf.DUMMYFUNCTION("""COMPUTED_VALUE"""),744.95)</f>
        <v>744.95</v>
      </c>
      <c r="C475" s="6">
        <f t="shared" ca="1" si="2"/>
        <v>-2.3631025714959675E-2</v>
      </c>
      <c r="D475" s="7">
        <f t="shared" ca="1" si="3"/>
        <v>1.0381904825827235</v>
      </c>
    </row>
    <row r="476" spans="1:4" ht="12.75" x14ac:dyDescent="0.2">
      <c r="A476" s="8">
        <f ca="1">IFERROR(__xludf.DUMMYFUNCTION("""COMPUTED_VALUE"""),44529.6458333333)</f>
        <v>44529.645833333299</v>
      </c>
      <c r="B476" s="7">
        <f ca="1">IFERROR(__xludf.DUMMYFUNCTION("""COMPUTED_VALUE"""),750.63)</f>
        <v>750.63</v>
      </c>
      <c r="C476" s="6">
        <f t="shared" ca="1" si="2"/>
        <v>7.6246727968318773E-3</v>
      </c>
      <c r="D476" s="7">
        <f t="shared" ca="1" si="3"/>
        <v>1.0391004889226383</v>
      </c>
    </row>
    <row r="477" spans="1:4" ht="12.75" x14ac:dyDescent="0.2">
      <c r="A477" s="8">
        <f ca="1">IFERROR(__xludf.DUMMYFUNCTION("""COMPUTED_VALUE"""),44530.6458333333)</f>
        <v>44530.645833333299</v>
      </c>
      <c r="B477" s="7">
        <f ca="1">IFERROR(__xludf.DUMMYFUNCTION("""COMPUTED_VALUE"""),746.78)</f>
        <v>746.78</v>
      </c>
      <c r="C477" s="6">
        <f t="shared" ca="1" si="2"/>
        <v>-5.1290249523733289E-3</v>
      </c>
      <c r="D477" s="7">
        <f t="shared" ca="1" si="3"/>
        <v>1.0593213530089183</v>
      </c>
    </row>
    <row r="478" spans="1:4" ht="12.75" x14ac:dyDescent="0.2">
      <c r="A478" s="8">
        <f ca="1">IFERROR(__xludf.DUMMYFUNCTION("""COMPUTED_VALUE"""),44531.6458333333)</f>
        <v>44531.645833333299</v>
      </c>
      <c r="B478" s="7">
        <f ca="1">IFERROR(__xludf.DUMMYFUNCTION("""COMPUTED_VALUE"""),752.33)</f>
        <v>752.33</v>
      </c>
      <c r="C478" s="6">
        <f t="shared" ca="1" si="2"/>
        <v>7.4319076568736264E-3</v>
      </c>
      <c r="D478" s="7">
        <f t="shared" ca="1" si="3"/>
        <v>1.0366860287373891</v>
      </c>
    </row>
    <row r="479" spans="1:4" ht="12.75" x14ac:dyDescent="0.2">
      <c r="A479" s="8">
        <f ca="1">IFERROR(__xludf.DUMMYFUNCTION("""COMPUTED_VALUE"""),44532.6458333333)</f>
        <v>44532.645833333299</v>
      </c>
      <c r="B479" s="7">
        <f ca="1">IFERROR(__xludf.DUMMYFUNCTION("""COMPUTED_VALUE"""),762.88)</f>
        <v>762.88</v>
      </c>
      <c r="C479" s="6">
        <f t="shared" ca="1" si="2"/>
        <v>1.4023101564472951E-2</v>
      </c>
      <c r="D479" s="7">
        <f t="shared" ca="1" si="3"/>
        <v>1.0171717701342282</v>
      </c>
    </row>
    <row r="480" spans="1:4" ht="12.75" x14ac:dyDescent="0.2">
      <c r="A480" s="8">
        <f ca="1">IFERROR(__xludf.DUMMYFUNCTION("""COMPUTED_VALUE"""),44533.6458333333)</f>
        <v>44533.645833333299</v>
      </c>
      <c r="B480" s="7">
        <f ca="1">IFERROR(__xludf.DUMMYFUNCTION("""COMPUTED_VALUE"""),756.78)</f>
        <v>756.78</v>
      </c>
      <c r="C480" s="6">
        <f t="shared" ca="1" si="2"/>
        <v>-7.9960151006711611E-3</v>
      </c>
      <c r="D480" s="7">
        <f t="shared" ca="1" si="3"/>
        <v>1.0133063770184203</v>
      </c>
    </row>
    <row r="481" spans="1:4" ht="12.75" x14ac:dyDescent="0.2">
      <c r="A481" s="8">
        <f ca="1">IFERROR(__xludf.DUMMYFUNCTION("""COMPUTED_VALUE"""),44536.6458333333)</f>
        <v>44536.645833333299</v>
      </c>
      <c r="B481" s="7">
        <f ca="1">IFERROR(__xludf.DUMMYFUNCTION("""COMPUTED_VALUE"""),751.9)</f>
        <v>751.9</v>
      </c>
      <c r="C481" s="6">
        <f t="shared" ca="1" si="2"/>
        <v>-6.4483733713892599E-3</v>
      </c>
      <c r="D481" s="7">
        <f t="shared" ca="1" si="3"/>
        <v>1.044021811411092</v>
      </c>
    </row>
    <row r="482" spans="1:4" ht="12.75" x14ac:dyDescent="0.2">
      <c r="A482" s="8">
        <f ca="1">IFERROR(__xludf.DUMMYFUNCTION("""COMPUTED_VALUE"""),44537.6458333333)</f>
        <v>44537.645833333299</v>
      </c>
      <c r="B482" s="7">
        <f ca="1">IFERROR(__xludf.DUMMYFUNCTION("""COMPUTED_VALUE"""),762.85)</f>
        <v>762.85</v>
      </c>
      <c r="C482" s="6">
        <f t="shared" ca="1" si="2"/>
        <v>1.4563106796116498E-2</v>
      </c>
      <c r="D482" s="7">
        <f t="shared" ca="1" si="3"/>
        <v>1.0497214393393195</v>
      </c>
    </row>
    <row r="483" spans="1:4" ht="12.75" x14ac:dyDescent="0.2">
      <c r="A483" s="8">
        <f ca="1">IFERROR(__xludf.DUMMYFUNCTION("""COMPUTED_VALUE"""),44538.6458333333)</f>
        <v>44538.645833333299</v>
      </c>
      <c r="B483" s="7">
        <f ca="1">IFERROR(__xludf.DUMMYFUNCTION("""COMPUTED_VALUE"""),776.9)</f>
        <v>776.9</v>
      </c>
      <c r="C483" s="6">
        <f t="shared" ca="1" si="2"/>
        <v>1.8417775447335583E-2</v>
      </c>
      <c r="D483" s="7">
        <f t="shared" ca="1" si="3"/>
        <v>1.0458875016089586</v>
      </c>
    </row>
    <row r="484" spans="1:4" ht="12.75" x14ac:dyDescent="0.2">
      <c r="A484" s="8">
        <f ca="1">IFERROR(__xludf.DUMMYFUNCTION("""COMPUTED_VALUE"""),44539.6458333333)</f>
        <v>44539.645833333299</v>
      </c>
      <c r="B484" s="7">
        <f ca="1">IFERROR(__xludf.DUMMYFUNCTION("""COMPUTED_VALUE"""),763.43)</f>
        <v>763.43</v>
      </c>
      <c r="C484" s="6">
        <f t="shared" ca="1" si="2"/>
        <v>-1.7338138756596733E-2</v>
      </c>
      <c r="D484" s="7">
        <f t="shared" ca="1" si="3"/>
        <v>1.0577656104685433</v>
      </c>
    </row>
    <row r="485" spans="1:4" ht="12.75" x14ac:dyDescent="0.2">
      <c r="A485" s="8">
        <f ca="1">IFERROR(__xludf.DUMMYFUNCTION("""COMPUTED_VALUE"""),44540.6458333333)</f>
        <v>44540.645833333299</v>
      </c>
      <c r="B485" s="7">
        <f ca="1">IFERROR(__xludf.DUMMYFUNCTION("""COMPUTED_VALUE"""),761.28)</f>
        <v>761.28</v>
      </c>
      <c r="C485" s="6">
        <f t="shared" ca="1" si="2"/>
        <v>-2.8162372450649675E-3</v>
      </c>
      <c r="D485" s="7">
        <f t="shared" ca="1" si="3"/>
        <v>1.0468290248003362</v>
      </c>
    </row>
    <row r="486" spans="1:4" ht="12.75" x14ac:dyDescent="0.2">
      <c r="A486" s="8">
        <f ca="1">IFERROR(__xludf.DUMMYFUNCTION("""COMPUTED_VALUE"""),44543.6458333333)</f>
        <v>44543.645833333299</v>
      </c>
      <c r="B486" s="7">
        <f ca="1">IFERROR(__xludf.DUMMYFUNCTION("""COMPUTED_VALUE"""),755.58)</f>
        <v>755.58</v>
      </c>
      <c r="C486" s="6">
        <f t="shared" ca="1" si="2"/>
        <v>-7.4873896595206713E-3</v>
      </c>
      <c r="D486" s="7">
        <f t="shared" ca="1" si="3"/>
        <v>1.055454088250086</v>
      </c>
    </row>
    <row r="487" spans="1:4" ht="12.75" x14ac:dyDescent="0.2">
      <c r="A487" s="8">
        <f ca="1">IFERROR(__xludf.DUMMYFUNCTION("""COMPUTED_VALUE"""),44544.6458333333)</f>
        <v>44544.645833333299</v>
      </c>
      <c r="B487" s="7">
        <f ca="1">IFERROR(__xludf.DUMMYFUNCTION("""COMPUTED_VALUE"""),751.23)</f>
        <v>751.23</v>
      </c>
      <c r="C487" s="6">
        <f t="shared" ca="1" si="2"/>
        <v>-5.7571666799015597E-3</v>
      </c>
      <c r="D487" s="7">
        <f t="shared" ca="1" si="3"/>
        <v>1.0534057479067662</v>
      </c>
    </row>
    <row r="488" spans="1:4" ht="12.75" x14ac:dyDescent="0.2">
      <c r="A488" s="8">
        <f ca="1">IFERROR(__xludf.DUMMYFUNCTION("""COMPUTED_VALUE"""),44545.6458333333)</f>
        <v>44545.645833333299</v>
      </c>
      <c r="B488" s="7">
        <f ca="1">IFERROR(__xludf.DUMMYFUNCTION("""COMPUTED_VALUE"""),750)</f>
        <v>750</v>
      </c>
      <c r="C488" s="6">
        <f t="shared" ca="1" si="2"/>
        <v>-1.6373148037218677E-3</v>
      </c>
      <c r="D488" s="7">
        <f t="shared" ca="1" si="3"/>
        <v>1.0571733333333333</v>
      </c>
    </row>
    <row r="489" spans="1:4" ht="12.75" x14ac:dyDescent="0.2">
      <c r="A489" s="8">
        <f ca="1">IFERROR(__xludf.DUMMYFUNCTION("""COMPUTED_VALUE"""),44546.6458333333)</f>
        <v>44546.645833333299</v>
      </c>
      <c r="B489" s="7">
        <f ca="1">IFERROR(__xludf.DUMMYFUNCTION("""COMPUTED_VALUE"""),750.05)</f>
        <v>750.05</v>
      </c>
      <c r="C489" s="6">
        <f t="shared" ca="1" si="2"/>
        <v>6.6666666666659324E-5</v>
      </c>
      <c r="D489" s="7">
        <f t="shared" ca="1" si="3"/>
        <v>1.0635690953936405</v>
      </c>
    </row>
    <row r="490" spans="1:4" ht="12.75" x14ac:dyDescent="0.2">
      <c r="A490" s="8">
        <f ca="1">IFERROR(__xludf.DUMMYFUNCTION("""COMPUTED_VALUE"""),44547.6458333333)</f>
        <v>44547.645833333299</v>
      </c>
      <c r="B490" s="7">
        <f ca="1">IFERROR(__xludf.DUMMYFUNCTION("""COMPUTED_VALUE"""),736.53)</f>
        <v>736.53</v>
      </c>
      <c r="C490" s="6">
        <f t="shared" ca="1" si="2"/>
        <v>-1.8025464969002036E-2</v>
      </c>
      <c r="D490" s="7">
        <f t="shared" ca="1" si="3"/>
        <v>1.0962893568490082</v>
      </c>
    </row>
    <row r="491" spans="1:4" ht="12.75" x14ac:dyDescent="0.2">
      <c r="A491" s="8">
        <f ca="1">IFERROR(__xludf.DUMMYFUNCTION("""COMPUTED_VALUE"""),44550.6458333333)</f>
        <v>44550.645833333299</v>
      </c>
      <c r="B491" s="7">
        <f ca="1">IFERROR(__xludf.DUMMYFUNCTION("""COMPUTED_VALUE"""),712.83)</f>
        <v>712.83</v>
      </c>
      <c r="C491" s="6">
        <f t="shared" ca="1" si="2"/>
        <v>-3.217791535986303E-2</v>
      </c>
      <c r="D491" s="7">
        <f t="shared" ca="1" si="3"/>
        <v>1.1296522312472819</v>
      </c>
    </row>
    <row r="492" spans="1:4" ht="12.75" x14ac:dyDescent="0.2">
      <c r="A492" s="8">
        <f ca="1">IFERROR(__xludf.DUMMYFUNCTION("""COMPUTED_VALUE"""),44551.6458333333)</f>
        <v>44551.645833333299</v>
      </c>
      <c r="B492" s="7">
        <f ca="1">IFERROR(__xludf.DUMMYFUNCTION("""COMPUTED_VALUE"""),720.9)</f>
        <v>720.9</v>
      </c>
      <c r="C492" s="6">
        <f t="shared" ca="1" si="2"/>
        <v>1.1321072345439998E-2</v>
      </c>
      <c r="D492" s="7">
        <f t="shared" ca="1" si="3"/>
        <v>1.1115688722430297</v>
      </c>
    </row>
    <row r="493" spans="1:4" ht="12.75" x14ac:dyDescent="0.2">
      <c r="A493" s="8">
        <f ca="1">IFERROR(__xludf.DUMMYFUNCTION("""COMPUTED_VALUE"""),44552.6458333333)</f>
        <v>44552.645833333299</v>
      </c>
      <c r="B493" s="7">
        <f ca="1">IFERROR(__xludf.DUMMYFUNCTION("""COMPUTED_VALUE"""),722.6)</f>
        <v>722.6</v>
      </c>
      <c r="C493" s="6">
        <f t="shared" ca="1" si="2"/>
        <v>2.3581634068525759E-3</v>
      </c>
      <c r="D493" s="7">
        <f t="shared" ca="1" si="3"/>
        <v>1.1305009687240519</v>
      </c>
    </row>
    <row r="494" spans="1:4" ht="12.75" x14ac:dyDescent="0.2">
      <c r="A494" s="8">
        <f ca="1">IFERROR(__xludf.DUMMYFUNCTION("""COMPUTED_VALUE"""),44553.6458333333)</f>
        <v>44553.645833333299</v>
      </c>
      <c r="B494" s="7">
        <f ca="1">IFERROR(__xludf.DUMMYFUNCTION("""COMPUTED_VALUE"""),722.05)</f>
        <v>722.05</v>
      </c>
      <c r="C494" s="6">
        <f t="shared" ca="1" si="2"/>
        <v>-7.6114032659846398E-4</v>
      </c>
      <c r="D494" s="7">
        <f t="shared" ca="1" si="3"/>
        <v>1.1284537081919535</v>
      </c>
    </row>
    <row r="495" spans="1:4" ht="12.75" x14ac:dyDescent="0.2">
      <c r="A495" s="8">
        <f ca="1">IFERROR(__xludf.DUMMYFUNCTION("""COMPUTED_VALUE"""),44554.6458333333)</f>
        <v>44554.645833333299</v>
      </c>
      <c r="B495" s="7">
        <f ca="1">IFERROR(__xludf.DUMMYFUNCTION("""COMPUTED_VALUE"""),719.45)</f>
        <v>719.45</v>
      </c>
      <c r="C495" s="6">
        <f t="shared" ca="1" si="2"/>
        <v>-3.6008586662972242E-3</v>
      </c>
      <c r="D495" s="7">
        <f t="shared" ca="1" si="3"/>
        <v>1.1393425533393564</v>
      </c>
    </row>
    <row r="496" spans="1:4" ht="12.75" x14ac:dyDescent="0.2">
      <c r="A496" s="8">
        <f ca="1">IFERROR(__xludf.DUMMYFUNCTION("""COMPUTED_VALUE"""),44557.6458333333)</f>
        <v>44557.645833333299</v>
      </c>
      <c r="B496" s="7">
        <f ca="1">IFERROR(__xludf.DUMMYFUNCTION("""COMPUTED_VALUE"""),725.4)</f>
        <v>725.4</v>
      </c>
      <c r="C496" s="6">
        <f t="shared" ca="1" si="2"/>
        <v>8.270206407672509E-3</v>
      </c>
      <c r="D496" s="7">
        <f t="shared" ca="1" si="3"/>
        <v>1.1630824372759858</v>
      </c>
    </row>
    <row r="497" spans="1:4" ht="12.75" x14ac:dyDescent="0.2">
      <c r="A497" s="8">
        <f ca="1">IFERROR(__xludf.DUMMYFUNCTION("""COMPUTED_VALUE"""),44558.6458333333)</f>
        <v>44558.645833333299</v>
      </c>
      <c r="B497" s="7">
        <f ca="1">IFERROR(__xludf.DUMMYFUNCTION("""COMPUTED_VALUE"""),730.4)</f>
        <v>730.4</v>
      </c>
      <c r="C497" s="6">
        <f t="shared" ca="1" si="2"/>
        <v>6.8927488282326532E-3</v>
      </c>
      <c r="D497" s="7">
        <f t="shared" ca="1" si="3"/>
        <v>1.1434145673603504</v>
      </c>
    </row>
    <row r="498" spans="1:4" ht="12.75" x14ac:dyDescent="0.2">
      <c r="A498" s="8">
        <f ca="1">IFERROR(__xludf.DUMMYFUNCTION("""COMPUTED_VALUE"""),44559.6458333333)</f>
        <v>44559.645833333299</v>
      </c>
      <c r="B498" s="7">
        <f ca="1">IFERROR(__xludf.DUMMYFUNCTION("""COMPUTED_VALUE"""),726.93)</f>
        <v>726.93</v>
      </c>
      <c r="C498" s="6">
        <f t="shared" ca="1" si="2"/>
        <v>-4.7508214676890148E-3</v>
      </c>
      <c r="D498" s="7">
        <f t="shared" ca="1" si="3"/>
        <v>1.1615286203623458</v>
      </c>
    </row>
    <row r="499" spans="1:4" ht="12.75" x14ac:dyDescent="0.2">
      <c r="A499" s="8">
        <f ca="1">IFERROR(__xludf.DUMMYFUNCTION("""COMPUTED_VALUE"""),44560.6458333333)</f>
        <v>44560.645833333299</v>
      </c>
      <c r="B499" s="7">
        <f ca="1">IFERROR(__xludf.DUMMYFUNCTION("""COMPUTED_VALUE"""),730.75)</f>
        <v>730.75</v>
      </c>
      <c r="C499" s="6">
        <f t="shared" ca="1" si="2"/>
        <v>5.2549764076321726E-3</v>
      </c>
      <c r="D499" s="7">
        <f t="shared" ca="1" si="3"/>
        <v>1.1453027711255559</v>
      </c>
    </row>
    <row r="500" spans="1:4" ht="12.75" x14ac:dyDescent="0.2">
      <c r="A500" s="8">
        <f ca="1">IFERROR(__xludf.DUMMYFUNCTION("""COMPUTED_VALUE"""),44561.6458333333)</f>
        <v>44561.645833333299</v>
      </c>
      <c r="B500" s="7">
        <f ca="1">IFERROR(__xludf.DUMMYFUNCTION("""COMPUTED_VALUE"""),739.7)</f>
        <v>739.7</v>
      </c>
      <c r="C500" s="6">
        <f t="shared" ca="1" si="2"/>
        <v>1.2247690728703464E-2</v>
      </c>
      <c r="D500" s="7">
        <f t="shared" ca="1" si="3"/>
        <v>1.1330944977693658</v>
      </c>
    </row>
    <row r="501" spans="1:4" ht="12.75" x14ac:dyDescent="0.2">
      <c r="A501" s="8">
        <f ca="1">IFERROR(__xludf.DUMMYFUNCTION("""COMPUTED_VALUE"""),44564.6458333333)</f>
        <v>44564.645833333299</v>
      </c>
      <c r="B501" s="7">
        <f ca="1">IFERROR(__xludf.DUMMYFUNCTION("""COMPUTED_VALUE"""),759.83)</f>
        <v>759.83</v>
      </c>
      <c r="C501" s="6">
        <f t="shared" ca="1" si="2"/>
        <v>2.72137352980939E-2</v>
      </c>
      <c r="D501" s="7">
        <f t="shared" ca="1" si="3"/>
        <v>1.1060105549925641</v>
      </c>
    </row>
    <row r="502" spans="1:4" ht="12.75" x14ac:dyDescent="0.2">
      <c r="A502" s="8">
        <f ca="1">IFERROR(__xludf.DUMMYFUNCTION("""COMPUTED_VALUE"""),44565.6458333333)</f>
        <v>44565.645833333299</v>
      </c>
      <c r="B502" s="7">
        <f ca="1">IFERROR(__xludf.DUMMYFUNCTION("""COMPUTED_VALUE"""),764.28)</f>
        <v>764.28</v>
      </c>
      <c r="C502" s="6">
        <f t="shared" ca="1" si="2"/>
        <v>5.8565731808430943E-3</v>
      </c>
      <c r="D502" s="7">
        <f t="shared" ca="1" si="3"/>
        <v>1.0840267964620296</v>
      </c>
    </row>
    <row r="503" spans="1:4" ht="12.75" x14ac:dyDescent="0.2">
      <c r="A503" s="8">
        <f ca="1">IFERROR(__xludf.DUMMYFUNCTION("""COMPUTED_VALUE"""),44566.6458333333)</f>
        <v>44566.645833333299</v>
      </c>
      <c r="B503" s="7">
        <f ca="1">IFERROR(__xludf.DUMMYFUNCTION("""COMPUTED_VALUE"""),782.43)</f>
        <v>782.43</v>
      </c>
      <c r="C503" s="6">
        <f t="shared" ca="1" si="2"/>
        <v>2.3747841105353995E-2</v>
      </c>
      <c r="D503" s="7">
        <f t="shared" ca="1" si="3"/>
        <v>1.0561711590813236</v>
      </c>
    </row>
    <row r="504" spans="1:4" ht="12.75" x14ac:dyDescent="0.2">
      <c r="A504" s="8">
        <f ca="1">IFERROR(__xludf.DUMMYFUNCTION("""COMPUTED_VALUE"""),44567.6458333333)</f>
        <v>44567.645833333299</v>
      </c>
      <c r="B504" s="7">
        <f ca="1">IFERROR(__xludf.DUMMYFUNCTION("""COMPUTED_VALUE"""),769.88)</f>
        <v>769.88</v>
      </c>
      <c r="C504" s="6">
        <f t="shared" ca="1" si="2"/>
        <v>-1.6039773526066226E-2</v>
      </c>
      <c r="D504" s="7">
        <f t="shared" ca="1" si="3"/>
        <v>1.0669195199251831</v>
      </c>
    </row>
    <row r="505" spans="1:4" ht="12.75" x14ac:dyDescent="0.2">
      <c r="A505" s="8">
        <f ca="1">IFERROR(__xludf.DUMMYFUNCTION("""COMPUTED_VALUE"""),44568.6458333333)</f>
        <v>44568.645833333299</v>
      </c>
      <c r="B505" s="7">
        <f ca="1">IFERROR(__xludf.DUMMYFUNCTION("""COMPUTED_VALUE"""),775.28)</f>
        <v>775.28</v>
      </c>
      <c r="C505" s="6">
        <f t="shared" ca="1" si="2"/>
        <v>7.0140801163818267E-3</v>
      </c>
      <c r="D505" s="7">
        <f t="shared" ca="1" si="3"/>
        <v>1.0277577133422764</v>
      </c>
    </row>
    <row r="506" spans="1:4" ht="12.75" x14ac:dyDescent="0.2">
      <c r="A506" s="8">
        <f ca="1">IFERROR(__xludf.DUMMYFUNCTION("""COMPUTED_VALUE"""),44571.6458333333)</f>
        <v>44571.645833333299</v>
      </c>
      <c r="B506" s="7">
        <f ca="1">IFERROR(__xludf.DUMMYFUNCTION("""COMPUTED_VALUE"""),779.58)</f>
        <v>779.58</v>
      </c>
      <c r="C506" s="6">
        <f t="shared" ca="1" si="2"/>
        <v>5.5463832421835946E-3</v>
      </c>
      <c r="D506" s="7">
        <f t="shared" ca="1" si="3"/>
        <v>1.0152004925729237</v>
      </c>
    </row>
    <row r="507" spans="1:4" ht="12.75" x14ac:dyDescent="0.2">
      <c r="A507" s="8">
        <f ca="1">IFERROR(__xludf.DUMMYFUNCTION("""COMPUTED_VALUE"""),44572.6458333333)</f>
        <v>44572.645833333299</v>
      </c>
      <c r="B507" s="7">
        <f ca="1">IFERROR(__xludf.DUMMYFUNCTION("""COMPUTED_VALUE"""),782.95)</f>
        <v>782.95</v>
      </c>
      <c r="C507" s="6">
        <f t="shared" ca="1" si="2"/>
        <v>4.322840503861114E-3</v>
      </c>
      <c r="D507" s="7">
        <f t="shared" ca="1" si="3"/>
        <v>1.0251612491219106</v>
      </c>
    </row>
    <row r="508" spans="1:4" ht="12.75" x14ac:dyDescent="0.2">
      <c r="A508" s="8">
        <f ca="1">IFERROR(__xludf.DUMMYFUNCTION("""COMPUTED_VALUE"""),44573.6458333333)</f>
        <v>44573.645833333299</v>
      </c>
      <c r="B508" s="7">
        <f ca="1">IFERROR(__xludf.DUMMYFUNCTION("""COMPUTED_VALUE"""),778.33)</f>
        <v>778.33</v>
      </c>
      <c r="C508" s="6">
        <f t="shared" ca="1" si="2"/>
        <v>-5.9007599463567484E-3</v>
      </c>
      <c r="D508" s="7">
        <f t="shared" ca="1" si="3"/>
        <v>1.0321842920098159</v>
      </c>
    </row>
    <row r="509" spans="1:4" ht="12.75" x14ac:dyDescent="0.2">
      <c r="A509" s="8">
        <f ca="1">IFERROR(__xludf.DUMMYFUNCTION("""COMPUTED_VALUE"""),44574.6458333333)</f>
        <v>44574.645833333299</v>
      </c>
      <c r="B509" s="7">
        <f ca="1">IFERROR(__xludf.DUMMYFUNCTION("""COMPUTED_VALUE"""),764)</f>
        <v>764</v>
      </c>
      <c r="C509" s="6">
        <f t="shared" ca="1" si="2"/>
        <v>-1.8411213752521527E-2</v>
      </c>
      <c r="D509" s="7">
        <f t="shared" ca="1" si="3"/>
        <v>1.0349869109947645</v>
      </c>
    </row>
    <row r="510" spans="1:4" ht="12.75" x14ac:dyDescent="0.2">
      <c r="A510" s="8">
        <f ca="1">IFERROR(__xludf.DUMMYFUNCTION("""COMPUTED_VALUE"""),44575.6458333333)</f>
        <v>44575.645833333299</v>
      </c>
      <c r="B510" s="7">
        <f ca="1">IFERROR(__xludf.DUMMYFUNCTION("""COMPUTED_VALUE"""),772.58)</f>
        <v>772.58</v>
      </c>
      <c r="C510" s="6">
        <f t="shared" ca="1" si="2"/>
        <v>1.1230366492146704E-2</v>
      </c>
      <c r="D510" s="7">
        <f t="shared" ca="1" si="3"/>
        <v>1.0315824898392398</v>
      </c>
    </row>
    <row r="511" spans="1:4" ht="12.75" x14ac:dyDescent="0.2">
      <c r="A511" s="8">
        <f ca="1">IFERROR(__xludf.DUMMYFUNCTION("""COMPUTED_VALUE"""),44578.6458333333)</f>
        <v>44578.645833333299</v>
      </c>
      <c r="B511" s="7">
        <f ca="1">IFERROR(__xludf.DUMMYFUNCTION("""COMPUTED_VALUE"""),760.75)</f>
        <v>760.75</v>
      </c>
      <c r="C511" s="6">
        <f t="shared" ca="1" si="2"/>
        <v>-1.5312330114680694E-2</v>
      </c>
      <c r="D511" s="7">
        <f t="shared" ca="1" si="3"/>
        <v>1.0517647058823529</v>
      </c>
    </row>
    <row r="512" spans="1:4" ht="12.75" x14ac:dyDescent="0.2">
      <c r="A512" s="8">
        <f ca="1">IFERROR(__xludf.DUMMYFUNCTION("""COMPUTED_VALUE"""),44579.6458333333)</f>
        <v>44579.645833333299</v>
      </c>
      <c r="B512" s="7">
        <f ca="1">IFERROR(__xludf.DUMMYFUNCTION("""COMPUTED_VALUE"""),764.63)</f>
        <v>764.63</v>
      </c>
      <c r="C512" s="6">
        <f t="shared" ca="1" si="2"/>
        <v>5.1002300361484565E-3</v>
      </c>
      <c r="D512" s="7">
        <f t="shared" ca="1" si="3"/>
        <v>1.0281181748034998</v>
      </c>
    </row>
    <row r="513" spans="1:4" ht="12.75" x14ac:dyDescent="0.2">
      <c r="A513" s="8">
        <f ca="1">IFERROR(__xludf.DUMMYFUNCTION("""COMPUTED_VALUE"""),44580.6458333333)</f>
        <v>44580.645833333299</v>
      </c>
      <c r="B513" s="7">
        <f ca="1">IFERROR(__xludf.DUMMYFUNCTION("""COMPUTED_VALUE"""),759.23)</f>
        <v>759.23</v>
      </c>
      <c r="C513" s="6">
        <f t="shared" ref="C513:C767" ca="1" si="4">(B513/B512)-1</f>
        <v>-7.0622392529720024E-3</v>
      </c>
      <c r="D513" s="7">
        <f t="shared" ca="1" si="3"/>
        <v>1.0242350802787035</v>
      </c>
    </row>
    <row r="514" spans="1:4" ht="12.75" x14ac:dyDescent="0.2">
      <c r="A514" s="8">
        <f ca="1">IFERROR(__xludf.DUMMYFUNCTION("""COMPUTED_VALUE"""),44581.6458333333)</f>
        <v>44581.645833333299</v>
      </c>
      <c r="B514" s="7">
        <f ca="1">IFERROR(__xludf.DUMMYFUNCTION("""COMPUTED_VALUE"""),754.5)</f>
        <v>754.5</v>
      </c>
      <c r="C514" s="6">
        <f t="shared" ca="1" si="4"/>
        <v>-6.2299961803405912E-3</v>
      </c>
      <c r="D514" s="7">
        <f t="shared" ca="1" si="3"/>
        <v>1.0260437375745526</v>
      </c>
    </row>
    <row r="515" spans="1:4" ht="12.75" x14ac:dyDescent="0.2">
      <c r="A515" s="8">
        <f ca="1">IFERROR(__xludf.DUMMYFUNCTION("""COMPUTED_VALUE"""),44582.6458333333)</f>
        <v>44582.645833333299</v>
      </c>
      <c r="B515" s="7">
        <f ca="1">IFERROR(__xludf.DUMMYFUNCTION("""COMPUTED_VALUE"""),760.8)</f>
        <v>760.8</v>
      </c>
      <c r="C515" s="6">
        <f t="shared" ca="1" si="4"/>
        <v>8.3499005964213779E-3</v>
      </c>
      <c r="D515" s="7">
        <f t="shared" ca="1" si="3"/>
        <v>1.0206361724500526</v>
      </c>
    </row>
    <row r="516" spans="1:4" ht="12.75" x14ac:dyDescent="0.2">
      <c r="A516" s="8">
        <f ca="1">IFERROR(__xludf.DUMMYFUNCTION("""COMPUTED_VALUE"""),44585.6458333333)</f>
        <v>44585.645833333299</v>
      </c>
      <c r="B516" s="7">
        <f ca="1">IFERROR(__xludf.DUMMYFUNCTION("""COMPUTED_VALUE"""),743.33)</f>
        <v>743.33</v>
      </c>
      <c r="C516" s="6">
        <f t="shared" ca="1" si="4"/>
        <v>-2.2962670872765378E-2</v>
      </c>
      <c r="D516" s="7">
        <f t="shared" ca="1" si="3"/>
        <v>1.0474890021928349</v>
      </c>
    </row>
    <row r="517" spans="1:4" ht="12.75" x14ac:dyDescent="0.2">
      <c r="A517" s="8">
        <f ca="1">IFERROR(__xludf.DUMMYFUNCTION("""COMPUTED_VALUE"""),44586.6458333333)</f>
        <v>44586.645833333299</v>
      </c>
      <c r="B517" s="7">
        <f ca="1">IFERROR(__xludf.DUMMYFUNCTION("""COMPUTED_VALUE"""),744.03)</f>
        <v>744.03</v>
      </c>
      <c r="C517" s="6">
        <f t="shared" ca="1" si="4"/>
        <v>9.4170825878125974E-4</v>
      </c>
      <c r="D517" s="7">
        <f t="shared" ca="1" si="3"/>
        <v>1.0402806338454096</v>
      </c>
    </row>
    <row r="518" spans="1:4" ht="12.75" x14ac:dyDescent="0.2">
      <c r="A518" s="8">
        <f ca="1">IFERROR(__xludf.DUMMYFUNCTION("""COMPUTED_VALUE"""),44588.6458333333)</f>
        <v>44588.645833333299</v>
      </c>
      <c r="B518" s="7">
        <f ca="1">IFERROR(__xludf.DUMMYFUNCTION("""COMPUTED_VALUE"""),737.48)</f>
        <v>737.48</v>
      </c>
      <c r="C518" s="6">
        <f t="shared" ca="1" si="4"/>
        <v>-8.8034084647123922E-3</v>
      </c>
      <c r="D518" s="7">
        <f t="shared" ca="1" si="3"/>
        <v>1.0378586537940011</v>
      </c>
    </row>
    <row r="519" spans="1:4" ht="12.75" x14ac:dyDescent="0.2">
      <c r="A519" s="8">
        <f ca="1">IFERROR(__xludf.DUMMYFUNCTION("""COMPUTED_VALUE"""),44589.6458333333)</f>
        <v>44589.645833333299</v>
      </c>
      <c r="B519" s="7">
        <f ca="1">IFERROR(__xludf.DUMMYFUNCTION("""COMPUTED_VALUE"""),731.63)</f>
        <v>731.63</v>
      </c>
      <c r="C519" s="6">
        <f t="shared" ca="1" si="4"/>
        <v>-7.9324185062645824E-3</v>
      </c>
      <c r="D519" s="7">
        <f t="shared" ca="1" si="3"/>
        <v>1.0520344983119885</v>
      </c>
    </row>
    <row r="520" spans="1:4" ht="12.75" x14ac:dyDescent="0.2">
      <c r="A520" s="8">
        <f ca="1">IFERROR(__xludf.DUMMYFUNCTION("""COMPUTED_VALUE"""),44592.6458333333)</f>
        <v>44592.645833333299</v>
      </c>
      <c r="B520" s="7">
        <f ca="1">IFERROR(__xludf.DUMMYFUNCTION("""COMPUTED_VALUE"""),742.85)</f>
        <v>742.85</v>
      </c>
      <c r="C520" s="6">
        <f t="shared" ca="1" si="4"/>
        <v>1.5335620463895694E-2</v>
      </c>
      <c r="D520" s="7">
        <f t="shared" ca="1" si="3"/>
        <v>1.0199636534966681</v>
      </c>
    </row>
    <row r="521" spans="1:4" ht="12.75" x14ac:dyDescent="0.2">
      <c r="A521" s="8">
        <f ca="1">IFERROR(__xludf.DUMMYFUNCTION("""COMPUTED_VALUE"""),44593.6458333333)</f>
        <v>44593.645833333299</v>
      </c>
      <c r="B521" s="7">
        <f ca="1">IFERROR(__xludf.DUMMYFUNCTION("""COMPUTED_VALUE"""),748.5)</f>
        <v>748.5</v>
      </c>
      <c r="C521" s="6">
        <f t="shared" ca="1" si="4"/>
        <v>7.6058423638687422E-3</v>
      </c>
      <c r="D521" s="7">
        <f t="shared" ca="1" si="3"/>
        <v>1.0123981295925184</v>
      </c>
    </row>
    <row r="522" spans="1:4" ht="12.75" x14ac:dyDescent="0.2">
      <c r="A522" s="8">
        <f ca="1">IFERROR(__xludf.DUMMYFUNCTION("""COMPUTED_VALUE"""),44594.6458333333)</f>
        <v>44594.645833333299</v>
      </c>
      <c r="B522" s="7">
        <f ca="1">IFERROR(__xludf.DUMMYFUNCTION("""COMPUTED_VALUE"""),765.6)</f>
        <v>765.6</v>
      </c>
      <c r="C522" s="6">
        <f t="shared" ca="1" si="4"/>
        <v>2.2845691382765487E-2</v>
      </c>
      <c r="D522" s="7">
        <f t="shared" ca="1" si="3"/>
        <v>0.99141849529780557</v>
      </c>
    </row>
    <row r="523" spans="1:4" ht="12.75" x14ac:dyDescent="0.2">
      <c r="A523" s="8">
        <f ca="1">IFERROR(__xludf.DUMMYFUNCTION("""COMPUTED_VALUE"""),44595.6458333333)</f>
        <v>44595.645833333299</v>
      </c>
      <c r="B523" s="7">
        <f ca="1">IFERROR(__xludf.DUMMYFUNCTION("""COMPUTED_VALUE"""),757.68)</f>
        <v>757.68</v>
      </c>
      <c r="C523" s="6">
        <f t="shared" ca="1" si="4"/>
        <v>-1.0344827586207028E-2</v>
      </c>
      <c r="D523" s="7">
        <f t="shared" ca="1" si="3"/>
        <v>1.0069950374828425</v>
      </c>
    </row>
    <row r="524" spans="1:4" ht="12.75" x14ac:dyDescent="0.2">
      <c r="A524" s="8">
        <f ca="1">IFERROR(__xludf.DUMMYFUNCTION("""COMPUTED_VALUE"""),44596.6458333333)</f>
        <v>44596.645833333299</v>
      </c>
      <c r="B524" s="7">
        <f ca="1">IFERROR(__xludf.DUMMYFUNCTION("""COMPUTED_VALUE"""),762)</f>
        <v>762</v>
      </c>
      <c r="C524" s="6">
        <f t="shared" ca="1" si="4"/>
        <v>5.7016154577131939E-3</v>
      </c>
      <c r="D524" s="7">
        <f t="shared" ca="1" si="3"/>
        <v>0.97762467191601055</v>
      </c>
    </row>
    <row r="525" spans="1:4" ht="12.75" x14ac:dyDescent="0.2">
      <c r="A525" s="8">
        <f ca="1">IFERROR(__xludf.DUMMYFUNCTION("""COMPUTED_VALUE"""),44599.6458333333)</f>
        <v>44599.645833333299</v>
      </c>
      <c r="B525" s="7">
        <f ca="1">IFERROR(__xludf.DUMMYFUNCTION("""COMPUTED_VALUE"""),734.08)</f>
        <v>734.08</v>
      </c>
      <c r="C525" s="6">
        <f t="shared" ca="1" si="4"/>
        <v>-3.6640419947506553E-2</v>
      </c>
      <c r="D525" s="7">
        <f t="shared" ca="1" si="3"/>
        <v>1.0225452266782911</v>
      </c>
    </row>
    <row r="526" spans="1:4" ht="12.75" x14ac:dyDescent="0.2">
      <c r="A526" s="8">
        <f ca="1">IFERROR(__xludf.DUMMYFUNCTION("""COMPUTED_VALUE"""),44600.6458333333)</f>
        <v>44600.645833333299</v>
      </c>
      <c r="B526" s="7">
        <f ca="1">IFERROR(__xludf.DUMMYFUNCTION("""COMPUTED_VALUE"""),730.93)</f>
        <v>730.93</v>
      </c>
      <c r="C526" s="6">
        <f t="shared" ca="1" si="4"/>
        <v>-4.2910854402791188E-3</v>
      </c>
      <c r="D526" s="7">
        <f t="shared" ca="1" si="3"/>
        <v>1.0216847030495397</v>
      </c>
    </row>
    <row r="527" spans="1:4" ht="12.75" x14ac:dyDescent="0.2">
      <c r="A527" s="8">
        <f ca="1">IFERROR(__xludf.DUMMYFUNCTION("""COMPUTED_VALUE"""),44601.6458333333)</f>
        <v>44601.645833333299</v>
      </c>
      <c r="B527" s="7">
        <f ca="1">IFERROR(__xludf.DUMMYFUNCTION("""COMPUTED_VALUE"""),748.8)</f>
        <v>748.8</v>
      </c>
      <c r="C527" s="6">
        <f t="shared" ca="1" si="4"/>
        <v>2.4448305583298025E-2</v>
      </c>
      <c r="D527" s="7">
        <f t="shared" ca="1" si="3"/>
        <v>1.0047142094017094</v>
      </c>
    </row>
    <row r="528" spans="1:4" ht="12.75" x14ac:dyDescent="0.2">
      <c r="A528" s="8">
        <f ca="1">IFERROR(__xludf.DUMMYFUNCTION("""COMPUTED_VALUE"""),44602.6458333333)</f>
        <v>44602.645833333299</v>
      </c>
      <c r="B528" s="7">
        <f ca="1">IFERROR(__xludf.DUMMYFUNCTION("""COMPUTED_VALUE"""),762.55)</f>
        <v>762.55</v>
      </c>
      <c r="C528" s="6">
        <f t="shared" ca="1" si="4"/>
        <v>1.8362713675213582E-2</v>
      </c>
      <c r="D528" s="7">
        <f t="shared" ca="1" si="3"/>
        <v>1.0004327585076389</v>
      </c>
    </row>
    <row r="529" spans="1:4" ht="12.75" x14ac:dyDescent="0.2">
      <c r="A529" s="8">
        <f ca="1">IFERROR(__xludf.DUMMYFUNCTION("""COMPUTED_VALUE"""),44603.6458333333)</f>
        <v>44603.645833333299</v>
      </c>
      <c r="B529" s="7">
        <f ca="1">IFERROR(__xludf.DUMMYFUNCTION("""COMPUTED_VALUE"""),759.43)</f>
        <v>759.43</v>
      </c>
      <c r="C529" s="6">
        <f t="shared" ca="1" si="4"/>
        <v>-4.0915349813127611E-3</v>
      </c>
      <c r="D529" s="7">
        <f t="shared" ca="1" si="3"/>
        <v>0.99651054080033707</v>
      </c>
    </row>
    <row r="530" spans="1:4" ht="12.75" x14ac:dyDescent="0.2">
      <c r="A530" s="8">
        <f ca="1">IFERROR(__xludf.DUMMYFUNCTION("""COMPUTED_VALUE"""),44606.6458333333)</f>
        <v>44606.645833333299</v>
      </c>
      <c r="B530" s="7">
        <f ca="1">IFERROR(__xludf.DUMMYFUNCTION("""COMPUTED_VALUE"""),736.85)</f>
        <v>736.85</v>
      </c>
      <c r="C530" s="6">
        <f t="shared" ca="1" si="4"/>
        <v>-2.9732825935240847E-2</v>
      </c>
      <c r="D530" s="7">
        <f t="shared" ca="1" si="3"/>
        <v>1.0204247811630589</v>
      </c>
    </row>
    <row r="531" spans="1:4" ht="12.75" x14ac:dyDescent="0.2">
      <c r="A531" s="8">
        <f ca="1">IFERROR(__xludf.DUMMYFUNCTION("""COMPUTED_VALUE"""),44607.6458333333)</f>
        <v>44607.645833333299</v>
      </c>
      <c r="B531" s="7">
        <f ca="1">IFERROR(__xludf.DUMMYFUNCTION("""COMPUTED_VALUE"""),758.9)</f>
        <v>758.9</v>
      </c>
      <c r="C531" s="6">
        <f t="shared" ca="1" si="4"/>
        <v>2.9924679378435126E-2</v>
      </c>
      <c r="D531" s="7">
        <f t="shared" ca="1" si="3"/>
        <v>1.0052049018315985</v>
      </c>
    </row>
    <row r="532" spans="1:4" ht="12.75" x14ac:dyDescent="0.2">
      <c r="A532" s="8">
        <f ca="1">IFERROR(__xludf.DUMMYFUNCTION("""COMPUTED_VALUE"""),44608.6458333333)</f>
        <v>44608.645833333299</v>
      </c>
      <c r="B532" s="7">
        <f ca="1">IFERROR(__xludf.DUMMYFUNCTION("""COMPUTED_VALUE"""),757.88)</f>
        <v>757.88</v>
      </c>
      <c r="C532" s="6">
        <f t="shared" ca="1" si="4"/>
        <v>-1.3440505995520047E-3</v>
      </c>
      <c r="D532" s="7">
        <f t="shared" ca="1" si="3"/>
        <v>1.0250963213173589</v>
      </c>
    </row>
    <row r="533" spans="1:4" ht="12.75" x14ac:dyDescent="0.2">
      <c r="A533" s="8">
        <f ca="1">IFERROR(__xludf.DUMMYFUNCTION("""COMPUTED_VALUE"""),44609.6458333333)</f>
        <v>44609.645833333299</v>
      </c>
      <c r="B533" s="7">
        <f ca="1">IFERROR(__xludf.DUMMYFUNCTION("""COMPUTED_VALUE"""),753.25)</f>
        <v>753.25</v>
      </c>
      <c r="C533" s="6">
        <f t="shared" ca="1" si="4"/>
        <v>-6.1091465667387768E-3</v>
      </c>
      <c r="D533" s="7">
        <f t="shared" ca="1" si="3"/>
        <v>1.0135147693328908</v>
      </c>
    </row>
    <row r="534" spans="1:4" ht="12.75" x14ac:dyDescent="0.2">
      <c r="A534" s="8">
        <f ca="1">IFERROR(__xludf.DUMMYFUNCTION("""COMPUTED_VALUE"""),44610.6458333333)</f>
        <v>44610.645833333299</v>
      </c>
      <c r="B534" s="7">
        <f ca="1">IFERROR(__xludf.DUMMYFUNCTION("""COMPUTED_VALUE"""),756.18)</f>
        <v>756.18</v>
      </c>
      <c r="C534" s="6">
        <f t="shared" ca="1" si="4"/>
        <v>3.8898108197809034E-3</v>
      </c>
      <c r="D534" s="7">
        <f t="shared" ca="1" si="3"/>
        <v>1.006744425930334</v>
      </c>
    </row>
    <row r="535" spans="1:4" ht="12.75" x14ac:dyDescent="0.2">
      <c r="A535" s="8">
        <f ca="1">IFERROR(__xludf.DUMMYFUNCTION("""COMPUTED_VALUE"""),44613.6458333333)</f>
        <v>44613.645833333299</v>
      </c>
      <c r="B535" s="7">
        <f ca="1">IFERROR(__xludf.DUMMYFUNCTION("""COMPUTED_VALUE"""),761.05)</f>
        <v>761.05</v>
      </c>
      <c r="C535" s="6">
        <f t="shared" ca="1" si="4"/>
        <v>6.4402655452404645E-3</v>
      </c>
      <c r="D535" s="7">
        <f t="shared" ca="1" si="3"/>
        <v>0.99281256159253672</v>
      </c>
    </row>
    <row r="536" spans="1:4" ht="12.75" x14ac:dyDescent="0.2">
      <c r="A536" s="8">
        <f ca="1">IFERROR(__xludf.DUMMYFUNCTION("""COMPUTED_VALUE"""),44614.6458333333)</f>
        <v>44614.645833333299</v>
      </c>
      <c r="B536" s="7">
        <f ca="1">IFERROR(__xludf.DUMMYFUNCTION("""COMPUTED_VALUE"""),755.35)</f>
        <v>755.35</v>
      </c>
      <c r="C536" s="6">
        <f t="shared" ca="1" si="4"/>
        <v>-7.4896524538465847E-3</v>
      </c>
      <c r="D536" s="7">
        <f t="shared" ca="1" si="3"/>
        <v>0.99454557489905338</v>
      </c>
    </row>
    <row r="537" spans="1:4" ht="12.75" x14ac:dyDescent="0.2">
      <c r="A537" s="8">
        <f ca="1">IFERROR(__xludf.DUMMYFUNCTION("""COMPUTED_VALUE"""),44615.6458333333)</f>
        <v>44615.645833333299</v>
      </c>
      <c r="B537" s="7">
        <f ca="1">IFERROR(__xludf.DUMMYFUNCTION("""COMPUTED_VALUE"""),750.45)</f>
        <v>750.45</v>
      </c>
      <c r="C537" s="6">
        <f t="shared" ca="1" si="4"/>
        <v>-6.4870589792811462E-3</v>
      </c>
      <c r="D537" s="7">
        <f t="shared" ca="1" si="3"/>
        <v>0.99940035978412944</v>
      </c>
    </row>
    <row r="538" spans="1:4" ht="12.75" x14ac:dyDescent="0.2">
      <c r="A538" s="8">
        <f ca="1">IFERROR(__xludf.DUMMYFUNCTION("""COMPUTED_VALUE"""),44616.6458333333)</f>
        <v>44616.645833333299</v>
      </c>
      <c r="B538" s="7">
        <f ca="1">IFERROR(__xludf.DUMMYFUNCTION("""COMPUTED_VALUE"""),709.7)</f>
        <v>709.7</v>
      </c>
      <c r="C538" s="6">
        <f t="shared" ca="1" si="4"/>
        <v>-5.4300752881604408E-2</v>
      </c>
      <c r="D538" s="7">
        <f t="shared" ca="1" si="3"/>
        <v>1.0568550091587994</v>
      </c>
    </row>
    <row r="539" spans="1:4" ht="12.75" x14ac:dyDescent="0.2">
      <c r="A539" s="8">
        <f ca="1">IFERROR(__xludf.DUMMYFUNCTION("""COMPUTED_VALUE"""),44617.6458333333)</f>
        <v>44617.645833333299</v>
      </c>
      <c r="B539" s="7">
        <f ca="1">IFERROR(__xludf.DUMMYFUNCTION("""COMPUTED_VALUE"""),728.05)</f>
        <v>728.05</v>
      </c>
      <c r="C539" s="6">
        <f t="shared" ca="1" si="4"/>
        <v>2.5855995491052441E-2</v>
      </c>
      <c r="D539" s="7">
        <f t="shared" ca="1" si="3"/>
        <v>1.011647551679143</v>
      </c>
    </row>
    <row r="540" spans="1:4" ht="12.75" x14ac:dyDescent="0.2">
      <c r="A540" s="8">
        <f ca="1">IFERROR(__xludf.DUMMYFUNCTION("""COMPUTED_VALUE"""),44620.6458333333)</f>
        <v>44620.645833333299</v>
      </c>
      <c r="B540" s="7">
        <f ca="1">IFERROR(__xludf.DUMMYFUNCTION("""COMPUTED_VALUE"""),713.13)</f>
        <v>713.13</v>
      </c>
      <c r="C540" s="6">
        <f t="shared" ca="1" si="4"/>
        <v>-2.0493098001510779E-2</v>
      </c>
      <c r="D540" s="7">
        <f t="shared" ca="1" si="3"/>
        <v>0.99957931933869004</v>
      </c>
    </row>
    <row r="541" spans="1:4" ht="12.75" x14ac:dyDescent="0.2">
      <c r="A541" s="8">
        <f ca="1">IFERROR(__xludf.DUMMYFUNCTION("""COMPUTED_VALUE"""),44622.6458333333)</f>
        <v>44622.645833333299</v>
      </c>
      <c r="B541" s="7">
        <f ca="1">IFERROR(__xludf.DUMMYFUNCTION("""COMPUTED_VALUE"""),687.13)</f>
        <v>687.13</v>
      </c>
      <c r="C541" s="6">
        <f t="shared" ca="1" si="4"/>
        <v>-3.645899064686664E-2</v>
      </c>
      <c r="D541" s="7">
        <f t="shared" ca="1" si="3"/>
        <v>1.0491464497256706</v>
      </c>
    </row>
    <row r="542" spans="1:4" ht="12.75" x14ac:dyDescent="0.2">
      <c r="A542" s="8">
        <f ca="1">IFERROR(__xludf.DUMMYFUNCTION("""COMPUTED_VALUE"""),44623.6458333333)</f>
        <v>44623.645833333299</v>
      </c>
      <c r="B542" s="7">
        <f ca="1">IFERROR(__xludf.DUMMYFUNCTION("""COMPUTED_VALUE"""),685.5)</f>
        <v>685.5</v>
      </c>
      <c r="C542" s="6">
        <f t="shared" ca="1" si="4"/>
        <v>-2.3721857581534556E-3</v>
      </c>
      <c r="D542" s="7">
        <f t="shared" ca="1" si="3"/>
        <v>1.0541210795040117</v>
      </c>
    </row>
    <row r="543" spans="1:4" ht="12.75" x14ac:dyDescent="0.2">
      <c r="A543" s="8">
        <f ca="1">IFERROR(__xludf.DUMMYFUNCTION("""COMPUTED_VALUE"""),44624.6458333333)</f>
        <v>44624.645833333299</v>
      </c>
      <c r="B543" s="7">
        <f ca="1">IFERROR(__xludf.DUMMYFUNCTION("""COMPUTED_VALUE"""),683.25)</f>
        <v>683.25</v>
      </c>
      <c r="C543" s="6">
        <f t="shared" ca="1" si="4"/>
        <v>-3.2822757111596879E-3</v>
      </c>
      <c r="D543" s="7">
        <f t="shared" ca="1" si="3"/>
        <v>1.0567874130991584</v>
      </c>
    </row>
    <row r="544" spans="1:4" ht="12.75" x14ac:dyDescent="0.2">
      <c r="A544" s="8">
        <f ca="1">IFERROR(__xludf.DUMMYFUNCTION("""COMPUTED_VALUE"""),44627.6458333333)</f>
        <v>44627.645833333299</v>
      </c>
      <c r="B544" s="7">
        <f ca="1">IFERROR(__xludf.DUMMYFUNCTION("""COMPUTED_VALUE"""),662.4)</f>
        <v>662.4</v>
      </c>
      <c r="C544" s="6">
        <f t="shared" ca="1" si="4"/>
        <v>-3.0515916575192148E-2</v>
      </c>
      <c r="D544" s="7">
        <f t="shared" ca="1" si="3"/>
        <v>1.0861262077294687</v>
      </c>
    </row>
    <row r="545" spans="1:4" ht="12.75" x14ac:dyDescent="0.2">
      <c r="A545" s="8">
        <f ca="1">IFERROR(__xludf.DUMMYFUNCTION("""COMPUTED_VALUE"""),44628.6458333333)</f>
        <v>44628.645833333299</v>
      </c>
      <c r="B545" s="7">
        <f ca="1">IFERROR(__xludf.DUMMYFUNCTION("""COMPUTED_VALUE"""),663.9)</f>
        <v>663.9</v>
      </c>
      <c r="C545" s="6">
        <f t="shared" ca="1" si="4"/>
        <v>2.2644927536232817E-3</v>
      </c>
      <c r="D545" s="7">
        <f t="shared" ca="1" si="3"/>
        <v>1.0926344328965205</v>
      </c>
    </row>
    <row r="546" spans="1:4" ht="12.75" x14ac:dyDescent="0.2">
      <c r="A546" s="8">
        <f ca="1">IFERROR(__xludf.DUMMYFUNCTION("""COMPUTED_VALUE"""),44629.6458333333)</f>
        <v>44629.645833333299</v>
      </c>
      <c r="B546" s="7">
        <f ca="1">IFERROR(__xludf.DUMMYFUNCTION("""COMPUTED_VALUE"""),685.58)</f>
        <v>685.58</v>
      </c>
      <c r="C546" s="6">
        <f t="shared" ca="1" si="4"/>
        <v>3.2655520409700323E-2</v>
      </c>
      <c r="D546" s="7">
        <f t="shared" ca="1" si="3"/>
        <v>1.0653753026634381</v>
      </c>
    </row>
    <row r="547" spans="1:4" ht="12.75" x14ac:dyDescent="0.2">
      <c r="A547" s="8">
        <f ca="1">IFERROR(__xludf.DUMMYFUNCTION("""COMPUTED_VALUE"""),44630.6458333333)</f>
        <v>44630.645833333299</v>
      </c>
      <c r="B547" s="7">
        <f ca="1">IFERROR(__xludf.DUMMYFUNCTION("""COMPUTED_VALUE"""),696.35)</f>
        <v>696.35</v>
      </c>
      <c r="C547" s="6">
        <f t="shared" ca="1" si="4"/>
        <v>1.5709326409755198E-2</v>
      </c>
      <c r="D547" s="7">
        <f t="shared" ca="1" si="3"/>
        <v>1.0439146980684999</v>
      </c>
    </row>
    <row r="548" spans="1:4" ht="12.75" x14ac:dyDescent="0.2">
      <c r="A548" s="8">
        <f ca="1">IFERROR(__xludf.DUMMYFUNCTION("""COMPUTED_VALUE"""),44631.6458333333)</f>
        <v>44631.645833333299</v>
      </c>
      <c r="B548" s="7">
        <f ca="1">IFERROR(__xludf.DUMMYFUNCTION("""COMPUTED_VALUE"""),698.4)</f>
        <v>698.4</v>
      </c>
      <c r="C548" s="6">
        <f t="shared" ca="1" si="4"/>
        <v>2.943921878365785E-3</v>
      </c>
      <c r="D548" s="7">
        <f t="shared" ca="1" si="3"/>
        <v>1.0463201603665522</v>
      </c>
    </row>
    <row r="549" spans="1:4" ht="12.75" x14ac:dyDescent="0.2">
      <c r="A549" s="8">
        <f ca="1">IFERROR(__xludf.DUMMYFUNCTION("""COMPUTED_VALUE"""),44634.6458333333)</f>
        <v>44634.645833333299</v>
      </c>
      <c r="B549" s="7">
        <f ca="1">IFERROR(__xludf.DUMMYFUNCTION("""COMPUTED_VALUE"""),721.28)</f>
        <v>721.28</v>
      </c>
      <c r="C549" s="6">
        <f t="shared" ca="1" si="4"/>
        <v>3.2760595647193469E-2</v>
      </c>
      <c r="D549" s="7">
        <f t="shared" ca="1" si="3"/>
        <v>1.0255379325643301</v>
      </c>
    </row>
    <row r="550" spans="1:4" ht="12.75" x14ac:dyDescent="0.2">
      <c r="A550" s="8">
        <f ca="1">IFERROR(__xludf.DUMMYFUNCTION("""COMPUTED_VALUE"""),44635.6458333333)</f>
        <v>44635.645833333299</v>
      </c>
      <c r="B550" s="7">
        <f ca="1">IFERROR(__xludf.DUMMYFUNCTION("""COMPUTED_VALUE"""),712)</f>
        <v>712</v>
      </c>
      <c r="C550" s="6">
        <f t="shared" ca="1" si="4"/>
        <v>-1.2866015971605971E-2</v>
      </c>
      <c r="D550" s="7">
        <f t="shared" ca="1" si="3"/>
        <v>1.0671769662921349</v>
      </c>
    </row>
    <row r="551" spans="1:4" ht="12.75" x14ac:dyDescent="0.2">
      <c r="A551" s="8">
        <f ca="1">IFERROR(__xludf.DUMMYFUNCTION("""COMPUTED_VALUE"""),44636.6458333333)</f>
        <v>44636.645833333299</v>
      </c>
      <c r="B551" s="7">
        <f ca="1">IFERROR(__xludf.DUMMYFUNCTION("""COMPUTED_VALUE"""),724.08)</f>
        <v>724.08</v>
      </c>
      <c r="C551" s="6">
        <f t="shared" ca="1" si="4"/>
        <v>1.6966292134831473E-2</v>
      </c>
      <c r="D551" s="7">
        <f t="shared" ca="1" si="3"/>
        <v>1.0555187272124626</v>
      </c>
    </row>
    <row r="552" spans="1:4" ht="12.75" x14ac:dyDescent="0.2">
      <c r="A552" s="8">
        <f ca="1">IFERROR(__xludf.DUMMYFUNCTION("""COMPUTED_VALUE"""),44637.6458333333)</f>
        <v>44637.645833333299</v>
      </c>
      <c r="B552" s="7">
        <f ca="1">IFERROR(__xludf.DUMMYFUNCTION("""COMPUTED_VALUE"""),740.03)</f>
        <v>740.03</v>
      </c>
      <c r="C552" s="6">
        <f t="shared" ca="1" si="4"/>
        <v>2.2027952712407428E-2</v>
      </c>
      <c r="D552" s="7">
        <f t="shared" ca="1" si="3"/>
        <v>1.0572949745280595</v>
      </c>
    </row>
    <row r="553" spans="1:4" ht="12.75" x14ac:dyDescent="0.2">
      <c r="A553" s="8">
        <f ca="1">IFERROR(__xludf.DUMMYFUNCTION("""COMPUTED_VALUE"""),44641.6458333333)</f>
        <v>44641.645833333299</v>
      </c>
      <c r="B553" s="7">
        <f ca="1">IFERROR(__xludf.DUMMYFUNCTION("""COMPUTED_VALUE"""),743.25)</f>
        <v>743.25</v>
      </c>
      <c r="C553" s="6">
        <f t="shared" ca="1" si="4"/>
        <v>4.3511749523668097E-3</v>
      </c>
      <c r="D553" s="7">
        <f t="shared" ca="1" si="3"/>
        <v>1.0358291288261017</v>
      </c>
    </row>
    <row r="554" spans="1:4" ht="12.75" x14ac:dyDescent="0.2">
      <c r="A554" s="8">
        <f ca="1">IFERROR(__xludf.DUMMYFUNCTION("""COMPUTED_VALUE"""),44642.6458333333)</f>
        <v>44642.645833333299</v>
      </c>
      <c r="B554" s="7">
        <f ca="1">IFERROR(__xludf.DUMMYFUNCTION("""COMPUTED_VALUE"""),747.08)</f>
        <v>747.08</v>
      </c>
      <c r="C554" s="6">
        <f t="shared" ca="1" si="4"/>
        <v>5.153044063235912E-3</v>
      </c>
      <c r="D554" s="7">
        <f t="shared" ca="1" si="3"/>
        <v>1.0377469615034534</v>
      </c>
    </row>
    <row r="555" spans="1:4" ht="12.75" x14ac:dyDescent="0.2">
      <c r="A555" s="8">
        <f ca="1">IFERROR(__xludf.DUMMYFUNCTION("""COMPUTED_VALUE"""),44643.6458333333)</f>
        <v>44643.645833333299</v>
      </c>
      <c r="B555" s="7">
        <f ca="1">IFERROR(__xludf.DUMMYFUNCTION("""COMPUTED_VALUE"""),739.63)</f>
        <v>739.63</v>
      </c>
      <c r="C555" s="6">
        <f t="shared" ca="1" si="4"/>
        <v>-9.972158269529463E-3</v>
      </c>
      <c r="D555" s="7">
        <f t="shared" ca="1" si="3"/>
        <v>1.0540134932331031</v>
      </c>
    </row>
    <row r="556" spans="1:4" ht="12.75" x14ac:dyDescent="0.2">
      <c r="A556" s="8">
        <f ca="1">IFERROR(__xludf.DUMMYFUNCTION("""COMPUTED_VALUE"""),44644.6458333333)</f>
        <v>44644.645833333299</v>
      </c>
      <c r="B556" s="7">
        <f ca="1">IFERROR(__xludf.DUMMYFUNCTION("""COMPUTED_VALUE"""),721.33)</f>
        <v>721.33</v>
      </c>
      <c r="C556" s="6">
        <f t="shared" ca="1" si="4"/>
        <v>-2.4742100780119736E-2</v>
      </c>
      <c r="D556" s="7">
        <f t="shared" ca="1" si="3"/>
        <v>1.0854255333897107</v>
      </c>
    </row>
    <row r="557" spans="1:4" ht="12.75" x14ac:dyDescent="0.2">
      <c r="A557" s="8">
        <f ca="1">IFERROR(__xludf.DUMMYFUNCTION("""COMPUTED_VALUE"""),44645.6458333333)</f>
        <v>44645.645833333299</v>
      </c>
      <c r="B557" s="7">
        <f ca="1">IFERROR(__xludf.DUMMYFUNCTION("""COMPUTED_VALUE"""),715.45)</f>
        <v>715.45</v>
      </c>
      <c r="C557" s="6">
        <f t="shared" ca="1" si="4"/>
        <v>-8.1516088336822667E-3</v>
      </c>
      <c r="D557" s="7">
        <f t="shared" ca="1" si="3"/>
        <v>1.087888741351597</v>
      </c>
    </row>
    <row r="558" spans="1:4" ht="12.75" x14ac:dyDescent="0.2">
      <c r="A558" s="8">
        <f ca="1">IFERROR(__xludf.DUMMYFUNCTION("""COMPUTED_VALUE"""),44648.6458333333)</f>
        <v>44648.645833333299</v>
      </c>
      <c r="B558" s="7">
        <f ca="1">IFERROR(__xludf.DUMMYFUNCTION("""COMPUTED_VALUE"""),716.4)</f>
        <v>716.4</v>
      </c>
      <c r="C558" s="6">
        <f t="shared" ca="1" si="4"/>
        <v>1.327835627926488E-3</v>
      </c>
      <c r="D558" s="7">
        <f t="shared" ca="1" si="3"/>
        <v>1.0664433277498604</v>
      </c>
    </row>
    <row r="559" spans="1:4" ht="12.75" x14ac:dyDescent="0.2">
      <c r="A559" s="8">
        <f ca="1">IFERROR(__xludf.DUMMYFUNCTION("""COMPUTED_VALUE"""),44649.6458333333)</f>
        <v>44649.645833333299</v>
      </c>
      <c r="B559" s="7">
        <f ca="1">IFERROR(__xludf.DUMMYFUNCTION("""COMPUTED_VALUE"""),725.9)</f>
        <v>725.9</v>
      </c>
      <c r="C559" s="6">
        <f t="shared" ca="1" si="4"/>
        <v>1.3260748185371263E-2</v>
      </c>
      <c r="D559" s="7">
        <f t="shared" ca="1" si="3"/>
        <v>1.0643063782890205</v>
      </c>
    </row>
    <row r="560" spans="1:4" ht="12.75" x14ac:dyDescent="0.2">
      <c r="A560" s="8">
        <f ca="1">IFERROR(__xludf.DUMMYFUNCTION("""COMPUTED_VALUE"""),44650.6458333333)</f>
        <v>44650.645833333299</v>
      </c>
      <c r="B560" s="7">
        <f ca="1">IFERROR(__xludf.DUMMYFUNCTION("""COMPUTED_VALUE"""),738.48)</f>
        <v>738.48</v>
      </c>
      <c r="C560" s="6">
        <f t="shared" ca="1" si="4"/>
        <v>1.7330210772833698E-2</v>
      </c>
      <c r="D560" s="7">
        <f t="shared" ca="1" si="3"/>
        <v>1.0301565377532229</v>
      </c>
    </row>
    <row r="561" spans="1:4" ht="12.75" x14ac:dyDescent="0.2">
      <c r="A561" s="8">
        <f ca="1">IFERROR(__xludf.DUMMYFUNCTION("""COMPUTED_VALUE"""),44651.6458333333)</f>
        <v>44651.645833333299</v>
      </c>
      <c r="B561" s="7">
        <f ca="1">IFERROR(__xludf.DUMMYFUNCTION("""COMPUTED_VALUE"""),735.18)</f>
        <v>735.18</v>
      </c>
      <c r="C561" s="6">
        <f t="shared" ca="1" si="4"/>
        <v>-4.4686382840429806E-3</v>
      </c>
      <c r="D561" s="7">
        <f t="shared" ref="D561:D815" ca="1" si="5">AVERAGE(B512/B561)</f>
        <v>1.0400582170352839</v>
      </c>
    </row>
    <row r="562" spans="1:4" ht="12.75" x14ac:dyDescent="0.2">
      <c r="A562" s="8">
        <f ca="1">IFERROR(__xludf.DUMMYFUNCTION("""COMPUTED_VALUE"""),44652.6458333333)</f>
        <v>44652.645833333299</v>
      </c>
      <c r="B562" s="7">
        <f ca="1">IFERROR(__xludf.DUMMYFUNCTION("""COMPUTED_VALUE"""),753)</f>
        <v>753</v>
      </c>
      <c r="C562" s="6">
        <f t="shared" ca="1" si="4"/>
        <v>2.4238961886885013E-2</v>
      </c>
      <c r="D562" s="7">
        <f t="shared" ca="1" si="5"/>
        <v>1.0082735723771581</v>
      </c>
    </row>
    <row r="563" spans="1:4" ht="12.75" x14ac:dyDescent="0.2">
      <c r="A563" s="8">
        <f ca="1">IFERROR(__xludf.DUMMYFUNCTION("""COMPUTED_VALUE"""),44655.6458333333)</f>
        <v>44655.645833333299</v>
      </c>
      <c r="B563" s="7">
        <f ca="1">IFERROR(__xludf.DUMMYFUNCTION("""COMPUTED_VALUE"""),828.4)</f>
        <v>828.4</v>
      </c>
      <c r="C563" s="6">
        <f t="shared" ca="1" si="4"/>
        <v>0.100132802124834</v>
      </c>
      <c r="D563" s="7">
        <f t="shared" ca="1" si="5"/>
        <v>0.91079188797682287</v>
      </c>
    </row>
    <row r="564" spans="1:4" ht="12.75" x14ac:dyDescent="0.2">
      <c r="A564" s="8">
        <f ca="1">IFERROR(__xludf.DUMMYFUNCTION("""COMPUTED_VALUE"""),44656.6458333333)</f>
        <v>44656.645833333299</v>
      </c>
      <c r="B564" s="7">
        <f ca="1">IFERROR(__xludf.DUMMYFUNCTION("""COMPUTED_VALUE"""),804.13)</f>
        <v>804.13</v>
      </c>
      <c r="C564" s="6">
        <f t="shared" ca="1" si="4"/>
        <v>-2.9297440849830991E-2</v>
      </c>
      <c r="D564" s="7">
        <f t="shared" ca="1" si="5"/>
        <v>0.94611567781328887</v>
      </c>
    </row>
    <row r="565" spans="1:4" ht="12.75" x14ac:dyDescent="0.2">
      <c r="A565" s="8">
        <f ca="1">IFERROR(__xludf.DUMMYFUNCTION("""COMPUTED_VALUE"""),44657.6458333333)</f>
        <v>44657.645833333299</v>
      </c>
      <c r="B565" s="7">
        <f ca="1">IFERROR(__xludf.DUMMYFUNCTION("""COMPUTED_VALUE"""),775.43)</f>
        <v>775.43</v>
      </c>
      <c r="C565" s="6">
        <f t="shared" ca="1" si="4"/>
        <v>-3.5690746521084948E-2</v>
      </c>
      <c r="D565" s="7">
        <f t="shared" ca="1" si="5"/>
        <v>0.95860361347897305</v>
      </c>
    </row>
    <row r="566" spans="1:4" ht="12.75" x14ac:dyDescent="0.2">
      <c r="A566" s="8">
        <f ca="1">IFERROR(__xludf.DUMMYFUNCTION("""COMPUTED_VALUE"""),44658.6458333333)</f>
        <v>44658.645833333299</v>
      </c>
      <c r="B566" s="7">
        <f ca="1">IFERROR(__xludf.DUMMYFUNCTION("""COMPUTED_VALUE"""),758.38)</f>
        <v>758.38</v>
      </c>
      <c r="C566" s="6">
        <f t="shared" ca="1" si="4"/>
        <v>-2.1987800317243233E-2</v>
      </c>
      <c r="D566" s="7">
        <f t="shared" ca="1" si="5"/>
        <v>0.98107808750230752</v>
      </c>
    </row>
    <row r="567" spans="1:4" ht="12.75" x14ac:dyDescent="0.2">
      <c r="A567" s="8">
        <f ca="1">IFERROR(__xludf.DUMMYFUNCTION("""COMPUTED_VALUE"""),44659.6458333333)</f>
        <v>44659.645833333299</v>
      </c>
      <c r="B567" s="7">
        <f ca="1">IFERROR(__xludf.DUMMYFUNCTION("""COMPUTED_VALUE"""),757.33)</f>
        <v>757.33</v>
      </c>
      <c r="C567" s="6">
        <f t="shared" ca="1" si="4"/>
        <v>-1.3845301827579704E-3</v>
      </c>
      <c r="D567" s="7">
        <f t="shared" ca="1" si="5"/>
        <v>0.9737894973129283</v>
      </c>
    </row>
    <row r="568" spans="1:4" ht="12.75" x14ac:dyDescent="0.2">
      <c r="A568" s="8">
        <f ca="1">IFERROR(__xludf.DUMMYFUNCTION("""COMPUTED_VALUE"""),44662.6458333333)</f>
        <v>44662.645833333299</v>
      </c>
      <c r="B568" s="7">
        <f ca="1">IFERROR(__xludf.DUMMYFUNCTION("""COMPUTED_VALUE"""),748.08)</f>
        <v>748.08</v>
      </c>
      <c r="C568" s="6">
        <f t="shared" ca="1" si="4"/>
        <v>-1.2213962209340679E-2</v>
      </c>
      <c r="D568" s="7">
        <f t="shared" ca="1" si="5"/>
        <v>0.97801037322211526</v>
      </c>
    </row>
    <row r="569" spans="1:4" ht="12.75" x14ac:dyDescent="0.2">
      <c r="A569" s="8">
        <f ca="1">IFERROR(__xludf.DUMMYFUNCTION("""COMPUTED_VALUE"""),44663.6458333333)</f>
        <v>44663.645833333299</v>
      </c>
      <c r="B569" s="7">
        <f ca="1">IFERROR(__xludf.DUMMYFUNCTION("""COMPUTED_VALUE"""),746.75)</f>
        <v>746.75</v>
      </c>
      <c r="C569" s="6">
        <f t="shared" ca="1" si="4"/>
        <v>-1.7778847182120527E-3</v>
      </c>
      <c r="D569" s="7">
        <f t="shared" ca="1" si="5"/>
        <v>0.99477736859725485</v>
      </c>
    </row>
    <row r="570" spans="1:4" ht="12.75" x14ac:dyDescent="0.2">
      <c r="A570" s="8">
        <f ca="1">IFERROR(__xludf.DUMMYFUNCTION("""COMPUTED_VALUE"""),44664.6458333333)</f>
        <v>44664.645833333299</v>
      </c>
      <c r="B570" s="7">
        <f ca="1">IFERROR(__xludf.DUMMYFUNCTION("""COMPUTED_VALUE"""),732.48)</f>
        <v>732.48</v>
      </c>
      <c r="C570" s="6">
        <f t="shared" ca="1" si="4"/>
        <v>-1.910947438901911E-2</v>
      </c>
      <c r="D570" s="7">
        <f t="shared" ca="1" si="5"/>
        <v>1.0218709043250327</v>
      </c>
    </row>
    <row r="571" spans="1:4" ht="12.75" x14ac:dyDescent="0.2">
      <c r="A571" s="8">
        <f ca="1">IFERROR(__xludf.DUMMYFUNCTION("""COMPUTED_VALUE"""),44669.6458333333)</f>
        <v>44669.645833333299</v>
      </c>
      <c r="B571" s="7">
        <f ca="1">IFERROR(__xludf.DUMMYFUNCTION("""COMPUTED_VALUE"""),697.73)</f>
        <v>697.73</v>
      </c>
      <c r="C571" s="6">
        <f t="shared" ca="1" si="4"/>
        <v>-4.7441568370467424E-2</v>
      </c>
      <c r="D571" s="7">
        <f t="shared" ca="1" si="5"/>
        <v>1.097272583950812</v>
      </c>
    </row>
    <row r="572" spans="1:4" ht="12.75" x14ac:dyDescent="0.2">
      <c r="A572" s="8">
        <f ca="1">IFERROR(__xludf.DUMMYFUNCTION("""COMPUTED_VALUE"""),44670.6458333333)</f>
        <v>44670.645833333299</v>
      </c>
      <c r="B572" s="7">
        <f ca="1">IFERROR(__xludf.DUMMYFUNCTION("""COMPUTED_VALUE"""),671.1)</f>
        <v>671.1</v>
      </c>
      <c r="C572" s="6">
        <f t="shared" ca="1" si="4"/>
        <v>-3.816662605879062E-2</v>
      </c>
      <c r="D572" s="7">
        <f t="shared" ca="1" si="5"/>
        <v>1.1290120697362538</v>
      </c>
    </row>
    <row r="573" spans="1:4" ht="12.75" x14ac:dyDescent="0.2">
      <c r="A573" s="8">
        <f ca="1">IFERROR(__xludf.DUMMYFUNCTION("""COMPUTED_VALUE"""),44671.6458333333)</f>
        <v>44671.645833333299</v>
      </c>
      <c r="B573" s="7">
        <f ca="1">IFERROR(__xludf.DUMMYFUNCTION("""COMPUTED_VALUE"""),677.15)</f>
        <v>677.15</v>
      </c>
      <c r="C573" s="6">
        <f t="shared" ca="1" si="4"/>
        <v>9.0150499180450261E-3</v>
      </c>
      <c r="D573" s="7">
        <f t="shared" ca="1" si="5"/>
        <v>1.1253045853946688</v>
      </c>
    </row>
    <row r="574" spans="1:4" ht="12.75" x14ac:dyDescent="0.2">
      <c r="A574" s="8">
        <f ca="1">IFERROR(__xludf.DUMMYFUNCTION("""COMPUTED_VALUE"""),44672.6458333333)</f>
        <v>44672.645833333299</v>
      </c>
      <c r="B574" s="7">
        <f ca="1">IFERROR(__xludf.DUMMYFUNCTION("""COMPUTED_VALUE"""),687.18)</f>
        <v>687.18</v>
      </c>
      <c r="C574" s="6">
        <f t="shared" ca="1" si="4"/>
        <v>1.4812080041349818E-2</v>
      </c>
      <c r="D574" s="7">
        <f t="shared" ca="1" si="5"/>
        <v>1.0682499490672024</v>
      </c>
    </row>
    <row r="575" spans="1:4" ht="12.75" x14ac:dyDescent="0.2">
      <c r="A575" s="8">
        <f ca="1">IFERROR(__xludf.DUMMYFUNCTION("""COMPUTED_VALUE"""),44673.6458333333)</f>
        <v>44673.645833333299</v>
      </c>
      <c r="B575" s="7">
        <f ca="1">IFERROR(__xludf.DUMMYFUNCTION("""COMPUTED_VALUE"""),677.8)</f>
        <v>677.8</v>
      </c>
      <c r="C575" s="6">
        <f t="shared" ca="1" si="4"/>
        <v>-1.3649989813440455E-2</v>
      </c>
      <c r="D575" s="7">
        <f t="shared" ca="1" si="5"/>
        <v>1.078385954558867</v>
      </c>
    </row>
    <row r="576" spans="1:4" ht="12.75" x14ac:dyDescent="0.2">
      <c r="A576" s="8">
        <f ca="1">IFERROR(__xludf.DUMMYFUNCTION("""COMPUTED_VALUE"""),44676.6458333333)</f>
        <v>44676.645833333299</v>
      </c>
      <c r="B576" s="7">
        <f ca="1">IFERROR(__xludf.DUMMYFUNCTION("""COMPUTED_VALUE"""),682.88)</f>
        <v>682.88</v>
      </c>
      <c r="C576" s="6">
        <f t="shared" ca="1" si="4"/>
        <v>7.4948362348776776E-3</v>
      </c>
      <c r="D576" s="7">
        <f t="shared" ca="1" si="5"/>
        <v>1.0965323336457355</v>
      </c>
    </row>
    <row r="577" spans="1:4" ht="12.75" x14ac:dyDescent="0.2">
      <c r="A577" s="8">
        <f ca="1">IFERROR(__xludf.DUMMYFUNCTION("""COMPUTED_VALUE"""),44677.6458333333)</f>
        <v>44677.645833333299</v>
      </c>
      <c r="B577" s="7">
        <f ca="1">IFERROR(__xludf.DUMMYFUNCTION("""COMPUTED_VALUE"""),686.03)</f>
        <v>686.03</v>
      </c>
      <c r="C577" s="6">
        <f t="shared" ca="1" si="4"/>
        <v>4.6128163074039552E-3</v>
      </c>
      <c r="D577" s="7">
        <f t="shared" ca="1" si="5"/>
        <v>1.1115403116481786</v>
      </c>
    </row>
    <row r="578" spans="1:4" ht="12.75" x14ac:dyDescent="0.2">
      <c r="A578" s="8">
        <f ca="1">IFERROR(__xludf.DUMMYFUNCTION("""COMPUTED_VALUE"""),44678.6458333333)</f>
        <v>44678.645833333299</v>
      </c>
      <c r="B578" s="7">
        <f ca="1">IFERROR(__xludf.DUMMYFUNCTION("""COMPUTED_VALUE"""),686.28)</f>
        <v>686.28</v>
      </c>
      <c r="C578" s="6">
        <f t="shared" ca="1" si="4"/>
        <v>3.6441555034039119E-4</v>
      </c>
      <c r="D578" s="7">
        <f t="shared" ca="1" si="5"/>
        <v>1.1065891472868217</v>
      </c>
    </row>
    <row r="579" spans="1:4" ht="12.75" x14ac:dyDescent="0.2">
      <c r="A579" s="8">
        <f ca="1">IFERROR(__xludf.DUMMYFUNCTION("""COMPUTED_VALUE"""),44679.6458333333)</f>
        <v>44679.645833333299</v>
      </c>
      <c r="B579" s="7">
        <f ca="1">IFERROR(__xludf.DUMMYFUNCTION("""COMPUTED_VALUE"""),685.68)</f>
        <v>685.68</v>
      </c>
      <c r="C579" s="6">
        <f t="shared" ca="1" si="4"/>
        <v>-8.7427872005596541E-4</v>
      </c>
      <c r="D579" s="7">
        <f t="shared" ca="1" si="5"/>
        <v>1.0746266479990667</v>
      </c>
    </row>
    <row r="580" spans="1:4" ht="12.75" x14ac:dyDescent="0.2">
      <c r="A580" s="8">
        <f ca="1">IFERROR(__xludf.DUMMYFUNCTION("""COMPUTED_VALUE"""),44680.6458333333)</f>
        <v>44680.645833333299</v>
      </c>
      <c r="B580" s="7">
        <f ca="1">IFERROR(__xludf.DUMMYFUNCTION("""COMPUTED_VALUE"""),692.3)</f>
        <v>692.3</v>
      </c>
      <c r="C580" s="6">
        <f t="shared" ca="1" si="4"/>
        <v>9.6546493991367388E-3</v>
      </c>
      <c r="D580" s="7">
        <f t="shared" ca="1" si="5"/>
        <v>1.0962010689007655</v>
      </c>
    </row>
    <row r="581" spans="1:4" ht="12.75" x14ac:dyDescent="0.2">
      <c r="A581" s="8">
        <f ca="1">IFERROR(__xludf.DUMMYFUNCTION("""COMPUTED_VALUE"""),44683.6458333333)</f>
        <v>44683.645833333299</v>
      </c>
      <c r="B581" s="7">
        <f ca="1">IFERROR(__xludf.DUMMYFUNCTION("""COMPUTED_VALUE"""),701.85)</f>
        <v>701.85</v>
      </c>
      <c r="C581" s="6">
        <f t="shared" ca="1" si="4"/>
        <v>1.3794597717752488E-2</v>
      </c>
      <c r="D581" s="7">
        <f t="shared" ca="1" si="5"/>
        <v>1.0798318729073164</v>
      </c>
    </row>
    <row r="582" spans="1:4" ht="12.75" x14ac:dyDescent="0.2">
      <c r="A582" s="8">
        <f ca="1">IFERROR(__xludf.DUMMYFUNCTION("""COMPUTED_VALUE"""),44685.6458333333)</f>
        <v>44685.645833333299</v>
      </c>
      <c r="B582" s="7">
        <f ca="1">IFERROR(__xludf.DUMMYFUNCTION("""COMPUTED_VALUE"""),678)</f>
        <v>678</v>
      </c>
      <c r="C582" s="6">
        <f t="shared" ca="1" si="4"/>
        <v>-3.3981620004274404E-2</v>
      </c>
      <c r="D582" s="7">
        <f t="shared" ca="1" si="5"/>
        <v>1.1109882005899705</v>
      </c>
    </row>
    <row r="583" spans="1:4" ht="12.75" x14ac:dyDescent="0.2">
      <c r="A583" s="8">
        <f ca="1">IFERROR(__xludf.DUMMYFUNCTION("""COMPUTED_VALUE"""),44686.6458333333)</f>
        <v>44686.645833333299</v>
      </c>
      <c r="B583" s="7">
        <f ca="1">IFERROR(__xludf.DUMMYFUNCTION("""COMPUTED_VALUE"""),676.48)</f>
        <v>676.48</v>
      </c>
      <c r="C583" s="6">
        <f t="shared" ca="1" si="4"/>
        <v>-2.2418879056046448E-3</v>
      </c>
      <c r="D583" s="7">
        <f t="shared" ca="1" si="5"/>
        <v>1.117815752128666</v>
      </c>
    </row>
    <row r="584" spans="1:4" ht="12.75" x14ac:dyDescent="0.2">
      <c r="A584" s="8">
        <f ca="1">IFERROR(__xludf.DUMMYFUNCTION("""COMPUTED_VALUE"""),44687.6458333333)</f>
        <v>44687.645833333299</v>
      </c>
      <c r="B584" s="7">
        <f ca="1">IFERROR(__xludf.DUMMYFUNCTION("""COMPUTED_VALUE"""),658.8)</f>
        <v>658.8</v>
      </c>
      <c r="C584" s="6">
        <f t="shared" ca="1" si="4"/>
        <v>-2.6135288552507241E-2</v>
      </c>
      <c r="D584" s="7">
        <f t="shared" ca="1" si="5"/>
        <v>1.155206435944141</v>
      </c>
    </row>
    <row r="585" spans="1:4" ht="12.75" x14ac:dyDescent="0.2">
      <c r="A585" s="8">
        <f ca="1">IFERROR(__xludf.DUMMYFUNCTION("""COMPUTED_VALUE"""),44690.6458333333)</f>
        <v>44690.645833333299</v>
      </c>
      <c r="B585" s="7">
        <f ca="1">IFERROR(__xludf.DUMMYFUNCTION("""COMPUTED_VALUE"""),659.93)</f>
        <v>659.93</v>
      </c>
      <c r="C585" s="6">
        <f t="shared" ca="1" si="4"/>
        <v>1.7152398299939975E-3</v>
      </c>
      <c r="D585" s="7">
        <f t="shared" ca="1" si="5"/>
        <v>1.1445910929947116</v>
      </c>
    </row>
    <row r="586" spans="1:4" ht="12.75" x14ac:dyDescent="0.2">
      <c r="A586" s="8">
        <f ca="1">IFERROR(__xludf.DUMMYFUNCTION("""COMPUTED_VALUE"""),44691.6458333333)</f>
        <v>44691.645833333299</v>
      </c>
      <c r="B586" s="7">
        <f ca="1">IFERROR(__xludf.DUMMYFUNCTION("""COMPUTED_VALUE"""),670.53)</f>
        <v>670.53</v>
      </c>
      <c r="C586" s="6">
        <f t="shared" ca="1" si="4"/>
        <v>1.6062309638901207E-2</v>
      </c>
      <c r="D586" s="7">
        <f t="shared" ca="1" si="5"/>
        <v>1.1191892980179858</v>
      </c>
    </row>
    <row r="587" spans="1:4" ht="12.75" x14ac:dyDescent="0.2">
      <c r="A587" s="8">
        <f ca="1">IFERROR(__xludf.DUMMYFUNCTION("""COMPUTED_VALUE"""),44692.6458333333)</f>
        <v>44692.645833333299</v>
      </c>
      <c r="B587" s="7">
        <f ca="1">IFERROR(__xludf.DUMMYFUNCTION("""COMPUTED_VALUE"""),674.3)</f>
        <v>674.3</v>
      </c>
      <c r="C587" s="6">
        <f t="shared" ca="1" si="4"/>
        <v>5.6224180871846663E-3</v>
      </c>
      <c r="D587" s="7">
        <f t="shared" ca="1" si="5"/>
        <v>1.0524988877354295</v>
      </c>
    </row>
    <row r="588" spans="1:4" ht="12.75" x14ac:dyDescent="0.2">
      <c r="A588" s="8">
        <f ca="1">IFERROR(__xludf.DUMMYFUNCTION("""COMPUTED_VALUE"""),44693.6458333333)</f>
        <v>44693.645833333299</v>
      </c>
      <c r="B588" s="7">
        <f ca="1">IFERROR(__xludf.DUMMYFUNCTION("""COMPUTED_VALUE"""),651.53)</f>
        <v>651.53</v>
      </c>
      <c r="C588" s="6">
        <f t="shared" ca="1" si="4"/>
        <v>-3.3768352365415977E-2</v>
      </c>
      <c r="D588" s="7">
        <f t="shared" ca="1" si="5"/>
        <v>1.1174466256350437</v>
      </c>
    </row>
    <row r="589" spans="1:4" ht="12.75" x14ac:dyDescent="0.2">
      <c r="A589" s="8">
        <f ca="1">IFERROR(__xludf.DUMMYFUNCTION("""COMPUTED_VALUE"""),44694.6458333333)</f>
        <v>44694.645833333299</v>
      </c>
      <c r="B589" s="7">
        <f ca="1">IFERROR(__xludf.DUMMYFUNCTION("""COMPUTED_VALUE"""),645.67)</f>
        <v>645.66999999999996</v>
      </c>
      <c r="C589" s="6">
        <f t="shared" ca="1" si="4"/>
        <v>-8.9942136202477707E-3</v>
      </c>
      <c r="D589" s="7">
        <f t="shared" ca="1" si="5"/>
        <v>1.1044806170334691</v>
      </c>
    </row>
    <row r="590" spans="1:4" ht="12.75" x14ac:dyDescent="0.2">
      <c r="A590" s="8">
        <f ca="1">IFERROR(__xludf.DUMMYFUNCTION("""COMPUTED_VALUE"""),44697.6458333333)</f>
        <v>44697.645833333299</v>
      </c>
      <c r="B590" s="7">
        <f ca="1">IFERROR(__xludf.DUMMYFUNCTION("""COMPUTED_VALUE"""),652.55)</f>
        <v>652.54999999999995</v>
      </c>
      <c r="C590" s="6">
        <f t="shared" ca="1" si="4"/>
        <v>1.0655598060928861E-2</v>
      </c>
      <c r="D590" s="7">
        <f t="shared" ca="1" si="5"/>
        <v>1.0529921078844533</v>
      </c>
    </row>
    <row r="591" spans="1:4" ht="12.75" x14ac:dyDescent="0.2">
      <c r="A591" s="8">
        <f ca="1">IFERROR(__xludf.DUMMYFUNCTION("""COMPUTED_VALUE"""),44698.6458333333)</f>
        <v>44698.645833333299</v>
      </c>
      <c r="B591" s="7">
        <f ca="1">IFERROR(__xludf.DUMMYFUNCTION("""COMPUTED_VALUE"""),657)</f>
        <v>657</v>
      </c>
      <c r="C591" s="6">
        <f t="shared" ca="1" si="4"/>
        <v>6.8194008121984506E-3</v>
      </c>
      <c r="D591" s="7">
        <f t="shared" ca="1" si="5"/>
        <v>1.04337899543379</v>
      </c>
    </row>
    <row r="592" spans="1:4" ht="12.75" x14ac:dyDescent="0.2">
      <c r="A592" s="8">
        <f ca="1">IFERROR(__xludf.DUMMYFUNCTION("""COMPUTED_VALUE"""),44699.6458333333)</f>
        <v>44699.645833333299</v>
      </c>
      <c r="B592" s="7">
        <f ca="1">IFERROR(__xludf.DUMMYFUNCTION("""COMPUTED_VALUE"""),656.95)</f>
        <v>656.95</v>
      </c>
      <c r="C592" s="6">
        <f t="shared" ca="1" si="4"/>
        <v>-7.6103500760926757E-5</v>
      </c>
      <c r="D592" s="7">
        <f t="shared" ca="1" si="5"/>
        <v>1.0400334880888955</v>
      </c>
    </row>
    <row r="593" spans="1:4" ht="12.75" x14ac:dyDescent="0.2">
      <c r="A593" s="8">
        <f ca="1">IFERROR(__xludf.DUMMYFUNCTION("""COMPUTED_VALUE"""),44700.6458333333)</f>
        <v>44700.645833333299</v>
      </c>
      <c r="B593" s="7">
        <f ca="1">IFERROR(__xludf.DUMMYFUNCTION("""COMPUTED_VALUE"""),643.53)</f>
        <v>643.53</v>
      </c>
      <c r="C593" s="6">
        <f t="shared" ca="1" si="4"/>
        <v>-2.0427734226349137E-2</v>
      </c>
      <c r="D593" s="7">
        <f t="shared" ca="1" si="5"/>
        <v>1.0293226423010582</v>
      </c>
    </row>
    <row r="594" spans="1:4" ht="12.75" x14ac:dyDescent="0.2">
      <c r="A594" s="8">
        <f ca="1">IFERROR(__xludf.DUMMYFUNCTION("""COMPUTED_VALUE"""),44701.6458333333)</f>
        <v>44701.645833333299</v>
      </c>
      <c r="B594" s="7">
        <f ca="1">IFERROR(__xludf.DUMMYFUNCTION("""COMPUTED_VALUE"""),660.48)</f>
        <v>660.48</v>
      </c>
      <c r="C594" s="6">
        <f t="shared" ca="1" si="4"/>
        <v>2.6339098410330664E-2</v>
      </c>
      <c r="D594" s="7">
        <f t="shared" ca="1" si="5"/>
        <v>1.0051780523255813</v>
      </c>
    </row>
    <row r="595" spans="1:4" ht="12.75" x14ac:dyDescent="0.2">
      <c r="A595" s="8">
        <f ca="1">IFERROR(__xludf.DUMMYFUNCTION("""COMPUTED_VALUE"""),44704.6458333333)</f>
        <v>44704.645833333299</v>
      </c>
      <c r="B595" s="7">
        <f ca="1">IFERROR(__xludf.DUMMYFUNCTION("""COMPUTED_VALUE"""),652)</f>
        <v>652</v>
      </c>
      <c r="C595" s="6">
        <f t="shared" ca="1" si="4"/>
        <v>-1.2839147286821784E-2</v>
      </c>
      <c r="D595" s="7">
        <f t="shared" ca="1" si="5"/>
        <v>1.0515030674846626</v>
      </c>
    </row>
    <row r="596" spans="1:4" ht="12.75" x14ac:dyDescent="0.2">
      <c r="A596" s="8">
        <f ca="1">IFERROR(__xludf.DUMMYFUNCTION("""COMPUTED_VALUE"""),44705.6458333333)</f>
        <v>44705.645833333299</v>
      </c>
      <c r="B596" s="7">
        <f ca="1">IFERROR(__xludf.DUMMYFUNCTION("""COMPUTED_VALUE"""),659.48)</f>
        <v>659.48</v>
      </c>
      <c r="C596" s="6">
        <f t="shared" ca="1" si="4"/>
        <v>1.1472392638036899E-2</v>
      </c>
      <c r="D596" s="7">
        <f t="shared" ca="1" si="5"/>
        <v>1.0559076848426032</v>
      </c>
    </row>
    <row r="597" spans="1:4" ht="12.75" x14ac:dyDescent="0.2">
      <c r="A597" s="8">
        <f ca="1">IFERROR(__xludf.DUMMYFUNCTION("""COMPUTED_VALUE"""),44706.6458333333)</f>
        <v>44706.645833333299</v>
      </c>
      <c r="B597" s="7">
        <f ca="1">IFERROR(__xludf.DUMMYFUNCTION("""COMPUTED_VALUE"""),664.4)</f>
        <v>664.4</v>
      </c>
      <c r="C597" s="6">
        <f t="shared" ca="1" si="4"/>
        <v>7.460423363862434E-3</v>
      </c>
      <c r="D597" s="7">
        <f t="shared" ca="1" si="5"/>
        <v>1.0511739915713425</v>
      </c>
    </row>
    <row r="598" spans="1:4" ht="12.75" x14ac:dyDescent="0.2">
      <c r="A598" s="8">
        <f ca="1">IFERROR(__xludf.DUMMYFUNCTION("""COMPUTED_VALUE"""),44707.6458333333)</f>
        <v>44707.645833333299</v>
      </c>
      <c r="B598" s="7">
        <f ca="1">IFERROR(__xludf.DUMMYFUNCTION("""COMPUTED_VALUE"""),683.35)</f>
        <v>683.35</v>
      </c>
      <c r="C598" s="6">
        <f t="shared" ca="1" si="4"/>
        <v>2.8521974714027731E-2</v>
      </c>
      <c r="D598" s="7">
        <f t="shared" ca="1" si="5"/>
        <v>1.0555059632691886</v>
      </c>
    </row>
    <row r="599" spans="1:4" ht="12.75" x14ac:dyDescent="0.2">
      <c r="A599" s="8">
        <f ca="1">IFERROR(__xludf.DUMMYFUNCTION("""COMPUTED_VALUE"""),44708.6458333333)</f>
        <v>44708.645833333299</v>
      </c>
      <c r="B599" s="7">
        <f ca="1">IFERROR(__xludf.DUMMYFUNCTION("""COMPUTED_VALUE"""),696.03)</f>
        <v>696.03</v>
      </c>
      <c r="C599" s="6">
        <f t="shared" ca="1" si="4"/>
        <v>1.8555644984268538E-2</v>
      </c>
      <c r="D599" s="7">
        <f t="shared" ca="1" si="5"/>
        <v>1.0229444133155181</v>
      </c>
    </row>
    <row r="600" spans="1:4" ht="12.75" x14ac:dyDescent="0.2">
      <c r="A600" s="8">
        <f ca="1">IFERROR(__xludf.DUMMYFUNCTION("""COMPUTED_VALUE"""),44711.6458333333)</f>
        <v>44711.645833333299</v>
      </c>
      <c r="B600" s="7">
        <f ca="1">IFERROR(__xludf.DUMMYFUNCTION("""COMPUTED_VALUE"""),700.78)</f>
        <v>700.78</v>
      </c>
      <c r="C600" s="6">
        <f t="shared" ca="1" si="4"/>
        <v>6.824418487708872E-3</v>
      </c>
      <c r="D600" s="7">
        <f t="shared" ca="1" si="5"/>
        <v>1.0332486657724251</v>
      </c>
    </row>
    <row r="601" spans="1:4" ht="12.75" x14ac:dyDescent="0.2">
      <c r="A601" s="8">
        <f ca="1">IFERROR(__xludf.DUMMYFUNCTION("""COMPUTED_VALUE"""),44712.6458333333)</f>
        <v>44712.645833333299</v>
      </c>
      <c r="B601" s="7">
        <f ca="1">IFERROR(__xludf.DUMMYFUNCTION("""COMPUTED_VALUE"""),694.48)</f>
        <v>694.48</v>
      </c>
      <c r="C601" s="6">
        <f t="shared" ca="1" si="4"/>
        <v>-8.9899825908272835E-3</v>
      </c>
      <c r="D601" s="7">
        <f t="shared" ca="1" si="5"/>
        <v>1.0655886418615366</v>
      </c>
    </row>
    <row r="602" spans="1:4" ht="12.75" x14ac:dyDescent="0.2">
      <c r="A602" s="8">
        <f ca="1">IFERROR(__xludf.DUMMYFUNCTION("""COMPUTED_VALUE"""),44713.6458333333)</f>
        <v>44713.645833333299</v>
      </c>
      <c r="B602" s="7">
        <f ca="1">IFERROR(__xludf.DUMMYFUNCTION("""COMPUTED_VALUE"""),697.43)</f>
        <v>697.43</v>
      </c>
      <c r="C602" s="6">
        <f t="shared" ca="1" si="4"/>
        <v>4.2477825135351921E-3</v>
      </c>
      <c r="D602" s="7">
        <f t="shared" ca="1" si="5"/>
        <v>1.0656983496551626</v>
      </c>
    </row>
    <row r="603" spans="1:4" ht="12.75" x14ac:dyDescent="0.2">
      <c r="A603" s="8">
        <f ca="1">IFERROR(__xludf.DUMMYFUNCTION("""COMPUTED_VALUE"""),44714.6458333333)</f>
        <v>44714.645833333299</v>
      </c>
      <c r="B603" s="7">
        <f ca="1">IFERROR(__xludf.DUMMYFUNCTION("""COMPUTED_VALUE"""),692.55)</f>
        <v>692.55</v>
      </c>
      <c r="C603" s="6">
        <f t="shared" ca="1" si="4"/>
        <v>-6.997117990335977E-3</v>
      </c>
      <c r="D603" s="7">
        <f t="shared" ca="1" si="5"/>
        <v>1.0787379972565159</v>
      </c>
    </row>
    <row r="604" spans="1:4" ht="12.75" x14ac:dyDescent="0.2">
      <c r="A604" s="8">
        <f ca="1">IFERROR(__xludf.DUMMYFUNCTION("""COMPUTED_VALUE"""),44715.6458333333)</f>
        <v>44715.645833333299</v>
      </c>
      <c r="B604" s="7">
        <f ca="1">IFERROR(__xludf.DUMMYFUNCTION("""COMPUTED_VALUE"""),690.15)</f>
        <v>690.15</v>
      </c>
      <c r="C604" s="6">
        <f t="shared" ca="1" si="4"/>
        <v>-3.4654537578513445E-3</v>
      </c>
      <c r="D604" s="7">
        <f t="shared" ca="1" si="5"/>
        <v>1.0716945591538072</v>
      </c>
    </row>
    <row r="605" spans="1:4" ht="12.75" x14ac:dyDescent="0.2">
      <c r="A605" s="8">
        <f ca="1">IFERROR(__xludf.DUMMYFUNCTION("""COMPUTED_VALUE"""),44718.6458333333)</f>
        <v>44718.645833333299</v>
      </c>
      <c r="B605" s="7">
        <f ca="1">IFERROR(__xludf.DUMMYFUNCTION("""COMPUTED_VALUE"""),689.23)</f>
        <v>689.23</v>
      </c>
      <c r="C605" s="6">
        <f t="shared" ca="1" si="4"/>
        <v>-1.3330435412590713E-3</v>
      </c>
      <c r="D605" s="7">
        <f t="shared" ca="1" si="5"/>
        <v>1.0465737126938759</v>
      </c>
    </row>
    <row r="606" spans="1:4" ht="12.75" x14ac:dyDescent="0.2">
      <c r="A606" s="8">
        <f ca="1">IFERROR(__xludf.DUMMYFUNCTION("""COMPUTED_VALUE"""),44719.6458333333)</f>
        <v>44719.645833333299</v>
      </c>
      <c r="B606" s="7">
        <f ca="1">IFERROR(__xludf.DUMMYFUNCTION("""COMPUTED_VALUE"""),681.3)</f>
        <v>681.3</v>
      </c>
      <c r="C606" s="6">
        <f t="shared" ca="1" si="4"/>
        <v>-1.1505593198206765E-2</v>
      </c>
      <c r="D606" s="7">
        <f t="shared" ca="1" si="5"/>
        <v>1.0501247614853957</v>
      </c>
    </row>
    <row r="607" spans="1:4" ht="12.75" x14ac:dyDescent="0.2">
      <c r="A607" s="8">
        <f ca="1">IFERROR(__xludf.DUMMYFUNCTION("""COMPUTED_VALUE"""),44720.6458333333)</f>
        <v>44720.645833333299</v>
      </c>
      <c r="B607" s="7">
        <f ca="1">IFERROR(__xludf.DUMMYFUNCTION("""COMPUTED_VALUE"""),683.7)</f>
        <v>683.7</v>
      </c>
      <c r="C607" s="6">
        <f t="shared" ca="1" si="4"/>
        <v>3.522677234698568E-3</v>
      </c>
      <c r="D607" s="7">
        <f t="shared" ca="1" si="5"/>
        <v>1.0478279947345326</v>
      </c>
    </row>
    <row r="608" spans="1:4" ht="12.75" x14ac:dyDescent="0.2">
      <c r="A608" s="8">
        <f ca="1">IFERROR(__xludf.DUMMYFUNCTION("""COMPUTED_VALUE"""),44721.6458333333)</f>
        <v>44721.645833333299</v>
      </c>
      <c r="B608" s="7">
        <f ca="1">IFERROR(__xludf.DUMMYFUNCTION("""COMPUTED_VALUE"""),688.85)</f>
        <v>688.85</v>
      </c>
      <c r="C608" s="6">
        <f t="shared" ca="1" si="4"/>
        <v>7.5325435132367335E-3</v>
      </c>
      <c r="D608" s="7">
        <f t="shared" ca="1" si="5"/>
        <v>1.0537852943311314</v>
      </c>
    </row>
    <row r="609" spans="1:4" ht="12.75" x14ac:dyDescent="0.2">
      <c r="A609" s="8">
        <f ca="1">IFERROR(__xludf.DUMMYFUNCTION("""COMPUTED_VALUE"""),44722.6458333333)</f>
        <v>44722.645833333299</v>
      </c>
      <c r="B609" s="7">
        <f ca="1">IFERROR(__xludf.DUMMYFUNCTION("""COMPUTED_VALUE"""),675.55)</f>
        <v>675.55</v>
      </c>
      <c r="C609" s="6">
        <f t="shared" ca="1" si="4"/>
        <v>-1.9307541554765328E-2</v>
      </c>
      <c r="D609" s="7">
        <f t="shared" ca="1" si="5"/>
        <v>1.0931537265931464</v>
      </c>
    </row>
    <row r="610" spans="1:4" ht="12.75" x14ac:dyDescent="0.2">
      <c r="A610" s="8">
        <f ca="1">IFERROR(__xludf.DUMMYFUNCTION("""COMPUTED_VALUE"""),44725.6458333333)</f>
        <v>44725.645833333299</v>
      </c>
      <c r="B610" s="7">
        <f ca="1">IFERROR(__xludf.DUMMYFUNCTION("""COMPUTED_VALUE"""),663.3)</f>
        <v>663.3</v>
      </c>
      <c r="C610" s="6">
        <f t="shared" ca="1" si="4"/>
        <v>-1.8133372807342174E-2</v>
      </c>
      <c r="D610" s="7">
        <f t="shared" ca="1" si="5"/>
        <v>1.1083672546359113</v>
      </c>
    </row>
    <row r="611" spans="1:4" ht="12.75" x14ac:dyDescent="0.2">
      <c r="A611" s="8">
        <f ca="1">IFERROR(__xludf.DUMMYFUNCTION("""COMPUTED_VALUE"""),44726.6458333333)</f>
        <v>44726.645833333299</v>
      </c>
      <c r="B611" s="7">
        <f ca="1">IFERROR(__xludf.DUMMYFUNCTION("""COMPUTED_VALUE"""),656)</f>
        <v>656</v>
      </c>
      <c r="C611" s="6">
        <f t="shared" ca="1" si="4"/>
        <v>-1.1005578169757224E-2</v>
      </c>
      <c r="D611" s="7">
        <f t="shared" ca="1" si="5"/>
        <v>1.1478658536585367</v>
      </c>
    </row>
    <row r="612" spans="1:4" ht="12.75" x14ac:dyDescent="0.2">
      <c r="A612" s="8">
        <f ca="1">IFERROR(__xludf.DUMMYFUNCTION("""COMPUTED_VALUE"""),44727.6458333333)</f>
        <v>44727.645833333299</v>
      </c>
      <c r="B612" s="7">
        <f ca="1">IFERROR(__xludf.DUMMYFUNCTION("""COMPUTED_VALUE"""),653.73)</f>
        <v>653.73</v>
      </c>
      <c r="C612" s="6">
        <f t="shared" ca="1" si="4"/>
        <v>-3.460365853658498E-3</v>
      </c>
      <c r="D612" s="7">
        <f t="shared" ca="1" si="5"/>
        <v>1.2671898184265675</v>
      </c>
    </row>
    <row r="613" spans="1:4" ht="12.75" x14ac:dyDescent="0.2">
      <c r="A613" s="8">
        <f ca="1">IFERROR(__xludf.DUMMYFUNCTION("""COMPUTED_VALUE"""),44728.6458333333)</f>
        <v>44728.645833333299</v>
      </c>
      <c r="B613" s="7">
        <f ca="1">IFERROR(__xludf.DUMMYFUNCTION("""COMPUTED_VALUE"""),640.65)</f>
        <v>640.65</v>
      </c>
      <c r="C613" s="6">
        <f t="shared" ca="1" si="4"/>
        <v>-2.0008260290945823E-2</v>
      </c>
      <c r="D613" s="7">
        <f t="shared" ca="1" si="5"/>
        <v>1.2551783345040195</v>
      </c>
    </row>
    <row r="614" spans="1:4" ht="12.75" x14ac:dyDescent="0.2">
      <c r="A614" s="8">
        <f ca="1">IFERROR(__xludf.DUMMYFUNCTION("""COMPUTED_VALUE"""),44729.6458333333)</f>
        <v>44729.645833333299</v>
      </c>
      <c r="B614" s="7">
        <f ca="1">IFERROR(__xludf.DUMMYFUNCTION("""COMPUTED_VALUE"""),644.88)</f>
        <v>644.88</v>
      </c>
      <c r="C614" s="6">
        <f t="shared" ca="1" si="4"/>
        <v>6.6026691641301039E-3</v>
      </c>
      <c r="D614" s="7">
        <f t="shared" ca="1" si="5"/>
        <v>1.2024407641731794</v>
      </c>
    </row>
    <row r="615" spans="1:4" ht="12.75" x14ac:dyDescent="0.2">
      <c r="A615" s="8">
        <f ca="1">IFERROR(__xludf.DUMMYFUNCTION("""COMPUTED_VALUE"""),44732.6458333333)</f>
        <v>44732.645833333299</v>
      </c>
      <c r="B615" s="7">
        <f ca="1">IFERROR(__xludf.DUMMYFUNCTION("""COMPUTED_VALUE"""),661.08)</f>
        <v>661.08</v>
      </c>
      <c r="C615" s="6">
        <f t="shared" ca="1" si="4"/>
        <v>2.512095273539261E-2</v>
      </c>
      <c r="D615" s="7">
        <f t="shared" ca="1" si="5"/>
        <v>1.1471833968657348</v>
      </c>
    </row>
    <row r="616" spans="1:4" ht="12.75" x14ac:dyDescent="0.2">
      <c r="A616" s="8">
        <f ca="1">IFERROR(__xludf.DUMMYFUNCTION("""COMPUTED_VALUE"""),44733.6458333333)</f>
        <v>44733.645833333299</v>
      </c>
      <c r="B616" s="7">
        <f ca="1">IFERROR(__xludf.DUMMYFUNCTION("""COMPUTED_VALUE"""),668.28)</f>
        <v>668.28</v>
      </c>
      <c r="C616" s="6">
        <f t="shared" ca="1" si="4"/>
        <v>1.0891268832818879E-2</v>
      </c>
      <c r="D616" s="7">
        <f t="shared" ca="1" si="5"/>
        <v>1.1332525288801103</v>
      </c>
    </row>
    <row r="617" spans="1:4" ht="12.75" x14ac:dyDescent="0.2">
      <c r="A617" s="8">
        <f ca="1">IFERROR(__xludf.DUMMYFUNCTION("""COMPUTED_VALUE"""),44734.6458333333)</f>
        <v>44734.645833333299</v>
      </c>
      <c r="B617" s="7">
        <f ca="1">IFERROR(__xludf.DUMMYFUNCTION("""COMPUTED_VALUE"""),665.13)</f>
        <v>665.13</v>
      </c>
      <c r="C617" s="6">
        <f t="shared" ca="1" si="4"/>
        <v>-4.7135931046866641E-3</v>
      </c>
      <c r="D617" s="7">
        <f t="shared" ca="1" si="5"/>
        <v>1.1247124622254296</v>
      </c>
    </row>
    <row r="618" spans="1:4" ht="12.75" x14ac:dyDescent="0.2">
      <c r="A618" s="8">
        <f ca="1">IFERROR(__xludf.DUMMYFUNCTION("""COMPUTED_VALUE"""),44735.6458333333)</f>
        <v>44735.645833333299</v>
      </c>
      <c r="B618" s="7">
        <f ca="1">IFERROR(__xludf.DUMMYFUNCTION("""COMPUTED_VALUE"""),667.58)</f>
        <v>667.58</v>
      </c>
      <c r="C618" s="6">
        <f t="shared" ca="1" si="4"/>
        <v>3.6834904454770001E-3</v>
      </c>
      <c r="D618" s="7">
        <f t="shared" ca="1" si="5"/>
        <v>1.1185925282363163</v>
      </c>
    </row>
    <row r="619" spans="1:4" ht="12.75" x14ac:dyDescent="0.2">
      <c r="A619" s="8">
        <f ca="1">IFERROR(__xludf.DUMMYFUNCTION("""COMPUTED_VALUE"""),44736.6458333333)</f>
        <v>44736.645833333299</v>
      </c>
      <c r="B619" s="7">
        <f ca="1">IFERROR(__xludf.DUMMYFUNCTION("""COMPUTED_VALUE"""),676.9)</f>
        <v>676.9</v>
      </c>
      <c r="C619" s="6">
        <f t="shared" ca="1" si="4"/>
        <v>1.3960873603163559E-2</v>
      </c>
      <c r="D619" s="7">
        <f t="shared" ca="1" si="5"/>
        <v>1.0821096173733196</v>
      </c>
    </row>
    <row r="620" spans="1:4" ht="12.75" x14ac:dyDescent="0.2">
      <c r="A620" s="8">
        <f ca="1">IFERROR(__xludf.DUMMYFUNCTION("""COMPUTED_VALUE"""),44739.6458333333)</f>
        <v>44739.645833333299</v>
      </c>
      <c r="B620" s="7">
        <f ca="1">IFERROR(__xludf.DUMMYFUNCTION("""COMPUTED_VALUE"""),678.13)</f>
        <v>678.13</v>
      </c>
      <c r="C620" s="6">
        <f t="shared" ca="1" si="4"/>
        <v>1.817107401388629E-3</v>
      </c>
      <c r="D620" s="7">
        <f t="shared" ca="1" si="5"/>
        <v>1.0289030126966807</v>
      </c>
    </row>
    <row r="621" spans="1:4" ht="12.75" x14ac:dyDescent="0.2">
      <c r="A621" s="8">
        <f ca="1">IFERROR(__xludf.DUMMYFUNCTION("""COMPUTED_VALUE"""),44740.6458333333)</f>
        <v>44740.645833333299</v>
      </c>
      <c r="B621" s="7">
        <f ca="1">IFERROR(__xludf.DUMMYFUNCTION("""COMPUTED_VALUE"""),672.95)</f>
        <v>672.95</v>
      </c>
      <c r="C621" s="6">
        <f t="shared" ca="1" si="4"/>
        <v>-7.6386533555512504E-3</v>
      </c>
      <c r="D621" s="7">
        <f t="shared" ca="1" si="5"/>
        <v>0.99725091017163237</v>
      </c>
    </row>
    <row r="622" spans="1:4" ht="12.75" x14ac:dyDescent="0.2">
      <c r="A622" s="8">
        <f ca="1">IFERROR(__xludf.DUMMYFUNCTION("""COMPUTED_VALUE"""),44741.6458333333)</f>
        <v>44741.645833333299</v>
      </c>
      <c r="B622" s="7">
        <f ca="1">IFERROR(__xludf.DUMMYFUNCTION("""COMPUTED_VALUE"""),671.98)</f>
        <v>671.98</v>
      </c>
      <c r="C622" s="6">
        <f t="shared" ca="1" si="4"/>
        <v>-1.4414146667657279E-3</v>
      </c>
      <c r="D622" s="7">
        <f t="shared" ca="1" si="5"/>
        <v>1.0076936813595643</v>
      </c>
    </row>
    <row r="623" spans="1:4" ht="12.75" x14ac:dyDescent="0.2">
      <c r="A623" s="8">
        <f ca="1">IFERROR(__xludf.DUMMYFUNCTION("""COMPUTED_VALUE"""),44742.6458333333)</f>
        <v>44742.645833333299</v>
      </c>
      <c r="B623" s="7">
        <f ca="1">IFERROR(__xludf.DUMMYFUNCTION("""COMPUTED_VALUE"""),674)</f>
        <v>674</v>
      </c>
      <c r="C623" s="6">
        <f t="shared" ca="1" si="4"/>
        <v>3.0060418464834537E-3</v>
      </c>
      <c r="D623" s="7">
        <f t="shared" ca="1" si="5"/>
        <v>1.0195548961424332</v>
      </c>
    </row>
    <row r="624" spans="1:4" ht="12.75" x14ac:dyDescent="0.2">
      <c r="A624" s="8">
        <f ca="1">IFERROR(__xludf.DUMMYFUNCTION("""COMPUTED_VALUE"""),44743.6458333333)</f>
        <v>44743.645833333299</v>
      </c>
      <c r="B624" s="7">
        <f ca="1">IFERROR(__xludf.DUMMYFUNCTION("""COMPUTED_VALUE"""),676.88)</f>
        <v>676.88</v>
      </c>
      <c r="C624" s="6">
        <f t="shared" ca="1" si="4"/>
        <v>4.2729970326409461E-3</v>
      </c>
      <c r="D624" s="7">
        <f t="shared" ca="1" si="5"/>
        <v>1.0013591774021982</v>
      </c>
    </row>
    <row r="625" spans="1:4" ht="12.75" x14ac:dyDescent="0.2">
      <c r="A625" s="8">
        <f ca="1">IFERROR(__xludf.DUMMYFUNCTION("""COMPUTED_VALUE"""),44746.6458333333)</f>
        <v>44746.645833333299</v>
      </c>
      <c r="B625" s="7">
        <f ca="1">IFERROR(__xludf.DUMMYFUNCTION("""COMPUTED_VALUE"""),677.83)</f>
        <v>677.83</v>
      </c>
      <c r="C625" s="6">
        <f t="shared" ca="1" si="4"/>
        <v>1.4034984044439813E-3</v>
      </c>
      <c r="D625" s="7">
        <f t="shared" ca="1" si="5"/>
        <v>1.0074502456368115</v>
      </c>
    </row>
    <row r="626" spans="1:4" ht="12.75" x14ac:dyDescent="0.2">
      <c r="A626" s="8">
        <f ca="1">IFERROR(__xludf.DUMMYFUNCTION("""COMPUTED_VALUE"""),44747.6458333333)</f>
        <v>44747.645833333299</v>
      </c>
      <c r="B626" s="7">
        <f ca="1">IFERROR(__xludf.DUMMYFUNCTION("""COMPUTED_VALUE"""),676.3)</f>
        <v>676.3</v>
      </c>
      <c r="C626" s="6">
        <f t="shared" ca="1" si="4"/>
        <v>-2.2572031335291731E-3</v>
      </c>
      <c r="D626" s="7">
        <f t="shared" ca="1" si="5"/>
        <v>1.0143871063137662</v>
      </c>
    </row>
    <row r="627" spans="1:4" ht="12.75" x14ac:dyDescent="0.2">
      <c r="A627" s="8">
        <f ca="1">IFERROR(__xludf.DUMMYFUNCTION("""COMPUTED_VALUE"""),44748.6458333333)</f>
        <v>44748.645833333299</v>
      </c>
      <c r="B627" s="7">
        <f ca="1">IFERROR(__xludf.DUMMYFUNCTION("""COMPUTED_VALUE"""),685.63)</f>
        <v>685.63</v>
      </c>
      <c r="C627" s="6">
        <f t="shared" ca="1" si="4"/>
        <v>1.3795652816797288E-2</v>
      </c>
      <c r="D627" s="7">
        <f t="shared" ca="1" si="5"/>
        <v>1.000948033195747</v>
      </c>
    </row>
    <row r="628" spans="1:4" ht="12.75" x14ac:dyDescent="0.2">
      <c r="A628" s="8">
        <f ca="1">IFERROR(__xludf.DUMMYFUNCTION("""COMPUTED_VALUE"""),44749.6458333333)</f>
        <v>44749.645833333299</v>
      </c>
      <c r="B628" s="7">
        <f ca="1">IFERROR(__xludf.DUMMYFUNCTION("""COMPUTED_VALUE"""),697.9)</f>
        <v>697.9</v>
      </c>
      <c r="C628" s="6">
        <f t="shared" ca="1" si="4"/>
        <v>1.7895949710485137E-2</v>
      </c>
      <c r="D628" s="7">
        <f t="shared" ca="1" si="5"/>
        <v>0.9824903281272388</v>
      </c>
    </row>
    <row r="629" spans="1:4" ht="12.75" x14ac:dyDescent="0.2">
      <c r="A629" s="8">
        <f ca="1">IFERROR(__xludf.DUMMYFUNCTION("""COMPUTED_VALUE"""),44750.6458333333)</f>
        <v>44750.645833333299</v>
      </c>
      <c r="B629" s="7">
        <f ca="1">IFERROR(__xludf.DUMMYFUNCTION("""COMPUTED_VALUE"""),698.55)</f>
        <v>698.55</v>
      </c>
      <c r="C629" s="6">
        <f t="shared" ca="1" si="4"/>
        <v>9.3136552514683224E-4</v>
      </c>
      <c r="D629" s="7">
        <f t="shared" ca="1" si="5"/>
        <v>0.99105289528308638</v>
      </c>
    </row>
    <row r="630" spans="1:4" ht="12.75" x14ac:dyDescent="0.2">
      <c r="A630" s="8">
        <f ca="1">IFERROR(__xludf.DUMMYFUNCTION("""COMPUTED_VALUE"""),44753.6458333333)</f>
        <v>44753.645833333299</v>
      </c>
      <c r="B630" s="7">
        <f ca="1">IFERROR(__xludf.DUMMYFUNCTION("""COMPUTED_VALUE"""),703.08)</f>
        <v>703.08</v>
      </c>
      <c r="C630" s="6">
        <f t="shared" ca="1" si="4"/>
        <v>6.4848614988191056E-3</v>
      </c>
      <c r="D630" s="7">
        <f t="shared" ca="1" si="5"/>
        <v>0.99825055470216761</v>
      </c>
    </row>
    <row r="631" spans="1:4" ht="12.75" x14ac:dyDescent="0.2">
      <c r="A631" s="8">
        <f ca="1">IFERROR(__xludf.DUMMYFUNCTION("""COMPUTED_VALUE"""),44754.6458333333)</f>
        <v>44754.645833333299</v>
      </c>
      <c r="B631" s="7">
        <f ca="1">IFERROR(__xludf.DUMMYFUNCTION("""COMPUTED_VALUE"""),695.9)</f>
        <v>695.9</v>
      </c>
      <c r="C631" s="6">
        <f t="shared" ca="1" si="4"/>
        <v>-1.0212209136940431E-2</v>
      </c>
      <c r="D631" s="7">
        <f t="shared" ca="1" si="5"/>
        <v>0.97427791349331805</v>
      </c>
    </row>
    <row r="632" spans="1:4" ht="12.75" x14ac:dyDescent="0.2">
      <c r="A632" s="8">
        <f ca="1">IFERROR(__xludf.DUMMYFUNCTION("""COMPUTED_VALUE"""),44755.6458333333)</f>
        <v>44755.645833333299</v>
      </c>
      <c r="B632" s="7">
        <f ca="1">IFERROR(__xludf.DUMMYFUNCTION("""COMPUTED_VALUE"""),678.93)</f>
        <v>678.93</v>
      </c>
      <c r="C632" s="6">
        <f t="shared" ca="1" si="4"/>
        <v>-2.4385687598793004E-2</v>
      </c>
      <c r="D632" s="7">
        <f t="shared" ca="1" si="5"/>
        <v>0.99639138055469645</v>
      </c>
    </row>
    <row r="633" spans="1:4" ht="12.75" x14ac:dyDescent="0.2">
      <c r="A633" s="8">
        <f ca="1">IFERROR(__xludf.DUMMYFUNCTION("""COMPUTED_VALUE"""),44756.6458333333)</f>
        <v>44756.645833333299</v>
      </c>
      <c r="B633" s="7">
        <f ca="1">IFERROR(__xludf.DUMMYFUNCTION("""COMPUTED_VALUE"""),675.53)</f>
        <v>675.53</v>
      </c>
      <c r="C633" s="6">
        <f t="shared" ca="1" si="4"/>
        <v>-5.0078800465438444E-3</v>
      </c>
      <c r="D633" s="7">
        <f t="shared" ca="1" si="5"/>
        <v>0.97523426050656514</v>
      </c>
    </row>
    <row r="634" spans="1:4" ht="12.75" x14ac:dyDescent="0.2">
      <c r="A634" s="8">
        <f ca="1">IFERROR(__xludf.DUMMYFUNCTION("""COMPUTED_VALUE"""),44757.6458333333)</f>
        <v>44757.645833333299</v>
      </c>
      <c r="B634" s="7">
        <f ca="1">IFERROR(__xludf.DUMMYFUNCTION("""COMPUTED_VALUE"""),681.03)</f>
        <v>681.03</v>
      </c>
      <c r="C634" s="6">
        <f t="shared" ca="1" si="4"/>
        <v>8.1417553624560934E-3</v>
      </c>
      <c r="D634" s="7">
        <f t="shared" ca="1" si="5"/>
        <v>0.96901751758366006</v>
      </c>
    </row>
    <row r="635" spans="1:4" ht="12.75" x14ac:dyDescent="0.2">
      <c r="A635" s="8">
        <f ca="1">IFERROR(__xludf.DUMMYFUNCTION("""COMPUTED_VALUE"""),44760.6458333333)</f>
        <v>44760.645833333299</v>
      </c>
      <c r="B635" s="7">
        <f ca="1">IFERROR(__xludf.DUMMYFUNCTION("""COMPUTED_VALUE"""),673.78)</f>
        <v>673.78</v>
      </c>
      <c r="C635" s="6">
        <f t="shared" ca="1" si="4"/>
        <v>-1.0645639692818176E-2</v>
      </c>
      <c r="D635" s="7">
        <f t="shared" ca="1" si="5"/>
        <v>0.99517646709608476</v>
      </c>
    </row>
    <row r="636" spans="1:4" ht="12.75" x14ac:dyDescent="0.2">
      <c r="A636" s="8">
        <f ca="1">IFERROR(__xludf.DUMMYFUNCTION("""COMPUTED_VALUE"""),44761.6458333333)</f>
        <v>44761.645833333299</v>
      </c>
      <c r="B636" s="7">
        <f ca="1">IFERROR(__xludf.DUMMYFUNCTION("""COMPUTED_VALUE"""),674.03)</f>
        <v>674.03</v>
      </c>
      <c r="C636" s="6">
        <f t="shared" ca="1" si="4"/>
        <v>3.7104099260876211E-4</v>
      </c>
      <c r="D636" s="7">
        <f t="shared" ca="1" si="5"/>
        <v>1.0004005756420338</v>
      </c>
    </row>
    <row r="637" spans="1:4" ht="12.75" x14ac:dyDescent="0.2">
      <c r="A637" s="8">
        <f ca="1">IFERROR(__xludf.DUMMYFUNCTION("""COMPUTED_VALUE"""),44762.6458333333)</f>
        <v>44762.645833333299</v>
      </c>
      <c r="B637" s="7">
        <f ca="1">IFERROR(__xludf.DUMMYFUNCTION("""COMPUTED_VALUE"""),682.53)</f>
        <v>682.53</v>
      </c>
      <c r="C637" s="6">
        <f t="shared" ca="1" si="4"/>
        <v>1.2610714656617672E-2</v>
      </c>
      <c r="D637" s="7">
        <f t="shared" ca="1" si="5"/>
        <v>0.95458075102925877</v>
      </c>
    </row>
    <row r="638" spans="1:4" ht="12.75" x14ac:dyDescent="0.2">
      <c r="A638" s="8">
        <f ca="1">IFERROR(__xludf.DUMMYFUNCTION("""COMPUTED_VALUE"""),44763.6458333333)</f>
        <v>44763.645833333299</v>
      </c>
      <c r="B638" s="7">
        <f ca="1">IFERROR(__xludf.DUMMYFUNCTION("""COMPUTED_VALUE"""),680.38)</f>
        <v>680.38</v>
      </c>
      <c r="C638" s="6">
        <f t="shared" ca="1" si="4"/>
        <v>-3.1500446866804532E-3</v>
      </c>
      <c r="D638" s="7">
        <f t="shared" ca="1" si="5"/>
        <v>0.94898439107557531</v>
      </c>
    </row>
    <row r="639" spans="1:4" ht="12.75" x14ac:dyDescent="0.2">
      <c r="A639" s="8">
        <f ca="1">IFERROR(__xludf.DUMMYFUNCTION("""COMPUTED_VALUE"""),44764.6458333333)</f>
        <v>44764.645833333299</v>
      </c>
      <c r="B639" s="7">
        <f ca="1">IFERROR(__xludf.DUMMYFUNCTION("""COMPUTED_VALUE"""),696.25)</f>
        <v>696.25</v>
      </c>
      <c r="C639" s="6">
        <f t="shared" ca="1" si="4"/>
        <v>2.3325200623181219E-2</v>
      </c>
      <c r="D639" s="7">
        <f t="shared" ca="1" si="5"/>
        <v>0.93723518850987431</v>
      </c>
    </row>
    <row r="640" spans="1:4" ht="12.75" x14ac:dyDescent="0.2">
      <c r="A640" s="8">
        <f ca="1">IFERROR(__xludf.DUMMYFUNCTION("""COMPUTED_VALUE"""),44767.6458333333)</f>
        <v>44767.645833333299</v>
      </c>
      <c r="B640" s="7">
        <f ca="1">IFERROR(__xludf.DUMMYFUNCTION("""COMPUTED_VALUE"""),698.3)</f>
        <v>698.3</v>
      </c>
      <c r="C640" s="6">
        <f t="shared" ca="1" si="4"/>
        <v>2.9443447037700299E-3</v>
      </c>
      <c r="D640" s="7">
        <f t="shared" ca="1" si="5"/>
        <v>0.94085636545897189</v>
      </c>
    </row>
    <row r="641" spans="1:4" ht="12.75" x14ac:dyDescent="0.2">
      <c r="A641" s="8">
        <f ca="1">IFERROR(__xludf.DUMMYFUNCTION("""COMPUTED_VALUE"""),44768.6458333333)</f>
        <v>44768.645833333299</v>
      </c>
      <c r="B641" s="7">
        <f ca="1">IFERROR(__xludf.DUMMYFUNCTION("""COMPUTED_VALUE"""),696.88)</f>
        <v>696.88</v>
      </c>
      <c r="C641" s="6">
        <f t="shared" ca="1" si="4"/>
        <v>-2.0335099527423184E-3</v>
      </c>
      <c r="D641" s="7">
        <f t="shared" ca="1" si="5"/>
        <v>0.94270175639995413</v>
      </c>
    </row>
    <row r="642" spans="1:4" ht="12.75" x14ac:dyDescent="0.2">
      <c r="A642" s="8">
        <f ca="1">IFERROR(__xludf.DUMMYFUNCTION("""COMPUTED_VALUE"""),44769.6458333333)</f>
        <v>44769.645833333299</v>
      </c>
      <c r="B642" s="7">
        <f ca="1">IFERROR(__xludf.DUMMYFUNCTION("""COMPUTED_VALUE"""),702.2)</f>
        <v>702.2</v>
      </c>
      <c r="C642" s="6">
        <f t="shared" ca="1" si="4"/>
        <v>7.6340259442084779E-3</v>
      </c>
      <c r="D642" s="7">
        <f t="shared" ca="1" si="5"/>
        <v>0.91644830532611776</v>
      </c>
    </row>
    <row r="643" spans="1:4" ht="12.75" x14ac:dyDescent="0.2">
      <c r="A643" s="8">
        <f ca="1">IFERROR(__xludf.DUMMYFUNCTION("""COMPUTED_VALUE"""),44770.6458333333)</f>
        <v>44770.645833333299</v>
      </c>
      <c r="B643" s="7">
        <f ca="1">IFERROR(__xludf.DUMMYFUNCTION("""COMPUTED_VALUE"""),708.43)</f>
        <v>708.43</v>
      </c>
      <c r="C643" s="6">
        <f t="shared" ca="1" si="4"/>
        <v>8.8721162062088688E-3</v>
      </c>
      <c r="D643" s="7">
        <f t="shared" ca="1" si="5"/>
        <v>0.93231511934841838</v>
      </c>
    </row>
    <row r="644" spans="1:4" ht="12.75" x14ac:dyDescent="0.2">
      <c r="A644" s="8">
        <f ca="1">IFERROR(__xludf.DUMMYFUNCTION("""COMPUTED_VALUE"""),44771.6458333333)</f>
        <v>44771.645833333299</v>
      </c>
      <c r="B644" s="7">
        <f ca="1">IFERROR(__xludf.DUMMYFUNCTION("""COMPUTED_VALUE"""),717.1)</f>
        <v>717.1</v>
      </c>
      <c r="C644" s="6">
        <f t="shared" ca="1" si="4"/>
        <v>1.2238329827929384E-2</v>
      </c>
      <c r="D644" s="7">
        <f t="shared" ca="1" si="5"/>
        <v>0.90921768233161337</v>
      </c>
    </row>
    <row r="645" spans="1:4" ht="12.75" x14ac:dyDescent="0.2">
      <c r="A645" s="8">
        <f ca="1">IFERROR(__xludf.DUMMYFUNCTION("""COMPUTED_VALUE"""),44774.6458333333)</f>
        <v>44774.645833333299</v>
      </c>
      <c r="B645" s="7">
        <f ca="1">IFERROR(__xludf.DUMMYFUNCTION("""COMPUTED_VALUE"""),723.08)</f>
        <v>723.08</v>
      </c>
      <c r="C645" s="6">
        <f t="shared" ca="1" si="4"/>
        <v>8.3391437735322871E-3</v>
      </c>
      <c r="D645" s="7">
        <f t="shared" ca="1" si="5"/>
        <v>0.9120429274769043</v>
      </c>
    </row>
    <row r="646" spans="1:4" ht="12.75" x14ac:dyDescent="0.2">
      <c r="A646" s="8">
        <f ca="1">IFERROR(__xludf.DUMMYFUNCTION("""COMPUTED_VALUE"""),44775.6458333333)</f>
        <v>44775.645833333299</v>
      </c>
      <c r="B646" s="7">
        <f ca="1">IFERROR(__xludf.DUMMYFUNCTION("""COMPUTED_VALUE"""),715.13)</f>
        <v>715.13</v>
      </c>
      <c r="C646" s="6">
        <f t="shared" ca="1" si="4"/>
        <v>-1.0994634065387032E-2</v>
      </c>
      <c r="D646" s="7">
        <f t="shared" ca="1" si="5"/>
        <v>0.92906184889460652</v>
      </c>
    </row>
    <row r="647" spans="1:4" ht="12.75" x14ac:dyDescent="0.2">
      <c r="A647" s="8">
        <f ca="1">IFERROR(__xludf.DUMMYFUNCTION("""COMPUTED_VALUE"""),44776.6458333333)</f>
        <v>44776.645833333299</v>
      </c>
      <c r="B647" s="7">
        <f ca="1">IFERROR(__xludf.DUMMYFUNCTION("""COMPUTED_VALUE"""),716.8)</f>
        <v>716.8</v>
      </c>
      <c r="C647" s="6">
        <f t="shared" ca="1" si="4"/>
        <v>2.3352397466194219E-3</v>
      </c>
      <c r="D647" s="7">
        <f t="shared" ca="1" si="5"/>
        <v>0.95333426339285721</v>
      </c>
    </row>
    <row r="648" spans="1:4" ht="12.75" x14ac:dyDescent="0.2">
      <c r="A648" s="8">
        <f ca="1">IFERROR(__xludf.DUMMYFUNCTION("""COMPUTED_VALUE"""),44777.6458333333)</f>
        <v>44777.645833333299</v>
      </c>
      <c r="B648" s="7">
        <f ca="1">IFERROR(__xludf.DUMMYFUNCTION("""COMPUTED_VALUE"""),715.95)</f>
        <v>715.95</v>
      </c>
      <c r="C648" s="6">
        <f t="shared" ca="1" si="4"/>
        <v>-1.1858258928569843E-3</v>
      </c>
      <c r="D648" s="7">
        <f t="shared" ca="1" si="5"/>
        <v>0.97217682799078142</v>
      </c>
    </row>
    <row r="649" spans="1:4" ht="12.75" x14ac:dyDescent="0.2">
      <c r="A649" s="8">
        <f ca="1">IFERROR(__xludf.DUMMYFUNCTION("""COMPUTED_VALUE"""),44778.6458333333)</f>
        <v>44778.645833333299</v>
      </c>
      <c r="B649" s="7">
        <f ca="1">IFERROR(__xludf.DUMMYFUNCTION("""COMPUTED_VALUE"""),713.53)</f>
        <v>713.53</v>
      </c>
      <c r="C649" s="6">
        <f t="shared" ca="1" si="4"/>
        <v>-3.3801243103569467E-3</v>
      </c>
      <c r="D649" s="7">
        <f t="shared" ca="1" si="5"/>
        <v>0.98213109469819071</v>
      </c>
    </row>
    <row r="650" spans="1:4" ht="12.75" x14ac:dyDescent="0.2">
      <c r="A650" s="8">
        <f ca="1">IFERROR(__xludf.DUMMYFUNCTION("""COMPUTED_VALUE"""),44781.6458333333)</f>
        <v>44781.645833333299</v>
      </c>
      <c r="B650" s="7">
        <f ca="1">IFERROR(__xludf.DUMMYFUNCTION("""COMPUTED_VALUE"""),731.03)</f>
        <v>731.03</v>
      </c>
      <c r="C650" s="6">
        <f t="shared" ca="1" si="4"/>
        <v>2.4525948453463675E-2</v>
      </c>
      <c r="D650" s="7">
        <f t="shared" ca="1" si="5"/>
        <v>0.95000205189937492</v>
      </c>
    </row>
    <row r="651" spans="1:4" ht="12.75" x14ac:dyDescent="0.2">
      <c r="A651" s="8">
        <f ca="1">IFERROR(__xludf.DUMMYFUNCTION("""COMPUTED_VALUE"""),44783.6458333333)</f>
        <v>44783.645833333299</v>
      </c>
      <c r="B651" s="7">
        <f ca="1">IFERROR(__xludf.DUMMYFUNCTION("""COMPUTED_VALUE"""),733.15)</f>
        <v>733.15</v>
      </c>
      <c r="C651" s="6">
        <f t="shared" ca="1" si="4"/>
        <v>2.9000177831279839E-3</v>
      </c>
      <c r="D651" s="7">
        <f t="shared" ca="1" si="5"/>
        <v>0.95127872877310238</v>
      </c>
    </row>
    <row r="652" spans="1:4" ht="12.75" x14ac:dyDescent="0.2">
      <c r="A652" s="8">
        <f ca="1">IFERROR(__xludf.DUMMYFUNCTION("""COMPUTED_VALUE"""),44784.6458333333)</f>
        <v>44784.645833333299</v>
      </c>
      <c r="B652" s="7">
        <f ca="1">IFERROR(__xludf.DUMMYFUNCTION("""COMPUTED_VALUE"""),742.85)</f>
        <v>742.85</v>
      </c>
      <c r="C652" s="6">
        <f t="shared" ca="1" si="4"/>
        <v>1.3230580372365797E-2</v>
      </c>
      <c r="D652" s="7">
        <f t="shared" ca="1" si="5"/>
        <v>0.93228781045971587</v>
      </c>
    </row>
    <row r="653" spans="1:4" ht="12.75" x14ac:dyDescent="0.2">
      <c r="A653" s="8">
        <f ca="1">IFERROR(__xludf.DUMMYFUNCTION("""COMPUTED_VALUE"""),44785.6458333333)</f>
        <v>44785.645833333299</v>
      </c>
      <c r="B653" s="7">
        <f ca="1">IFERROR(__xludf.DUMMYFUNCTION("""COMPUTED_VALUE"""),742.58)</f>
        <v>742.58</v>
      </c>
      <c r="C653" s="6">
        <f t="shared" ca="1" si="4"/>
        <v>-3.6346503331763369E-4</v>
      </c>
      <c r="D653" s="7">
        <f t="shared" ca="1" si="5"/>
        <v>0.92939481268011515</v>
      </c>
    </row>
    <row r="654" spans="1:4" ht="12.75" x14ac:dyDescent="0.2">
      <c r="A654" s="8">
        <f ca="1">IFERROR(__xludf.DUMMYFUNCTION("""COMPUTED_VALUE"""),44789.6458333333)</f>
        <v>44789.645833333299</v>
      </c>
      <c r="B654" s="7">
        <f ca="1">IFERROR(__xludf.DUMMYFUNCTION("""COMPUTED_VALUE"""),751.08)</f>
        <v>751.08</v>
      </c>
      <c r="C654" s="6">
        <f t="shared" ca="1" si="4"/>
        <v>1.1446578146462327E-2</v>
      </c>
      <c r="D654" s="7">
        <f t="shared" ca="1" si="5"/>
        <v>0.91765191457634332</v>
      </c>
    </row>
    <row r="655" spans="1:4" ht="12.75" x14ac:dyDescent="0.2">
      <c r="A655" s="8">
        <f ca="1">IFERROR(__xludf.DUMMYFUNCTION("""COMPUTED_VALUE"""),44790.6458333333)</f>
        <v>44790.645833333299</v>
      </c>
      <c r="B655" s="7">
        <f ca="1">IFERROR(__xludf.DUMMYFUNCTION("""COMPUTED_VALUE"""),754.95)</f>
        <v>754.95</v>
      </c>
      <c r="C655" s="6">
        <f t="shared" ca="1" si="4"/>
        <v>5.1525802843905844E-3</v>
      </c>
      <c r="D655" s="7">
        <f t="shared" ca="1" si="5"/>
        <v>0.90244387045499685</v>
      </c>
    </row>
    <row r="656" spans="1:4" ht="12.75" x14ac:dyDescent="0.2">
      <c r="A656" s="8">
        <f ca="1">IFERROR(__xludf.DUMMYFUNCTION("""COMPUTED_VALUE"""),44791.6458333333)</f>
        <v>44791.645833333299</v>
      </c>
      <c r="B656" s="7">
        <f ca="1">IFERROR(__xludf.DUMMYFUNCTION("""COMPUTED_VALUE"""),755.85)</f>
        <v>755.85</v>
      </c>
      <c r="C656" s="6">
        <f t="shared" ca="1" si="4"/>
        <v>1.1921319292667043E-3</v>
      </c>
      <c r="D656" s="7">
        <f t="shared" ca="1" si="5"/>
        <v>0.90454455249057353</v>
      </c>
    </row>
    <row r="657" spans="1:4" ht="12.75" x14ac:dyDescent="0.2">
      <c r="A657" s="8">
        <f ca="1">IFERROR(__xludf.DUMMYFUNCTION("""COMPUTED_VALUE"""),44792.6458333333)</f>
        <v>44792.645833333299</v>
      </c>
      <c r="B657" s="7">
        <f ca="1">IFERROR(__xludf.DUMMYFUNCTION("""COMPUTED_VALUE"""),746.53)</f>
        <v>746.53</v>
      </c>
      <c r="C657" s="6">
        <f t="shared" ca="1" si="4"/>
        <v>-1.2330488853608546E-2</v>
      </c>
      <c r="D657" s="7">
        <f t="shared" ca="1" si="5"/>
        <v>0.92273585790256263</v>
      </c>
    </row>
    <row r="658" spans="1:4" ht="12.75" x14ac:dyDescent="0.2">
      <c r="A658" s="8">
        <f ca="1">IFERROR(__xludf.DUMMYFUNCTION("""COMPUTED_VALUE"""),44795.6458333333)</f>
        <v>44795.645833333299</v>
      </c>
      <c r="B658" s="7">
        <f ca="1">IFERROR(__xludf.DUMMYFUNCTION("""COMPUTED_VALUE"""),735.18)</f>
        <v>735.18</v>
      </c>
      <c r="C658" s="6">
        <f t="shared" ca="1" si="4"/>
        <v>-1.5203675672779471E-2</v>
      </c>
      <c r="D658" s="7">
        <f t="shared" ca="1" si="5"/>
        <v>0.91889061182295495</v>
      </c>
    </row>
    <row r="659" spans="1:4" ht="12.75" x14ac:dyDescent="0.2">
      <c r="A659" s="8">
        <f ca="1">IFERROR(__xludf.DUMMYFUNCTION("""COMPUTED_VALUE"""),44796.6458333333)</f>
        <v>44796.645833333299</v>
      </c>
      <c r="B659" s="7">
        <f ca="1">IFERROR(__xludf.DUMMYFUNCTION("""COMPUTED_VALUE"""),732.9)</f>
        <v>732.9</v>
      </c>
      <c r="C659" s="6">
        <f t="shared" ca="1" si="4"/>
        <v>-3.1012813188606714E-3</v>
      </c>
      <c r="D659" s="7">
        <f t="shared" ca="1" si="5"/>
        <v>0.90503479328694225</v>
      </c>
    </row>
    <row r="660" spans="1:4" ht="12.75" x14ac:dyDescent="0.2">
      <c r="A660" s="8">
        <f ca="1">IFERROR(__xludf.DUMMYFUNCTION("""COMPUTED_VALUE"""),44797.6458333333)</f>
        <v>44797.645833333299</v>
      </c>
      <c r="B660" s="7">
        <f ca="1">IFERROR(__xludf.DUMMYFUNCTION("""COMPUTED_VALUE"""),736.43)</f>
        <v>736.43</v>
      </c>
      <c r="C660" s="6">
        <f t="shared" ca="1" si="4"/>
        <v>4.8164824669121309E-3</v>
      </c>
      <c r="D660" s="7">
        <f t="shared" ca="1" si="5"/>
        <v>0.89078391700501069</v>
      </c>
    </row>
    <row r="661" spans="1:4" ht="12.75" x14ac:dyDescent="0.2">
      <c r="A661" s="8">
        <f ca="1">IFERROR(__xludf.DUMMYFUNCTION("""COMPUTED_VALUE"""),44798.6458333333)</f>
        <v>44798.645833333299</v>
      </c>
      <c r="B661" s="7">
        <f ca="1">IFERROR(__xludf.DUMMYFUNCTION("""COMPUTED_VALUE"""),732.43)</f>
        <v>732.43</v>
      </c>
      <c r="C661" s="6">
        <f t="shared" ca="1" si="4"/>
        <v>-5.4316092500305002E-3</v>
      </c>
      <c r="D661" s="7">
        <f t="shared" ca="1" si="5"/>
        <v>0.89254945865133883</v>
      </c>
    </row>
    <row r="662" spans="1:4" ht="12.75" x14ac:dyDescent="0.2">
      <c r="A662" s="8">
        <f ca="1">IFERROR(__xludf.DUMMYFUNCTION("""COMPUTED_VALUE"""),44799.6458333333)</f>
        <v>44799.645833333299</v>
      </c>
      <c r="B662" s="7">
        <f ca="1">IFERROR(__xludf.DUMMYFUNCTION("""COMPUTED_VALUE"""),732.55)</f>
        <v>732.55</v>
      </c>
      <c r="C662" s="6">
        <f t="shared" ca="1" si="4"/>
        <v>1.6383818248844051E-4</v>
      </c>
      <c r="D662" s="7">
        <f t="shared" ca="1" si="5"/>
        <v>0.87454781243601121</v>
      </c>
    </row>
    <row r="663" spans="1:4" ht="12.75" x14ac:dyDescent="0.2">
      <c r="A663" s="8">
        <f ca="1">IFERROR(__xludf.DUMMYFUNCTION("""COMPUTED_VALUE"""),44802.6458333333)</f>
        <v>44802.645833333299</v>
      </c>
      <c r="B663" s="7">
        <f ca="1">IFERROR(__xludf.DUMMYFUNCTION("""COMPUTED_VALUE"""),719.7)</f>
        <v>719.7</v>
      </c>
      <c r="C663" s="6">
        <f t="shared" ca="1" si="4"/>
        <v>-1.7541464746433588E-2</v>
      </c>
      <c r="D663" s="7">
        <f t="shared" ca="1" si="5"/>
        <v>0.89604001667361399</v>
      </c>
    </row>
    <row r="664" spans="1:4" ht="12.75" x14ac:dyDescent="0.2">
      <c r="A664" s="8">
        <f ca="1">IFERROR(__xludf.DUMMYFUNCTION("""COMPUTED_VALUE"""),44803.6458333333)</f>
        <v>44803.645833333299</v>
      </c>
      <c r="B664" s="7">
        <f ca="1">IFERROR(__xludf.DUMMYFUNCTION("""COMPUTED_VALUE"""),743.05)</f>
        <v>743.05</v>
      </c>
      <c r="C664" s="6">
        <f t="shared" ca="1" si="4"/>
        <v>3.2444073919688732E-2</v>
      </c>
      <c r="D664" s="7">
        <f t="shared" ca="1" si="5"/>
        <v>0.88968440885539346</v>
      </c>
    </row>
    <row r="665" spans="1:4" ht="12.75" x14ac:dyDescent="0.2">
      <c r="A665" s="8">
        <f ca="1">IFERROR(__xludf.DUMMYFUNCTION("""COMPUTED_VALUE"""),44805.6458333333)</f>
        <v>44805.645833333299</v>
      </c>
      <c r="B665" s="7">
        <f ca="1">IFERROR(__xludf.DUMMYFUNCTION("""COMPUTED_VALUE"""),736.08)</f>
        <v>736.08</v>
      </c>
      <c r="C665" s="6">
        <f t="shared" ca="1" si="4"/>
        <v>-9.380257048650753E-3</v>
      </c>
      <c r="D665" s="7">
        <f t="shared" ca="1" si="5"/>
        <v>0.90789044669057706</v>
      </c>
    </row>
    <row r="666" spans="1:4" ht="12.75" x14ac:dyDescent="0.2">
      <c r="A666" s="8">
        <f ca="1">IFERROR(__xludf.DUMMYFUNCTION("""COMPUTED_VALUE"""),44806.6458333333)</f>
        <v>44806.645833333299</v>
      </c>
      <c r="B666" s="7">
        <f ca="1">IFERROR(__xludf.DUMMYFUNCTION("""COMPUTED_VALUE"""),742.75)</f>
        <v>742.75</v>
      </c>
      <c r="C666" s="6">
        <f t="shared" ca="1" si="4"/>
        <v>9.0615150527115773E-3</v>
      </c>
      <c r="D666" s="7">
        <f t="shared" ca="1" si="5"/>
        <v>0.89549646583641873</v>
      </c>
    </row>
    <row r="667" spans="1:4" ht="12.75" x14ac:dyDescent="0.2">
      <c r="A667" s="8">
        <f ca="1">IFERROR(__xludf.DUMMYFUNCTION("""COMPUTED_VALUE"""),44809.6458333333)</f>
        <v>44809.645833333299</v>
      </c>
      <c r="B667" s="7">
        <f ca="1">IFERROR(__xludf.DUMMYFUNCTION("""COMPUTED_VALUE"""),747.53)</f>
        <v>747.53</v>
      </c>
      <c r="C667" s="6">
        <f t="shared" ca="1" si="4"/>
        <v>6.4355435880174561E-3</v>
      </c>
      <c r="D667" s="7">
        <f t="shared" ca="1" si="5"/>
        <v>0.89304777065803387</v>
      </c>
    </row>
    <row r="668" spans="1:4" ht="12.75" x14ac:dyDescent="0.2">
      <c r="A668" s="8">
        <f ca="1">IFERROR(__xludf.DUMMYFUNCTION("""COMPUTED_VALUE"""),44810.6458333333)</f>
        <v>44810.645833333299</v>
      </c>
      <c r="B668" s="7">
        <f ca="1">IFERROR(__xludf.DUMMYFUNCTION("""COMPUTED_VALUE"""),744.68)</f>
        <v>744.68</v>
      </c>
      <c r="C668" s="6">
        <f t="shared" ca="1" si="4"/>
        <v>-3.8125560178187134E-3</v>
      </c>
      <c r="D668" s="7">
        <f t="shared" ca="1" si="5"/>
        <v>0.90898103883547299</v>
      </c>
    </row>
    <row r="669" spans="1:4" ht="12.75" x14ac:dyDescent="0.2">
      <c r="A669" s="8">
        <f ca="1">IFERROR(__xludf.DUMMYFUNCTION("""COMPUTED_VALUE"""),44811.6458333333)</f>
        <v>44811.645833333299</v>
      </c>
      <c r="B669" s="7">
        <f ca="1">IFERROR(__xludf.DUMMYFUNCTION("""COMPUTED_VALUE"""),741.15)</f>
        <v>741.15</v>
      </c>
      <c r="C669" s="6">
        <f t="shared" ca="1" si="4"/>
        <v>-4.7402911317612206E-3</v>
      </c>
      <c r="D669" s="7">
        <f t="shared" ca="1" si="5"/>
        <v>0.91496997908655475</v>
      </c>
    </row>
    <row r="670" spans="1:4" ht="12.75" x14ac:dyDescent="0.2">
      <c r="A670" s="8">
        <f ca="1">IFERROR(__xludf.DUMMYFUNCTION("""COMPUTED_VALUE"""),44812.6458333333)</f>
        <v>44812.645833333299</v>
      </c>
      <c r="B670" s="7">
        <f ca="1">IFERROR(__xludf.DUMMYFUNCTION("""COMPUTED_VALUE"""),748.8)</f>
        <v>748.8</v>
      </c>
      <c r="C670" s="6">
        <f t="shared" ca="1" si="4"/>
        <v>1.0321797207043071E-2</v>
      </c>
      <c r="D670" s="7">
        <f t="shared" ca="1" si="5"/>
        <v>0.89870459401709413</v>
      </c>
    </row>
    <row r="671" spans="1:4" ht="12.75" x14ac:dyDescent="0.2">
      <c r="A671" s="8">
        <f ca="1">IFERROR(__xludf.DUMMYFUNCTION("""COMPUTED_VALUE"""),44813.6458333333)</f>
        <v>44813.645833333299</v>
      </c>
      <c r="B671" s="7">
        <f ca="1">IFERROR(__xludf.DUMMYFUNCTION("""COMPUTED_VALUE"""),749.3)</f>
        <v>749.3</v>
      </c>
      <c r="C671" s="6">
        <f t="shared" ca="1" si="4"/>
        <v>6.6773504273509587E-4</v>
      </c>
      <c r="D671" s="7">
        <f t="shared" ca="1" si="5"/>
        <v>0.89681035633257711</v>
      </c>
    </row>
    <row r="672" spans="1:4" ht="12.75" x14ac:dyDescent="0.2">
      <c r="A672" s="8">
        <f ca="1">IFERROR(__xludf.DUMMYFUNCTION("""COMPUTED_VALUE"""),44817.6458333333)</f>
        <v>44817.645833333299</v>
      </c>
      <c r="B672" s="7">
        <f ca="1">IFERROR(__xludf.DUMMYFUNCTION("""COMPUTED_VALUE"""),756.55)</f>
        <v>756.55</v>
      </c>
      <c r="C672" s="6">
        <f t="shared" ca="1" si="4"/>
        <v>9.6756973174962901E-3</v>
      </c>
      <c r="D672" s="7">
        <f t="shared" ca="1" si="5"/>
        <v>0.89088625999603466</v>
      </c>
    </row>
    <row r="673" spans="1:4" ht="12.75" x14ac:dyDescent="0.2">
      <c r="A673" s="8">
        <f ca="1">IFERROR(__xludf.DUMMYFUNCTION("""COMPUTED_VALUE"""),44818.6458333333)</f>
        <v>44818.645833333299</v>
      </c>
      <c r="B673" s="7">
        <f ca="1">IFERROR(__xludf.DUMMYFUNCTION("""COMPUTED_VALUE"""),764.33)</f>
        <v>764.33</v>
      </c>
      <c r="C673" s="6">
        <f t="shared" ca="1" si="4"/>
        <v>1.0283523891349011E-2</v>
      </c>
      <c r="D673" s="7">
        <f t="shared" ca="1" si="5"/>
        <v>0.885586068844609</v>
      </c>
    </row>
    <row r="674" spans="1:4" ht="12.75" x14ac:dyDescent="0.2">
      <c r="A674" s="8">
        <f ca="1">IFERROR(__xludf.DUMMYFUNCTION("""COMPUTED_VALUE"""),44819.6458333333)</f>
        <v>44819.645833333299</v>
      </c>
      <c r="B674" s="7">
        <f ca="1">IFERROR(__xludf.DUMMYFUNCTION("""COMPUTED_VALUE"""),760.35)</f>
        <v>760.35</v>
      </c>
      <c r="C674" s="6">
        <f t="shared" ca="1" si="4"/>
        <v>-5.2071749113602461E-3</v>
      </c>
      <c r="D674" s="7">
        <f t="shared" ca="1" si="5"/>
        <v>0.89147103307687248</v>
      </c>
    </row>
    <row r="675" spans="1:4" ht="12.75" x14ac:dyDescent="0.2">
      <c r="A675" s="8">
        <f ca="1">IFERROR(__xludf.DUMMYFUNCTION("""COMPUTED_VALUE"""),44820.6458333333)</f>
        <v>44820.645833333299</v>
      </c>
      <c r="B675" s="7">
        <f ca="1">IFERROR(__xludf.DUMMYFUNCTION("""COMPUTED_VALUE"""),746.38)</f>
        <v>746.38</v>
      </c>
      <c r="C675" s="6">
        <f t="shared" ca="1" si="4"/>
        <v>-1.8373117643190717E-2</v>
      </c>
      <c r="D675" s="7">
        <f t="shared" ca="1" si="5"/>
        <v>0.90610680886411743</v>
      </c>
    </row>
    <row r="676" spans="1:4" ht="12.75" x14ac:dyDescent="0.2">
      <c r="A676" s="8">
        <f ca="1">IFERROR(__xludf.DUMMYFUNCTION("""COMPUTED_VALUE"""),44823.6458333333)</f>
        <v>44823.645833333299</v>
      </c>
      <c r="B676" s="7">
        <f ca="1">IFERROR(__xludf.DUMMYFUNCTION("""COMPUTED_VALUE"""),751.3)</f>
        <v>751.3</v>
      </c>
      <c r="C676" s="6">
        <f t="shared" ca="1" si="4"/>
        <v>6.5918165009779539E-3</v>
      </c>
      <c r="D676" s="7">
        <f t="shared" ca="1" si="5"/>
        <v>0.91259150805270872</v>
      </c>
    </row>
    <row r="677" spans="1:4" ht="12.75" x14ac:dyDescent="0.2">
      <c r="A677" s="8">
        <f ca="1">IFERROR(__xludf.DUMMYFUNCTION("""COMPUTED_VALUE"""),44824.6458333333)</f>
        <v>44824.645833333299</v>
      </c>
      <c r="B677" s="7">
        <f ca="1">IFERROR(__xludf.DUMMYFUNCTION("""COMPUTED_VALUE"""),760.35)</f>
        <v>760.35</v>
      </c>
      <c r="C677" s="6">
        <f t="shared" ca="1" si="4"/>
        <v>1.2045787302009892E-2</v>
      </c>
      <c r="D677" s="7">
        <f t="shared" ca="1" si="5"/>
        <v>0.91786677188137034</v>
      </c>
    </row>
    <row r="678" spans="1:4" ht="12.75" x14ac:dyDescent="0.2">
      <c r="A678" s="8">
        <f ca="1">IFERROR(__xludf.DUMMYFUNCTION("""COMPUTED_VALUE"""),44825.6458333333)</f>
        <v>44825.645833333299</v>
      </c>
      <c r="B678" s="7">
        <f ca="1">IFERROR(__xludf.DUMMYFUNCTION("""COMPUTED_VALUE"""),759.18)</f>
        <v>759.18</v>
      </c>
      <c r="C678" s="6">
        <f t="shared" ca="1" si="4"/>
        <v>-1.5387650424147914E-3</v>
      </c>
      <c r="D678" s="7">
        <f t="shared" ca="1" si="5"/>
        <v>0.92013751679443612</v>
      </c>
    </row>
    <row r="679" spans="1:4" ht="12.75" x14ac:dyDescent="0.2">
      <c r="A679" s="8">
        <f ca="1">IFERROR(__xludf.DUMMYFUNCTION("""COMPUTED_VALUE"""),44826.6458333333)</f>
        <v>44826.645833333299</v>
      </c>
      <c r="B679" s="7">
        <f ca="1">IFERROR(__xludf.DUMMYFUNCTION("""COMPUTED_VALUE"""),743)</f>
        <v>743</v>
      </c>
      <c r="C679" s="6">
        <f t="shared" ca="1" si="4"/>
        <v>-2.1312468716246369E-2</v>
      </c>
      <c r="D679" s="7">
        <f t="shared" ca="1" si="5"/>
        <v>0.94627187079407815</v>
      </c>
    </row>
    <row r="680" spans="1:4" ht="12.75" x14ac:dyDescent="0.2">
      <c r="A680" s="8">
        <f ca="1">IFERROR(__xludf.DUMMYFUNCTION("""COMPUTED_VALUE"""),44827.6458333333)</f>
        <v>44827.645833333299</v>
      </c>
      <c r="B680" s="7">
        <f ca="1">IFERROR(__xludf.DUMMYFUNCTION("""COMPUTED_VALUE"""),723.08)</f>
        <v>723.08</v>
      </c>
      <c r="C680" s="6">
        <f t="shared" ca="1" si="4"/>
        <v>-2.6810228802153335E-2</v>
      </c>
      <c r="D680" s="7">
        <f t="shared" ca="1" si="5"/>
        <v>0.96241079825192222</v>
      </c>
    </row>
    <row r="681" spans="1:4" ht="12.75" x14ac:dyDescent="0.2">
      <c r="A681" s="8">
        <f ca="1">IFERROR(__xludf.DUMMYFUNCTION("""COMPUTED_VALUE"""),44830.6458333333)</f>
        <v>44830.645833333299</v>
      </c>
      <c r="B681" s="7">
        <f ca="1">IFERROR(__xludf.DUMMYFUNCTION("""COMPUTED_VALUE"""),713.33)</f>
        <v>713.33</v>
      </c>
      <c r="C681" s="6">
        <f t="shared" ca="1" si="4"/>
        <v>-1.3483985174531199E-2</v>
      </c>
      <c r="D681" s="7">
        <f t="shared" ca="1" si="5"/>
        <v>0.95177547558633435</v>
      </c>
    </row>
    <row r="682" spans="1:4" ht="12.75" x14ac:dyDescent="0.2">
      <c r="A682" s="8">
        <f ca="1">IFERROR(__xludf.DUMMYFUNCTION("""COMPUTED_VALUE"""),44831.6458333333)</f>
        <v>44831.645833333299</v>
      </c>
      <c r="B682" s="7">
        <f ca="1">IFERROR(__xludf.DUMMYFUNCTION("""COMPUTED_VALUE"""),706.93)</f>
        <v>706.93</v>
      </c>
      <c r="C682" s="6">
        <f t="shared" ca="1" si="4"/>
        <v>-8.9720045420774719E-3</v>
      </c>
      <c r="D682" s="7">
        <f t="shared" ca="1" si="5"/>
        <v>0.95558258950674047</v>
      </c>
    </row>
    <row r="683" spans="1:4" ht="12.75" x14ac:dyDescent="0.2">
      <c r="A683" s="8">
        <f ca="1">IFERROR(__xludf.DUMMYFUNCTION("""COMPUTED_VALUE"""),44832.6458333333)</f>
        <v>44832.645833333299</v>
      </c>
      <c r="B683" s="7">
        <f ca="1">IFERROR(__xludf.DUMMYFUNCTION("""COMPUTED_VALUE"""),694.78)</f>
        <v>694.78</v>
      </c>
      <c r="C683" s="6">
        <f t="shared" ca="1" si="4"/>
        <v>-1.7186991639907778E-2</v>
      </c>
      <c r="D683" s="7">
        <f t="shared" ca="1" si="5"/>
        <v>0.98020956273928439</v>
      </c>
    </row>
    <row r="684" spans="1:4" ht="12.75" x14ac:dyDescent="0.2">
      <c r="A684" s="8">
        <f ca="1">IFERROR(__xludf.DUMMYFUNCTION("""COMPUTED_VALUE"""),44833.6458333333)</f>
        <v>44833.645833333299</v>
      </c>
      <c r="B684" s="7">
        <f ca="1">IFERROR(__xludf.DUMMYFUNCTION("""COMPUTED_VALUE"""),691.18)</f>
        <v>691.18</v>
      </c>
      <c r="C684" s="6">
        <f t="shared" ca="1" si="4"/>
        <v>-5.1814963009874093E-3</v>
      </c>
      <c r="D684" s="7">
        <f t="shared" ca="1" si="5"/>
        <v>0.97482566046471253</v>
      </c>
    </row>
    <row r="685" spans="1:4" ht="12.75" x14ac:dyDescent="0.2">
      <c r="A685" s="8">
        <f ca="1">IFERROR(__xludf.DUMMYFUNCTION("""COMPUTED_VALUE"""),44834.6458333333)</f>
        <v>44834.645833333299</v>
      </c>
      <c r="B685" s="7">
        <f ca="1">IFERROR(__xludf.DUMMYFUNCTION("""COMPUTED_VALUE"""),710.68)</f>
        <v>710.68</v>
      </c>
      <c r="C685" s="6">
        <f t="shared" ca="1" si="4"/>
        <v>2.821262189299456E-2</v>
      </c>
      <c r="D685" s="7">
        <f t="shared" ca="1" si="5"/>
        <v>0.94842967298924974</v>
      </c>
    </row>
    <row r="686" spans="1:4" ht="12.75" x14ac:dyDescent="0.2">
      <c r="A686" s="8">
        <f ca="1">IFERROR(__xludf.DUMMYFUNCTION("""COMPUTED_VALUE"""),44837.6458333333)</f>
        <v>44837.645833333299</v>
      </c>
      <c r="B686" s="7">
        <f ca="1">IFERROR(__xludf.DUMMYFUNCTION("""COMPUTED_VALUE"""),706.6)</f>
        <v>706.6</v>
      </c>
      <c r="C686" s="6">
        <f t="shared" ca="1" si="4"/>
        <v>-5.7409804694095179E-3</v>
      </c>
      <c r="D686" s="7">
        <f t="shared" ca="1" si="5"/>
        <v>0.96593546560996313</v>
      </c>
    </row>
    <row r="687" spans="1:4" ht="12.75" x14ac:dyDescent="0.2">
      <c r="A687" s="8">
        <f ca="1">IFERROR(__xludf.DUMMYFUNCTION("""COMPUTED_VALUE"""),44838.6458333333)</f>
        <v>44838.645833333299</v>
      </c>
      <c r="B687" s="7">
        <f ca="1">IFERROR(__xludf.DUMMYFUNCTION("""COMPUTED_VALUE"""),726.5)</f>
        <v>726.5</v>
      </c>
      <c r="C687" s="6">
        <f t="shared" ca="1" si="4"/>
        <v>2.8163034248513963E-2</v>
      </c>
      <c r="D687" s="7">
        <f t="shared" ca="1" si="5"/>
        <v>0.93651754989676528</v>
      </c>
    </row>
    <row r="688" spans="1:4" ht="12.75" x14ac:dyDescent="0.2">
      <c r="A688" s="8">
        <f ca="1">IFERROR(__xludf.DUMMYFUNCTION("""COMPUTED_VALUE"""),44840.6458333333)</f>
        <v>44840.645833333299</v>
      </c>
      <c r="B688" s="7">
        <f ca="1">IFERROR(__xludf.DUMMYFUNCTION("""COMPUTED_VALUE"""),718.5)</f>
        <v>718.5</v>
      </c>
      <c r="C688" s="6">
        <f t="shared" ca="1" si="4"/>
        <v>-1.1011699931176899E-2</v>
      </c>
      <c r="D688" s="7">
        <f t="shared" ca="1" si="5"/>
        <v>0.96903270702853161</v>
      </c>
    </row>
    <row r="689" spans="1:4" ht="12.75" x14ac:dyDescent="0.2">
      <c r="A689" s="8">
        <f ca="1">IFERROR(__xludf.DUMMYFUNCTION("""COMPUTED_VALUE"""),44841.6458333333)</f>
        <v>44841.645833333299</v>
      </c>
      <c r="B689" s="7">
        <f ca="1">IFERROR(__xludf.DUMMYFUNCTION("""COMPUTED_VALUE"""),715.4)</f>
        <v>715.4</v>
      </c>
      <c r="C689" s="6">
        <f t="shared" ca="1" si="4"/>
        <v>-4.3145441892832315E-3</v>
      </c>
      <c r="D689" s="7">
        <f t="shared" ca="1" si="5"/>
        <v>0.97609728823036057</v>
      </c>
    </row>
    <row r="690" spans="1:4" ht="12.75" x14ac:dyDescent="0.2">
      <c r="A690" s="8">
        <f ca="1">IFERROR(__xludf.DUMMYFUNCTION("""COMPUTED_VALUE"""),44844.6458333333)</f>
        <v>44844.645833333299</v>
      </c>
      <c r="B690" s="7">
        <f ca="1">IFERROR(__xludf.DUMMYFUNCTION("""COMPUTED_VALUE"""),707.5)</f>
        <v>707.5</v>
      </c>
      <c r="C690" s="6">
        <f t="shared" ca="1" si="4"/>
        <v>-1.1042773273692963E-2</v>
      </c>
      <c r="D690" s="7">
        <f t="shared" ca="1" si="5"/>
        <v>0.98498939929328622</v>
      </c>
    </row>
    <row r="691" spans="1:4" ht="12.75" x14ac:dyDescent="0.2">
      <c r="A691" s="8">
        <f ca="1">IFERROR(__xludf.DUMMYFUNCTION("""COMPUTED_VALUE"""),44845.6458333333)</f>
        <v>44845.645833333299</v>
      </c>
      <c r="B691" s="7">
        <f ca="1">IFERROR(__xludf.DUMMYFUNCTION("""COMPUTED_VALUE"""),700.33)</f>
        <v>700.33</v>
      </c>
      <c r="C691" s="6">
        <f t="shared" ca="1" si="4"/>
        <v>-1.0134275618374544E-2</v>
      </c>
      <c r="D691" s="7">
        <f t="shared" ca="1" si="5"/>
        <v>1.002670169777105</v>
      </c>
    </row>
    <row r="692" spans="1:4" ht="12.75" x14ac:dyDescent="0.2">
      <c r="A692" s="8">
        <f ca="1">IFERROR(__xludf.DUMMYFUNCTION("""COMPUTED_VALUE"""),44846.6458333333)</f>
        <v>44846.645833333299</v>
      </c>
      <c r="B692" s="7">
        <f ca="1">IFERROR(__xludf.DUMMYFUNCTION("""COMPUTED_VALUE"""),704.9)</f>
        <v>704.9</v>
      </c>
      <c r="C692" s="6">
        <f t="shared" ca="1" si="4"/>
        <v>6.5254951237272429E-3</v>
      </c>
      <c r="D692" s="7">
        <f t="shared" ca="1" si="5"/>
        <v>1.0050078025251807</v>
      </c>
    </row>
    <row r="693" spans="1:4" ht="12.75" x14ac:dyDescent="0.2">
      <c r="A693" s="8">
        <f ca="1">IFERROR(__xludf.DUMMYFUNCTION("""COMPUTED_VALUE"""),44847.6458333333)</f>
        <v>44847.645833333299</v>
      </c>
      <c r="B693" s="7">
        <f ca="1">IFERROR(__xludf.DUMMYFUNCTION("""COMPUTED_VALUE"""),696.8)</f>
        <v>696.8</v>
      </c>
      <c r="C693" s="6">
        <f t="shared" ca="1" si="4"/>
        <v>-1.1490991630018432E-2</v>
      </c>
      <c r="D693" s="7">
        <f t="shared" ca="1" si="5"/>
        <v>1.0291331802525834</v>
      </c>
    </row>
    <row r="694" spans="1:4" ht="12.75" x14ac:dyDescent="0.2">
      <c r="A694" s="8">
        <f ca="1">IFERROR(__xludf.DUMMYFUNCTION("""COMPUTED_VALUE"""),44848.6458333333)</f>
        <v>44848.645833333299</v>
      </c>
      <c r="B694" s="7">
        <f ca="1">IFERROR(__xludf.DUMMYFUNCTION("""COMPUTED_VALUE"""),719.5)</f>
        <v>719.5</v>
      </c>
      <c r="C694" s="6">
        <f t="shared" ca="1" si="4"/>
        <v>3.25774971297359E-2</v>
      </c>
      <c r="D694" s="7">
        <f t="shared" ca="1" si="5"/>
        <v>1.004975677553857</v>
      </c>
    </row>
    <row r="695" spans="1:4" ht="12.75" x14ac:dyDescent="0.2">
      <c r="A695" s="8">
        <f ca="1">IFERROR(__xludf.DUMMYFUNCTION("""COMPUTED_VALUE"""),44851.6458333333)</f>
        <v>44851.645833333299</v>
      </c>
      <c r="B695" s="7">
        <f ca="1">IFERROR(__xludf.DUMMYFUNCTION("""COMPUTED_VALUE"""),723.28)</f>
        <v>723.28</v>
      </c>
      <c r="C695" s="6">
        <f t="shared" ca="1" si="4"/>
        <v>5.2536483669214373E-3</v>
      </c>
      <c r="D695" s="7">
        <f t="shared" ca="1" si="5"/>
        <v>0.98873188806547951</v>
      </c>
    </row>
    <row r="696" spans="1:4" ht="12.75" x14ac:dyDescent="0.2">
      <c r="A696" s="8">
        <f ca="1">IFERROR(__xludf.DUMMYFUNCTION("""COMPUTED_VALUE"""),44852.6458333333)</f>
        <v>44852.645833333299</v>
      </c>
      <c r="B696" s="7">
        <f ca="1">IFERROR(__xludf.DUMMYFUNCTION("""COMPUTED_VALUE"""),721.93)</f>
        <v>721.93</v>
      </c>
      <c r="C696" s="6">
        <f t="shared" ca="1" si="4"/>
        <v>-1.8664970689082905E-3</v>
      </c>
      <c r="D696" s="7">
        <f t="shared" ca="1" si="5"/>
        <v>0.99289404789938085</v>
      </c>
    </row>
    <row r="697" spans="1:4" ht="12.75" x14ac:dyDescent="0.2">
      <c r="A697" s="8">
        <f ca="1">IFERROR(__xludf.DUMMYFUNCTION("""COMPUTED_VALUE"""),44853.6458333333)</f>
        <v>44853.645833333299</v>
      </c>
      <c r="B697" s="7">
        <f ca="1">IFERROR(__xludf.DUMMYFUNCTION("""COMPUTED_VALUE"""),729.33)</f>
        <v>729.33</v>
      </c>
      <c r="C697" s="6">
        <f t="shared" ca="1" si="4"/>
        <v>1.0250301275747109E-2</v>
      </c>
      <c r="D697" s="7">
        <f t="shared" ca="1" si="5"/>
        <v>0.9816543951297767</v>
      </c>
    </row>
    <row r="698" spans="1:4" ht="12.75" x14ac:dyDescent="0.2">
      <c r="A698" s="8">
        <f ca="1">IFERROR(__xludf.DUMMYFUNCTION("""COMPUTED_VALUE"""),44854.6458333333)</f>
        <v>44854.645833333299</v>
      </c>
      <c r="B698" s="7">
        <f ca="1">IFERROR(__xludf.DUMMYFUNCTION("""COMPUTED_VALUE"""),724.4)</f>
        <v>724.4</v>
      </c>
      <c r="C698" s="6">
        <f t="shared" ca="1" si="4"/>
        <v>-6.759628700314102E-3</v>
      </c>
      <c r="D698" s="7">
        <f t="shared" ca="1" si="5"/>
        <v>0.98499447818884589</v>
      </c>
    </row>
    <row r="699" spans="1:4" ht="12.75" x14ac:dyDescent="0.2">
      <c r="A699" s="8">
        <f ca="1">IFERROR(__xludf.DUMMYFUNCTION("""COMPUTED_VALUE"""),44855.6458333333)</f>
        <v>44855.645833333299</v>
      </c>
      <c r="B699" s="7">
        <f ca="1">IFERROR(__xludf.DUMMYFUNCTION("""COMPUTED_VALUE"""),719.3)</f>
        <v>719.3</v>
      </c>
      <c r="C699" s="6">
        <f t="shared" ca="1" si="4"/>
        <v>-7.0403092214246232E-3</v>
      </c>
      <c r="D699" s="7">
        <f t="shared" ca="1" si="5"/>
        <v>1.0163075212011679</v>
      </c>
    </row>
    <row r="700" spans="1:4" ht="12.75" x14ac:dyDescent="0.2">
      <c r="A700" s="8">
        <f ca="1">IFERROR(__xludf.DUMMYFUNCTION("""COMPUTED_VALUE"""),44859.6458333333)</f>
        <v>44859.645833333299</v>
      </c>
      <c r="B700" s="7">
        <f ca="1">IFERROR(__xludf.DUMMYFUNCTION("""COMPUTED_VALUE"""),725.45)</f>
        <v>725.45</v>
      </c>
      <c r="C700" s="6">
        <f t="shared" ca="1" si="4"/>
        <v>8.5499791463925501E-3</v>
      </c>
      <c r="D700" s="7">
        <f t="shared" ca="1" si="5"/>
        <v>1.0106141015921151</v>
      </c>
    </row>
    <row r="701" spans="1:4" ht="12.75" x14ac:dyDescent="0.2">
      <c r="A701" s="8">
        <f ca="1">IFERROR(__xludf.DUMMYFUNCTION("""COMPUTED_VALUE"""),44861.6458333333)</f>
        <v>44861.645833333299</v>
      </c>
      <c r="B701" s="7">
        <f ca="1">IFERROR(__xludf.DUMMYFUNCTION("""COMPUTED_VALUE"""),727.2)</f>
        <v>727.2</v>
      </c>
      <c r="C701" s="6">
        <f t="shared" ca="1" si="4"/>
        <v>2.4122958163899089E-3</v>
      </c>
      <c r="D701" s="7">
        <f t="shared" ca="1" si="5"/>
        <v>1.021520902090209</v>
      </c>
    </row>
    <row r="702" spans="1:4" ht="12.75" x14ac:dyDescent="0.2">
      <c r="A702" s="8">
        <f ca="1">IFERROR(__xludf.DUMMYFUNCTION("""COMPUTED_VALUE"""),44862.6458333333)</f>
        <v>44862.645833333299</v>
      </c>
      <c r="B702" s="7">
        <f ca="1">IFERROR(__xludf.DUMMYFUNCTION("""COMPUTED_VALUE"""),729.35)</f>
        <v>729.35</v>
      </c>
      <c r="C702" s="6">
        <f t="shared" ca="1" si="4"/>
        <v>2.95654565456549E-3</v>
      </c>
      <c r="D702" s="7">
        <f t="shared" ca="1" si="5"/>
        <v>1.0181394392267087</v>
      </c>
    </row>
    <row r="703" spans="1:4" ht="12.75" x14ac:dyDescent="0.2">
      <c r="A703" s="8">
        <f ca="1">IFERROR(__xludf.DUMMYFUNCTION("""COMPUTED_VALUE"""),44865.6458333333)</f>
        <v>44865.645833333299</v>
      </c>
      <c r="B703" s="7">
        <f ca="1">IFERROR(__xludf.DUMMYFUNCTION("""COMPUTED_VALUE"""),748.35)</f>
        <v>748.35</v>
      </c>
      <c r="C703" s="6">
        <f t="shared" ca="1" si="4"/>
        <v>2.6050592993761557E-2</v>
      </c>
      <c r="D703" s="7">
        <f t="shared" ca="1" si="5"/>
        <v>1.0036480256564442</v>
      </c>
    </row>
    <row r="704" spans="1:4" ht="12.75" x14ac:dyDescent="0.2">
      <c r="A704" s="8">
        <f ca="1">IFERROR(__xludf.DUMMYFUNCTION("""COMPUTED_VALUE"""),44866.6458333333)</f>
        <v>44866.645833333299</v>
      </c>
      <c r="B704" s="7">
        <f ca="1">IFERROR(__xludf.DUMMYFUNCTION("""COMPUTED_VALUE"""),756.63)</f>
        <v>756.63</v>
      </c>
      <c r="C704" s="6">
        <f t="shared" ca="1" si="4"/>
        <v>1.1064341551413115E-2</v>
      </c>
      <c r="D704" s="7">
        <f t="shared" ca="1" si="5"/>
        <v>0.99777962808770471</v>
      </c>
    </row>
    <row r="705" spans="1:4" ht="12.75" x14ac:dyDescent="0.2">
      <c r="A705" s="8">
        <f ca="1">IFERROR(__xludf.DUMMYFUNCTION("""COMPUTED_VALUE"""),44867.6458333333)</f>
        <v>44867.645833333299</v>
      </c>
      <c r="B705" s="7">
        <f ca="1">IFERROR(__xludf.DUMMYFUNCTION("""COMPUTED_VALUE"""),757.1)</f>
        <v>757.1</v>
      </c>
      <c r="C705" s="6">
        <f t="shared" ca="1" si="4"/>
        <v>6.2117547546369778E-4</v>
      </c>
      <c r="D705" s="7">
        <f t="shared" ca="1" si="5"/>
        <v>0.99834896314885746</v>
      </c>
    </row>
    <row r="706" spans="1:4" ht="12.75" x14ac:dyDescent="0.2">
      <c r="A706" s="8">
        <f ca="1">IFERROR(__xludf.DUMMYFUNCTION("""COMPUTED_VALUE"""),44868.6458333333)</f>
        <v>44868.645833333299</v>
      </c>
      <c r="B706" s="7">
        <f ca="1">IFERROR(__xludf.DUMMYFUNCTION("""COMPUTED_VALUE"""),753.78)</f>
        <v>753.78</v>
      </c>
      <c r="C706" s="6">
        <f t="shared" ca="1" si="4"/>
        <v>-4.3851538766346287E-3</v>
      </c>
      <c r="D706" s="7">
        <f t="shared" ca="1" si="5"/>
        <v>0.99038180901589323</v>
      </c>
    </row>
    <row r="707" spans="1:4" ht="12.75" x14ac:dyDescent="0.2">
      <c r="A707" s="8">
        <f ca="1">IFERROR(__xludf.DUMMYFUNCTION("""COMPUTED_VALUE"""),44869.6458333333)</f>
        <v>44869.645833333299</v>
      </c>
      <c r="B707" s="7">
        <f ca="1">IFERROR(__xludf.DUMMYFUNCTION("""COMPUTED_VALUE"""),748.58)</f>
        <v>748.58</v>
      </c>
      <c r="C707" s="6">
        <f t="shared" ca="1" si="4"/>
        <v>-6.8985645679109364E-3</v>
      </c>
      <c r="D707" s="7">
        <f t="shared" ca="1" si="5"/>
        <v>0.98209944160944707</v>
      </c>
    </row>
    <row r="708" spans="1:4" ht="12.75" x14ac:dyDescent="0.2">
      <c r="A708" s="8">
        <f ca="1">IFERROR(__xludf.DUMMYFUNCTION("""COMPUTED_VALUE"""),44872.6458333333)</f>
        <v>44872.645833333299</v>
      </c>
      <c r="B708" s="7">
        <f ca="1">IFERROR(__xludf.DUMMYFUNCTION("""COMPUTED_VALUE"""),754.4)</f>
        <v>754.4</v>
      </c>
      <c r="C708" s="6">
        <f t="shared" ca="1" si="4"/>
        <v>7.7747201367921459E-3</v>
      </c>
      <c r="D708" s="7">
        <f t="shared" ca="1" si="5"/>
        <v>0.97150053022269356</v>
      </c>
    </row>
    <row r="709" spans="1:4" ht="12.75" x14ac:dyDescent="0.2">
      <c r="A709" s="8">
        <f ca="1">IFERROR(__xludf.DUMMYFUNCTION("""COMPUTED_VALUE"""),44874.6458333333)</f>
        <v>44874.645833333299</v>
      </c>
      <c r="B709" s="7">
        <f ca="1">IFERROR(__xludf.DUMMYFUNCTION("""COMPUTED_VALUE"""),754.18)</f>
        <v>754.18</v>
      </c>
      <c r="C709" s="6">
        <f t="shared" ca="1" si="4"/>
        <v>-2.9162248144221081E-4</v>
      </c>
      <c r="D709" s="7">
        <f t="shared" ca="1" si="5"/>
        <v>0.97646450449494815</v>
      </c>
    </row>
    <row r="710" spans="1:4" ht="12.75" x14ac:dyDescent="0.2">
      <c r="A710" s="8">
        <f ca="1">IFERROR(__xludf.DUMMYFUNCTION("""COMPUTED_VALUE"""),44875.6458333333)</f>
        <v>44875.645833333299</v>
      </c>
      <c r="B710" s="7">
        <f ca="1">IFERROR(__xludf.DUMMYFUNCTION("""COMPUTED_VALUE"""),762.38)</f>
        <v>762.38</v>
      </c>
      <c r="C710" s="6">
        <f t="shared" ca="1" si="4"/>
        <v>1.0872735951629631E-2</v>
      </c>
      <c r="D710" s="7">
        <f t="shared" ca="1" si="5"/>
        <v>0.96071512893832467</v>
      </c>
    </row>
    <row r="711" spans="1:4" ht="12.75" x14ac:dyDescent="0.2">
      <c r="A711" s="8">
        <f ca="1">IFERROR(__xludf.DUMMYFUNCTION("""COMPUTED_VALUE"""),44876.6458333333)</f>
        <v>44876.645833333299</v>
      </c>
      <c r="B711" s="7">
        <f ca="1">IFERROR(__xludf.DUMMYFUNCTION("""COMPUTED_VALUE"""),805.58)</f>
        <v>805.58</v>
      </c>
      <c r="C711" s="6">
        <f t="shared" ca="1" si="4"/>
        <v>5.6664655421181154E-2</v>
      </c>
      <c r="D711" s="7">
        <f t="shared" ca="1" si="5"/>
        <v>0.90934481988132765</v>
      </c>
    </row>
    <row r="712" spans="1:4" ht="12.75" x14ac:dyDescent="0.2">
      <c r="A712" s="8">
        <f ca="1">IFERROR(__xludf.DUMMYFUNCTION("""COMPUTED_VALUE"""),44879.6458333333)</f>
        <v>44879.645833333299</v>
      </c>
      <c r="B712" s="7">
        <f ca="1">IFERROR(__xludf.DUMMYFUNCTION("""COMPUTED_VALUE"""),807.53)</f>
        <v>807.53</v>
      </c>
      <c r="C712" s="6">
        <f t="shared" ca="1" si="4"/>
        <v>2.4206162019910771E-3</v>
      </c>
      <c r="D712" s="7">
        <f t="shared" ca="1" si="5"/>
        <v>0.89123623890134118</v>
      </c>
    </row>
    <row r="713" spans="1:4" ht="12.75" x14ac:dyDescent="0.2">
      <c r="A713" s="8">
        <f ca="1">IFERROR(__xludf.DUMMYFUNCTION("""COMPUTED_VALUE"""),44880.6458333333)</f>
        <v>44880.645833333299</v>
      </c>
      <c r="B713" s="7">
        <f ca="1">IFERROR(__xludf.DUMMYFUNCTION("""COMPUTED_VALUE"""),809.5)</f>
        <v>809.5</v>
      </c>
      <c r="C713" s="6">
        <f t="shared" ca="1" si="4"/>
        <v>2.4395378499870723E-3</v>
      </c>
      <c r="D713" s="7">
        <f t="shared" ca="1" si="5"/>
        <v>0.91791229153798637</v>
      </c>
    </row>
    <row r="714" spans="1:4" ht="12.75" x14ac:dyDescent="0.2">
      <c r="A714" s="8">
        <f ca="1">IFERROR(__xludf.DUMMYFUNCTION("""COMPUTED_VALUE"""),44881.6458333333)</f>
        <v>44881.645833333299</v>
      </c>
      <c r="B714" s="7">
        <f ca="1">IFERROR(__xludf.DUMMYFUNCTION("""COMPUTED_VALUE"""),816.45)</f>
        <v>816.45</v>
      </c>
      <c r="C714" s="6">
        <f t="shared" ca="1" si="4"/>
        <v>8.5855466337245723E-3</v>
      </c>
      <c r="D714" s="7">
        <f t="shared" ca="1" si="5"/>
        <v>0.90156163880213114</v>
      </c>
    </row>
    <row r="715" spans="1:4" ht="12.75" x14ac:dyDescent="0.2">
      <c r="A715" s="8">
        <f ca="1">IFERROR(__xludf.DUMMYFUNCTION("""COMPUTED_VALUE"""),44882.6458333333)</f>
        <v>44882.645833333299</v>
      </c>
      <c r="B715" s="7">
        <f ca="1">IFERROR(__xludf.DUMMYFUNCTION("""COMPUTED_VALUE"""),809.08)</f>
        <v>809.08</v>
      </c>
      <c r="C715" s="6">
        <f t="shared" ca="1" si="4"/>
        <v>-9.0268846836916161E-3</v>
      </c>
      <c r="D715" s="7">
        <f t="shared" ca="1" si="5"/>
        <v>0.91801799574825727</v>
      </c>
    </row>
    <row r="716" spans="1:4" ht="12.75" x14ac:dyDescent="0.2">
      <c r="A716" s="8">
        <f ca="1">IFERROR(__xludf.DUMMYFUNCTION("""COMPUTED_VALUE"""),44883.6458333333)</f>
        <v>44883.645833333299</v>
      </c>
      <c r="B716" s="7">
        <f ca="1">IFERROR(__xludf.DUMMYFUNCTION("""COMPUTED_VALUE"""),806.95)</f>
        <v>806.95</v>
      </c>
      <c r="C716" s="6">
        <f t="shared" ca="1" si="4"/>
        <v>-2.6326197656597605E-3</v>
      </c>
      <c r="D716" s="7">
        <f t="shared" ca="1" si="5"/>
        <v>0.92636470661131409</v>
      </c>
    </row>
    <row r="717" spans="1:4" ht="12.75" x14ac:dyDescent="0.2">
      <c r="A717" s="8">
        <f ca="1">IFERROR(__xludf.DUMMYFUNCTION("""COMPUTED_VALUE"""),44886.6458333333)</f>
        <v>44886.645833333299</v>
      </c>
      <c r="B717" s="7">
        <f ca="1">IFERROR(__xludf.DUMMYFUNCTION("""COMPUTED_VALUE"""),798.68)</f>
        <v>798.68</v>
      </c>
      <c r="C717" s="6">
        <f t="shared" ca="1" si="4"/>
        <v>-1.0248466447735471E-2</v>
      </c>
      <c r="D717" s="7">
        <f t="shared" ca="1" si="5"/>
        <v>0.93238844092753037</v>
      </c>
    </row>
    <row r="718" spans="1:4" ht="12.75" x14ac:dyDescent="0.2">
      <c r="A718" s="8">
        <f ca="1">IFERROR(__xludf.DUMMYFUNCTION("""COMPUTED_VALUE"""),44887.6458333333)</f>
        <v>44887.645833333299</v>
      </c>
      <c r="B718" s="7">
        <f ca="1">IFERROR(__xludf.DUMMYFUNCTION("""COMPUTED_VALUE"""),797.5)</f>
        <v>797.5</v>
      </c>
      <c r="C718" s="6">
        <f t="shared" ca="1" si="4"/>
        <v>-1.4774377723242305E-3</v>
      </c>
      <c r="D718" s="7">
        <f t="shared" ca="1" si="5"/>
        <v>0.92934169278996859</v>
      </c>
    </row>
    <row r="719" spans="1:4" ht="12.75" x14ac:dyDescent="0.2">
      <c r="A719" s="8">
        <f ca="1">IFERROR(__xludf.DUMMYFUNCTION("""COMPUTED_VALUE"""),44888.6458333333)</f>
        <v>44888.645833333299</v>
      </c>
      <c r="B719" s="7">
        <f ca="1">IFERROR(__xludf.DUMMYFUNCTION("""COMPUTED_VALUE"""),799.58)</f>
        <v>799.58</v>
      </c>
      <c r="C719" s="6">
        <f t="shared" ca="1" si="4"/>
        <v>2.6081504702195613E-3</v>
      </c>
      <c r="D719" s="7">
        <f t="shared" ca="1" si="5"/>
        <v>0.93649165812051316</v>
      </c>
    </row>
    <row r="720" spans="1:4" ht="12.75" x14ac:dyDescent="0.2">
      <c r="A720" s="8">
        <f ca="1">IFERROR(__xludf.DUMMYFUNCTION("""COMPUTED_VALUE"""),44889.6458333333)</f>
        <v>44889.645833333299</v>
      </c>
      <c r="B720" s="7">
        <f ca="1">IFERROR(__xludf.DUMMYFUNCTION("""COMPUTED_VALUE"""),812.58)</f>
        <v>812.58</v>
      </c>
      <c r="C720" s="6">
        <f t="shared" ca="1" si="4"/>
        <v>1.6258535731259016E-2</v>
      </c>
      <c r="D720" s="7">
        <f t="shared" ca="1" si="5"/>
        <v>0.92212459080952014</v>
      </c>
    </row>
    <row r="721" spans="1:4" ht="12.75" x14ac:dyDescent="0.2">
      <c r="A721" s="8">
        <f ca="1">IFERROR(__xludf.DUMMYFUNCTION("""COMPUTED_VALUE"""),44890.6458333333)</f>
        <v>44890.645833333299</v>
      </c>
      <c r="B721" s="7">
        <f ca="1">IFERROR(__xludf.DUMMYFUNCTION("""COMPUTED_VALUE"""),808.83)</f>
        <v>808.83</v>
      </c>
      <c r="C721" s="6">
        <f t="shared" ca="1" si="4"/>
        <v>-4.6149302222550093E-3</v>
      </c>
      <c r="D721" s="7">
        <f t="shared" ca="1" si="5"/>
        <v>0.93536342618349955</v>
      </c>
    </row>
    <row r="722" spans="1:4" ht="12.75" x14ac:dyDescent="0.2">
      <c r="A722" s="8">
        <f ca="1">IFERROR(__xludf.DUMMYFUNCTION("""COMPUTED_VALUE"""),44893.6458333333)</f>
        <v>44893.645833333299</v>
      </c>
      <c r="B722" s="7">
        <f ca="1">IFERROR(__xludf.DUMMYFUNCTION("""COMPUTED_VALUE"""),800.13)</f>
        <v>800.13</v>
      </c>
      <c r="C722" s="6">
        <f t="shared" ca="1" si="4"/>
        <v>-1.0756277586142948E-2</v>
      </c>
      <c r="D722" s="7">
        <f t="shared" ca="1" si="5"/>
        <v>0.95525727069351241</v>
      </c>
    </row>
    <row r="723" spans="1:4" ht="12.75" x14ac:dyDescent="0.2">
      <c r="A723" s="8">
        <f ca="1">IFERROR(__xludf.DUMMYFUNCTION("""COMPUTED_VALUE"""),44894.6458333333)</f>
        <v>44894.645833333299</v>
      </c>
      <c r="B723" s="7">
        <f ca="1">IFERROR(__xludf.DUMMYFUNCTION("""COMPUTED_VALUE"""),798.93)</f>
        <v>798.93</v>
      </c>
      <c r="C723" s="6">
        <f t="shared" ca="1" si="4"/>
        <v>-1.4997562896029715E-3</v>
      </c>
      <c r="D723" s="7">
        <f t="shared" ca="1" si="5"/>
        <v>0.95171041267695555</v>
      </c>
    </row>
    <row r="724" spans="1:4" ht="12.75" x14ac:dyDescent="0.2">
      <c r="A724" s="8">
        <f ca="1">IFERROR(__xludf.DUMMYFUNCTION("""COMPUTED_VALUE"""),44895.6458333333)</f>
        <v>44895.645833333299</v>
      </c>
      <c r="B724" s="7">
        <f ca="1">IFERROR(__xludf.DUMMYFUNCTION("""COMPUTED_VALUE"""),804.23)</f>
        <v>804.23</v>
      </c>
      <c r="C724" s="6">
        <f t="shared" ca="1" si="4"/>
        <v>6.6338728048767059E-3</v>
      </c>
      <c r="D724" s="7">
        <f t="shared" ca="1" si="5"/>
        <v>0.9280678412891834</v>
      </c>
    </row>
    <row r="725" spans="1:4" ht="12.75" x14ac:dyDescent="0.2">
      <c r="A725" s="8">
        <f ca="1">IFERROR(__xludf.DUMMYFUNCTION("""COMPUTED_VALUE"""),44896.6458333333)</f>
        <v>44896.645833333299</v>
      </c>
      <c r="B725" s="7">
        <f ca="1">IFERROR(__xludf.DUMMYFUNCTION("""COMPUTED_VALUE"""),809.75)</f>
        <v>809.75</v>
      </c>
      <c r="C725" s="6">
        <f t="shared" ca="1" si="4"/>
        <v>6.8637081431928149E-3</v>
      </c>
      <c r="D725" s="7">
        <f t="shared" ca="1" si="5"/>
        <v>0.92781722753936391</v>
      </c>
    </row>
    <row r="726" spans="1:4" ht="12.75" x14ac:dyDescent="0.2">
      <c r="A726" s="8">
        <f ca="1">IFERROR(__xludf.DUMMYFUNCTION("""COMPUTED_VALUE"""),44897.6458333333)</f>
        <v>44897.645833333299</v>
      </c>
      <c r="B726" s="7">
        <f ca="1">IFERROR(__xludf.DUMMYFUNCTION("""COMPUTED_VALUE"""),803.55)</f>
        <v>803.55</v>
      </c>
      <c r="C726" s="6">
        <f t="shared" ca="1" si="4"/>
        <v>-7.6566841617783377E-3</v>
      </c>
      <c r="D726" s="7">
        <f t="shared" ca="1" si="5"/>
        <v>0.94623856636176973</v>
      </c>
    </row>
    <row r="727" spans="1:4" ht="12.75" x14ac:dyDescent="0.2">
      <c r="A727" s="8">
        <f ca="1">IFERROR(__xludf.DUMMYFUNCTION("""COMPUTED_VALUE"""),44900.6458333333)</f>
        <v>44900.645833333299</v>
      </c>
      <c r="B727" s="7">
        <f ca="1">IFERROR(__xludf.DUMMYFUNCTION("""COMPUTED_VALUE"""),806.48)</f>
        <v>806.48</v>
      </c>
      <c r="C727" s="6">
        <f t="shared" ca="1" si="4"/>
        <v>3.6463194574078983E-3</v>
      </c>
      <c r="D727" s="7">
        <f t="shared" ca="1" si="5"/>
        <v>0.94135006447773029</v>
      </c>
    </row>
    <row r="728" spans="1:4" ht="12.75" x14ac:dyDescent="0.2">
      <c r="A728" s="8">
        <f ca="1">IFERROR(__xludf.DUMMYFUNCTION("""COMPUTED_VALUE"""),44901.6458333333)</f>
        <v>44901.645833333299</v>
      </c>
      <c r="B728" s="7">
        <f ca="1">IFERROR(__xludf.DUMMYFUNCTION("""COMPUTED_VALUE"""),805.58)</f>
        <v>805.58</v>
      </c>
      <c r="C728" s="6">
        <f t="shared" ca="1" si="4"/>
        <v>-1.1159607181826514E-3</v>
      </c>
      <c r="D728" s="7">
        <f t="shared" ca="1" si="5"/>
        <v>0.92231684004071601</v>
      </c>
    </row>
    <row r="729" spans="1:4" ht="12.75" x14ac:dyDescent="0.2">
      <c r="A729" s="8">
        <f ca="1">IFERROR(__xludf.DUMMYFUNCTION("""COMPUTED_VALUE"""),44902.6458333333)</f>
        <v>44902.645833333299</v>
      </c>
      <c r="B729" s="7">
        <f ca="1">IFERROR(__xludf.DUMMYFUNCTION("""COMPUTED_VALUE"""),805.23)</f>
        <v>805.23</v>
      </c>
      <c r="C729" s="6">
        <f t="shared" ca="1" si="4"/>
        <v>-4.3446957471637848E-4</v>
      </c>
      <c r="D729" s="7">
        <f t="shared" ca="1" si="5"/>
        <v>0.89797945928492484</v>
      </c>
    </row>
    <row r="730" spans="1:4" ht="12.75" x14ac:dyDescent="0.2">
      <c r="A730" s="8">
        <f ca="1">IFERROR(__xludf.DUMMYFUNCTION("""COMPUTED_VALUE"""),44903.6458333333)</f>
        <v>44903.645833333299</v>
      </c>
      <c r="B730" s="7">
        <f ca="1">IFERROR(__xludf.DUMMYFUNCTION("""COMPUTED_VALUE"""),809.75)</f>
        <v>809.75</v>
      </c>
      <c r="C730" s="6">
        <f t="shared" ca="1" si="4"/>
        <v>5.6133030314320376E-3</v>
      </c>
      <c r="D730" s="7">
        <f t="shared" ca="1" si="5"/>
        <v>0.88092621179376351</v>
      </c>
    </row>
    <row r="731" spans="1:4" ht="12.75" x14ac:dyDescent="0.2">
      <c r="A731" s="8">
        <f ca="1">IFERROR(__xludf.DUMMYFUNCTION("""COMPUTED_VALUE"""),44904.6458333333)</f>
        <v>44904.645833333299</v>
      </c>
      <c r="B731" s="7">
        <f ca="1">IFERROR(__xludf.DUMMYFUNCTION("""COMPUTED_VALUE"""),815.53)</f>
        <v>815.53</v>
      </c>
      <c r="C731" s="6">
        <f t="shared" ca="1" si="4"/>
        <v>7.1380055572707324E-3</v>
      </c>
      <c r="D731" s="7">
        <f t="shared" ca="1" si="5"/>
        <v>0.86683506431400437</v>
      </c>
    </row>
    <row r="732" spans="1:4" ht="12.75" x14ac:dyDescent="0.2">
      <c r="A732" s="8">
        <f ca="1">IFERROR(__xludf.DUMMYFUNCTION("""COMPUTED_VALUE"""),44907.6458333333)</f>
        <v>44907.645833333299</v>
      </c>
      <c r="B732" s="7">
        <f ca="1">IFERROR(__xludf.DUMMYFUNCTION("""COMPUTED_VALUE"""),821.88)</f>
        <v>821.88</v>
      </c>
      <c r="C732" s="6">
        <f t="shared" ca="1" si="4"/>
        <v>7.7863475286010786E-3</v>
      </c>
      <c r="D732" s="7">
        <f t="shared" ca="1" si="5"/>
        <v>0.84535455297610351</v>
      </c>
    </row>
    <row r="733" spans="1:4" ht="12.75" x14ac:dyDescent="0.2">
      <c r="A733" s="8">
        <f ca="1">IFERROR(__xludf.DUMMYFUNCTION("""COMPUTED_VALUE"""),44908.6458333333)</f>
        <v>44908.645833333299</v>
      </c>
      <c r="B733" s="7">
        <f ca="1">IFERROR(__xludf.DUMMYFUNCTION("""COMPUTED_VALUE"""),824.15)</f>
        <v>824.15</v>
      </c>
      <c r="C733" s="6">
        <f t="shared" ca="1" si="4"/>
        <v>2.761960383510953E-3</v>
      </c>
      <c r="D733" s="7">
        <f t="shared" ca="1" si="5"/>
        <v>0.83865801128435358</v>
      </c>
    </row>
    <row r="734" spans="1:4" ht="12.75" x14ac:dyDescent="0.2">
      <c r="A734" s="8">
        <f ca="1">IFERROR(__xludf.DUMMYFUNCTION("""COMPUTED_VALUE"""),44909.6458333333)</f>
        <v>44909.645833333299</v>
      </c>
      <c r="B734" s="7">
        <f ca="1">IFERROR(__xludf.DUMMYFUNCTION("""COMPUTED_VALUE"""),831.13)</f>
        <v>831.13</v>
      </c>
      <c r="C734" s="6">
        <f t="shared" ca="1" si="4"/>
        <v>8.4693320390705207E-3</v>
      </c>
      <c r="D734" s="7">
        <f t="shared" ca="1" si="5"/>
        <v>0.85507682312033007</v>
      </c>
    </row>
    <row r="735" spans="1:4" ht="12.75" x14ac:dyDescent="0.2">
      <c r="A735" s="8">
        <f ca="1">IFERROR(__xludf.DUMMYFUNCTION("""COMPUTED_VALUE"""),44910.6458333333)</f>
        <v>44910.645833333299</v>
      </c>
      <c r="B735" s="7">
        <f ca="1">IFERROR(__xludf.DUMMYFUNCTION("""COMPUTED_VALUE"""),815.9)</f>
        <v>815.9</v>
      </c>
      <c r="C735" s="6">
        <f t="shared" ca="1" si="4"/>
        <v>-1.8324449845391277E-2</v>
      </c>
      <c r="D735" s="7">
        <f t="shared" ca="1" si="5"/>
        <v>0.86603750459615159</v>
      </c>
    </row>
    <row r="736" spans="1:4" ht="12.75" x14ac:dyDescent="0.2">
      <c r="A736" s="8">
        <f ca="1">IFERROR(__xludf.DUMMYFUNCTION("""COMPUTED_VALUE"""),44911.6458333333)</f>
        <v>44911.645833333299</v>
      </c>
      <c r="B736" s="7">
        <f ca="1">IFERROR(__xludf.DUMMYFUNCTION("""COMPUTED_VALUE"""),819.83)</f>
        <v>819.83</v>
      </c>
      <c r="C736" s="6">
        <f t="shared" ca="1" si="4"/>
        <v>4.8167667606324738E-3</v>
      </c>
      <c r="D736" s="7">
        <f t="shared" ca="1" si="5"/>
        <v>0.88615932571386746</v>
      </c>
    </row>
    <row r="737" spans="1:4" ht="12.75" x14ac:dyDescent="0.2">
      <c r="A737" s="8">
        <f ca="1">IFERROR(__xludf.DUMMYFUNCTION("""COMPUTED_VALUE"""),44914.6458333333)</f>
        <v>44914.645833333299</v>
      </c>
      <c r="B737" s="7">
        <f ca="1">IFERROR(__xludf.DUMMYFUNCTION("""COMPUTED_VALUE"""),822.38)</f>
        <v>822.38</v>
      </c>
      <c r="C737" s="6">
        <f t="shared" ca="1" si="4"/>
        <v>3.1104009367795005E-3</v>
      </c>
      <c r="D737" s="7">
        <f t="shared" ca="1" si="5"/>
        <v>0.87368369853352468</v>
      </c>
    </row>
    <row r="738" spans="1:4" ht="12.75" x14ac:dyDescent="0.2">
      <c r="A738" s="8">
        <f ca="1">IFERROR(__xludf.DUMMYFUNCTION("""COMPUTED_VALUE"""),44915.6458333333)</f>
        <v>44915.645833333299</v>
      </c>
      <c r="B738" s="7">
        <f ca="1">IFERROR(__xludf.DUMMYFUNCTION("""COMPUTED_VALUE"""),816.7)</f>
        <v>816.7</v>
      </c>
      <c r="C738" s="6">
        <f t="shared" ca="1" si="4"/>
        <v>-6.9067827524987857E-3</v>
      </c>
      <c r="D738" s="7">
        <f t="shared" ca="1" si="5"/>
        <v>0.87596424635729142</v>
      </c>
    </row>
    <row r="739" spans="1:4" ht="12.75" x14ac:dyDescent="0.2">
      <c r="A739" s="8">
        <f ca="1">IFERROR(__xludf.DUMMYFUNCTION("""COMPUTED_VALUE"""),44916.6458333333)</f>
        <v>44916.645833333299</v>
      </c>
      <c r="B739" s="7">
        <f ca="1">IFERROR(__xludf.DUMMYFUNCTION("""COMPUTED_VALUE"""),808.8)</f>
        <v>808.8</v>
      </c>
      <c r="C739" s="6">
        <f t="shared" ca="1" si="4"/>
        <v>-9.673074568385065E-3</v>
      </c>
      <c r="D739" s="7">
        <f t="shared" ca="1" si="5"/>
        <v>0.87475272007912963</v>
      </c>
    </row>
    <row r="740" spans="1:4" ht="12.75" x14ac:dyDescent="0.2">
      <c r="A740" s="8">
        <f ca="1">IFERROR(__xludf.DUMMYFUNCTION("""COMPUTED_VALUE"""),44917.6458333333)</f>
        <v>44917.645833333299</v>
      </c>
      <c r="B740" s="7">
        <f ca="1">IFERROR(__xludf.DUMMYFUNCTION("""COMPUTED_VALUE"""),806.03)</f>
        <v>806.03</v>
      </c>
      <c r="C740" s="6">
        <f t="shared" ca="1" si="4"/>
        <v>-3.4248269040553225E-3</v>
      </c>
      <c r="D740" s="7">
        <f t="shared" ca="1" si="5"/>
        <v>0.86886344180737696</v>
      </c>
    </row>
    <row r="741" spans="1:4" ht="12.75" x14ac:dyDescent="0.2">
      <c r="A741" s="8">
        <f ca="1">IFERROR(__xludf.DUMMYFUNCTION("""COMPUTED_VALUE"""),44918.6458333333)</f>
        <v>44918.645833333299</v>
      </c>
      <c r="B741" s="7">
        <f ca="1">IFERROR(__xludf.DUMMYFUNCTION("""COMPUTED_VALUE"""),798.83)</f>
        <v>798.83</v>
      </c>
      <c r="C741" s="6">
        <f t="shared" ca="1" si="4"/>
        <v>-8.932669999875853E-3</v>
      </c>
      <c r="D741" s="7">
        <f t="shared" ca="1" si="5"/>
        <v>0.88241553271659801</v>
      </c>
    </row>
    <row r="742" spans="1:4" ht="12.75" x14ac:dyDescent="0.2">
      <c r="A742" s="8">
        <f ca="1">IFERROR(__xludf.DUMMYFUNCTION("""COMPUTED_VALUE"""),44921.6458333333)</f>
        <v>44921.645833333299</v>
      </c>
      <c r="B742" s="7">
        <f ca="1">IFERROR(__xludf.DUMMYFUNCTION("""COMPUTED_VALUE"""),814.73)</f>
        <v>814.73</v>
      </c>
      <c r="C742" s="6">
        <f t="shared" ca="1" si="4"/>
        <v>1.9904109760524813E-2</v>
      </c>
      <c r="D742" s="7">
        <f t="shared" ca="1" si="5"/>
        <v>0.85525266039055881</v>
      </c>
    </row>
    <row r="743" spans="1:4" ht="12.75" x14ac:dyDescent="0.2">
      <c r="A743" s="8">
        <f ca="1">IFERROR(__xludf.DUMMYFUNCTION("""COMPUTED_VALUE"""),44922.6458333333)</f>
        <v>44922.645833333299</v>
      </c>
      <c r="B743" s="7">
        <f ca="1">IFERROR(__xludf.DUMMYFUNCTION("""COMPUTED_VALUE"""),815.55)</f>
        <v>815.55</v>
      </c>
      <c r="C743" s="6">
        <f t="shared" ca="1" si="4"/>
        <v>1.0064684005743896E-3</v>
      </c>
      <c r="D743" s="7">
        <f t="shared" ca="1" si="5"/>
        <v>0.88222671816565512</v>
      </c>
    </row>
    <row r="744" spans="1:4" ht="12.75" x14ac:dyDescent="0.2">
      <c r="A744" s="8">
        <f ca="1">IFERROR(__xludf.DUMMYFUNCTION("""COMPUTED_VALUE"""),44923.6458333333)</f>
        <v>44923.645833333299</v>
      </c>
      <c r="B744" s="7">
        <f ca="1">IFERROR(__xludf.DUMMYFUNCTION("""COMPUTED_VALUE"""),814.9)</f>
        <v>814.9</v>
      </c>
      <c r="C744" s="6">
        <f t="shared" ca="1" si="4"/>
        <v>-7.970081540065177E-4</v>
      </c>
      <c r="D744" s="7">
        <f t="shared" ca="1" si="5"/>
        <v>0.88756902687446315</v>
      </c>
    </row>
    <row r="745" spans="1:4" ht="12.75" x14ac:dyDescent="0.2">
      <c r="A745" s="8">
        <f ca="1">IFERROR(__xludf.DUMMYFUNCTION("""COMPUTED_VALUE"""),44924.6458333333)</f>
        <v>44924.645833333299</v>
      </c>
      <c r="B745" s="7">
        <f ca="1">IFERROR(__xludf.DUMMYFUNCTION("""COMPUTED_VALUE"""),820.65)</f>
        <v>820.65</v>
      </c>
      <c r="C745" s="6">
        <f t="shared" ca="1" si="4"/>
        <v>7.0560805006749661E-3</v>
      </c>
      <c r="D745" s="7">
        <f t="shared" ca="1" si="5"/>
        <v>0.87970511180162059</v>
      </c>
    </row>
    <row r="746" spans="1:4" ht="12.75" x14ac:dyDescent="0.2">
      <c r="A746" s="8">
        <f ca="1">IFERROR(__xludf.DUMMYFUNCTION("""COMPUTED_VALUE"""),44925.6458333333)</f>
        <v>44925.645833333299</v>
      </c>
      <c r="B746" s="7">
        <f ca="1">IFERROR(__xludf.DUMMYFUNCTION("""COMPUTED_VALUE"""),814.08)</f>
        <v>814.08</v>
      </c>
      <c r="C746" s="6">
        <f t="shared" ca="1" si="4"/>
        <v>-8.0058490221165401E-3</v>
      </c>
      <c r="D746" s="7">
        <f t="shared" ca="1" si="5"/>
        <v>0.89589475235849059</v>
      </c>
    </row>
    <row r="747" spans="1:4" ht="12.75" x14ac:dyDescent="0.2">
      <c r="A747" s="8">
        <f ca="1">IFERROR(__xludf.DUMMYFUNCTION("""COMPUTED_VALUE"""),44928.6458333333)</f>
        <v>44928.645833333299</v>
      </c>
      <c r="B747" s="7">
        <f ca="1">IFERROR(__xludf.DUMMYFUNCTION("""COMPUTED_VALUE"""),814.35)</f>
        <v>814.35</v>
      </c>
      <c r="C747" s="6">
        <f t="shared" ca="1" si="4"/>
        <v>3.3166273584894768E-4</v>
      </c>
      <c r="D747" s="7">
        <f t="shared" ca="1" si="5"/>
        <v>0.88954380794498678</v>
      </c>
    </row>
    <row r="748" spans="1:4" ht="12.75" x14ac:dyDescent="0.2">
      <c r="A748" s="8">
        <f ca="1">IFERROR(__xludf.DUMMYFUNCTION("""COMPUTED_VALUE"""),44929.6458333333)</f>
        <v>44929.645833333299</v>
      </c>
      <c r="B748" s="7">
        <f ca="1">IFERROR(__xludf.DUMMYFUNCTION("""COMPUTED_VALUE"""),819.68)</f>
        <v>819.68</v>
      </c>
      <c r="C748" s="6">
        <f t="shared" ca="1" si="4"/>
        <v>6.5450973168783566E-3</v>
      </c>
      <c r="D748" s="7">
        <f t="shared" ca="1" si="5"/>
        <v>0.87753757563927381</v>
      </c>
    </row>
    <row r="749" spans="1:4" ht="12.75" x14ac:dyDescent="0.2">
      <c r="A749" s="8">
        <f ca="1">IFERROR(__xludf.DUMMYFUNCTION("""COMPUTED_VALUE"""),44930.6458333333)</f>
        <v>44930.645833333299</v>
      </c>
      <c r="B749" s="7">
        <f ca="1">IFERROR(__xludf.DUMMYFUNCTION("""COMPUTED_VALUE"""),805.03)</f>
        <v>805.03</v>
      </c>
      <c r="C749" s="6">
        <f t="shared" ca="1" si="4"/>
        <v>-1.7872828420847142E-2</v>
      </c>
      <c r="D749" s="7">
        <f t="shared" ca="1" si="5"/>
        <v>0.90114654112269121</v>
      </c>
    </row>
    <row r="750" spans="1:4" ht="12.75" x14ac:dyDescent="0.2">
      <c r="A750" s="8">
        <f ca="1">IFERROR(__xludf.DUMMYFUNCTION("""COMPUTED_VALUE"""),44931.6458333333)</f>
        <v>44931.645833333299</v>
      </c>
      <c r="B750" s="7">
        <f ca="1">IFERROR(__xludf.DUMMYFUNCTION("""COMPUTED_VALUE"""),799.85)</f>
        <v>799.85</v>
      </c>
      <c r="C750" s="6">
        <f t="shared" ca="1" si="4"/>
        <v>-6.4345428120690107E-3</v>
      </c>
      <c r="D750" s="7">
        <f t="shared" ca="1" si="5"/>
        <v>0.90917046946302438</v>
      </c>
    </row>
    <row r="751" spans="1:4" ht="12.75" x14ac:dyDescent="0.2">
      <c r="A751" s="8">
        <f ca="1">IFERROR(__xludf.DUMMYFUNCTION("""COMPUTED_VALUE"""),44932.6458333333)</f>
        <v>44932.645833333299</v>
      </c>
      <c r="B751" s="7">
        <f ca="1">IFERROR(__xludf.DUMMYFUNCTION("""COMPUTED_VALUE"""),797.2)</f>
        <v>797.2</v>
      </c>
      <c r="C751" s="6">
        <f t="shared" ca="1" si="4"/>
        <v>-3.3131212102268659E-3</v>
      </c>
      <c r="D751" s="7">
        <f t="shared" ca="1" si="5"/>
        <v>0.91488961364776711</v>
      </c>
    </row>
    <row r="752" spans="1:4" ht="12.75" x14ac:dyDescent="0.2">
      <c r="A752" s="8">
        <f ca="1">IFERROR(__xludf.DUMMYFUNCTION("""COMPUTED_VALUE"""),44935.6458333333)</f>
        <v>44935.645833333299</v>
      </c>
      <c r="B752" s="7">
        <f ca="1">IFERROR(__xludf.DUMMYFUNCTION("""COMPUTED_VALUE"""),798.75)</f>
        <v>798.75</v>
      </c>
      <c r="C752" s="6">
        <f t="shared" ca="1" si="4"/>
        <v>1.9443050677370177E-3</v>
      </c>
      <c r="D752" s="7">
        <f t="shared" ca="1" si="5"/>
        <v>0.93690140845070424</v>
      </c>
    </row>
    <row r="753" spans="1:4" ht="12.75" x14ac:dyDescent="0.2">
      <c r="A753" s="8">
        <f ca="1">IFERROR(__xludf.DUMMYFUNCTION("""COMPUTED_VALUE"""),44936.6458333333)</f>
        <v>44936.645833333299</v>
      </c>
      <c r="B753" s="7">
        <f ca="1">IFERROR(__xludf.DUMMYFUNCTION("""COMPUTED_VALUE"""),784.15)</f>
        <v>784.15</v>
      </c>
      <c r="C753" s="6">
        <f t="shared" ca="1" si="4"/>
        <v>-1.8278560250391318E-2</v>
      </c>
      <c r="D753" s="7">
        <f t="shared" ca="1" si="5"/>
        <v>0.96490467385066636</v>
      </c>
    </row>
    <row r="754" spans="1:4" ht="12.75" x14ac:dyDescent="0.2">
      <c r="A754" s="8">
        <f ca="1">IFERROR(__xludf.DUMMYFUNCTION("""COMPUTED_VALUE"""),44937.6458333333)</f>
        <v>44937.645833333299</v>
      </c>
      <c r="B754" s="7">
        <f ca="1">IFERROR(__xludf.DUMMYFUNCTION("""COMPUTED_VALUE"""),795.45)</f>
        <v>795.45</v>
      </c>
      <c r="C754" s="6">
        <f t="shared" ca="1" si="4"/>
        <v>1.441050819358547E-2</v>
      </c>
      <c r="D754" s="7">
        <f t="shared" ca="1" si="5"/>
        <v>0.95178829593311964</v>
      </c>
    </row>
    <row r="755" spans="1:4" ht="12.75" x14ac:dyDescent="0.2">
      <c r="A755" s="8">
        <f ca="1">IFERROR(__xludf.DUMMYFUNCTION("""COMPUTED_VALUE"""),44938.6458333333)</f>
        <v>44938.645833333299</v>
      </c>
      <c r="B755" s="7">
        <f ca="1">IFERROR(__xludf.DUMMYFUNCTION("""COMPUTED_VALUE"""),799.7)</f>
        <v>799.7</v>
      </c>
      <c r="C755" s="6">
        <f t="shared" ca="1" si="4"/>
        <v>5.3428876736438813E-3</v>
      </c>
      <c r="D755" s="7">
        <f t="shared" ca="1" si="5"/>
        <v>0.94257846692509684</v>
      </c>
    </row>
    <row r="756" spans="1:4" ht="12.75" x14ac:dyDescent="0.2">
      <c r="A756" s="8">
        <f ca="1">IFERROR(__xludf.DUMMYFUNCTION("""COMPUTED_VALUE"""),44939.6458333333)</f>
        <v>44939.645833333299</v>
      </c>
      <c r="B756" s="7">
        <f ca="1">IFERROR(__xludf.DUMMYFUNCTION("""COMPUTED_VALUE"""),800.33)</f>
        <v>800.33</v>
      </c>
      <c r="C756" s="6">
        <f t="shared" ca="1" si="4"/>
        <v>7.8779542328377694E-4</v>
      </c>
      <c r="D756" s="7">
        <f t="shared" ca="1" si="5"/>
        <v>0.93533917259130606</v>
      </c>
    </row>
    <row r="757" spans="1:4" ht="12.75" x14ac:dyDescent="0.2">
      <c r="A757" s="8">
        <f ca="1">IFERROR(__xludf.DUMMYFUNCTION("""COMPUTED_VALUE"""),44942.6458333333)</f>
        <v>44942.645833333299</v>
      </c>
      <c r="B757" s="7">
        <f ca="1">IFERROR(__xludf.DUMMYFUNCTION("""COMPUTED_VALUE"""),792.65)</f>
        <v>792.65</v>
      </c>
      <c r="C757" s="6">
        <f t="shared" ca="1" si="4"/>
        <v>-9.5960416328265685E-3</v>
      </c>
      <c r="D757" s="7">
        <f t="shared" ca="1" si="5"/>
        <v>0.95174414937235852</v>
      </c>
    </row>
    <row r="758" spans="1:4" ht="12.75" x14ac:dyDescent="0.2">
      <c r="A758" s="8">
        <f ca="1">IFERROR(__xludf.DUMMYFUNCTION("""COMPUTED_VALUE"""),44943.6458333333)</f>
        <v>44943.645833333299</v>
      </c>
      <c r="B758" s="7">
        <f ca="1">IFERROR(__xludf.DUMMYFUNCTION("""COMPUTED_VALUE"""),804.45)</f>
        <v>804.45</v>
      </c>
      <c r="C758" s="6">
        <f t="shared" ca="1" si="4"/>
        <v>1.4886772219769195E-2</v>
      </c>
      <c r="D758" s="7">
        <f t="shared" ca="1" si="5"/>
        <v>0.93751010006836955</v>
      </c>
    </row>
    <row r="759" spans="1:4" ht="12.75" x14ac:dyDescent="0.2">
      <c r="A759" s="8">
        <f ca="1">IFERROR(__xludf.DUMMYFUNCTION("""COMPUTED_VALUE"""),44944.6458333333)</f>
        <v>44944.645833333299</v>
      </c>
      <c r="B759" s="7">
        <f ca="1">IFERROR(__xludf.DUMMYFUNCTION("""COMPUTED_VALUE"""),818.65)</f>
        <v>818.65</v>
      </c>
      <c r="C759" s="6">
        <f t="shared" ca="1" si="4"/>
        <v>1.7651811796879802E-2</v>
      </c>
      <c r="D759" s="7">
        <f t="shared" ca="1" si="5"/>
        <v>0.9312648873144812</v>
      </c>
    </row>
    <row r="760" spans="1:4" ht="12.75" x14ac:dyDescent="0.2">
      <c r="A760" s="8">
        <f ca="1">IFERROR(__xludf.DUMMYFUNCTION("""COMPUTED_VALUE"""),44945.6458333333)</f>
        <v>44945.645833333299</v>
      </c>
      <c r="B760" s="7">
        <f ca="1">IFERROR(__xludf.DUMMYFUNCTION("""COMPUTED_VALUE"""),822.05)</f>
        <v>822.05</v>
      </c>
      <c r="C760" s="6">
        <f t="shared" ca="1" si="4"/>
        <v>4.1531790142306235E-3</v>
      </c>
      <c r="D760" s="7">
        <f t="shared" ca="1" si="5"/>
        <v>0.97996472234049037</v>
      </c>
    </row>
    <row r="761" spans="1:4" ht="12.75" x14ac:dyDescent="0.2">
      <c r="A761" s="8">
        <f ca="1">IFERROR(__xludf.DUMMYFUNCTION("""COMPUTED_VALUE"""),44946.6458333333)</f>
        <v>44946.645833333299</v>
      </c>
      <c r="B761" s="7">
        <f ca="1">IFERROR(__xludf.DUMMYFUNCTION("""COMPUTED_VALUE"""),830.48)</f>
        <v>830.48</v>
      </c>
      <c r="C761" s="6">
        <f t="shared" ca="1" si="4"/>
        <v>1.025485067818277E-2</v>
      </c>
      <c r="D761" s="7">
        <f t="shared" ca="1" si="5"/>
        <v>0.97236537905789422</v>
      </c>
    </row>
    <row r="762" spans="1:4" ht="12.75" x14ac:dyDescent="0.2">
      <c r="A762" s="8">
        <f ca="1">IFERROR(__xludf.DUMMYFUNCTION("""COMPUTED_VALUE"""),44949.6458333333)</f>
        <v>44949.645833333299</v>
      </c>
      <c r="B762" s="7">
        <f ca="1">IFERROR(__xludf.DUMMYFUNCTION("""COMPUTED_VALUE"""),836.55)</f>
        <v>836.55</v>
      </c>
      <c r="C762" s="6">
        <f t="shared" ca="1" si="4"/>
        <v>7.3090261053847527E-3</v>
      </c>
      <c r="D762" s="7">
        <f t="shared" ca="1" si="5"/>
        <v>0.96766481381865999</v>
      </c>
    </row>
    <row r="763" spans="1:4" ht="12.75" x14ac:dyDescent="0.2">
      <c r="A763" s="8">
        <f ca="1">IFERROR(__xludf.DUMMYFUNCTION("""COMPUTED_VALUE"""),44950.6458333333)</f>
        <v>44950.645833333299</v>
      </c>
      <c r="B763" s="7">
        <f ca="1">IFERROR(__xludf.DUMMYFUNCTION("""COMPUTED_VALUE"""),847.75)</f>
        <v>847.75</v>
      </c>
      <c r="C763" s="6">
        <f t="shared" ca="1" si="4"/>
        <v>1.3388321080628929E-2</v>
      </c>
      <c r="D763" s="7">
        <f t="shared" ca="1" si="5"/>
        <v>0.96307873783544684</v>
      </c>
    </row>
    <row r="764" spans="1:4" ht="12.75" x14ac:dyDescent="0.2">
      <c r="A764" s="8">
        <f ca="1">IFERROR(__xludf.DUMMYFUNCTION("""COMPUTED_VALUE"""),44951.6458333333)</f>
        <v>44951.645833333299</v>
      </c>
      <c r="B764" s="7">
        <f ca="1">IFERROR(__xludf.DUMMYFUNCTION("""COMPUTED_VALUE"""),824.33)</f>
        <v>824.33</v>
      </c>
      <c r="C764" s="6">
        <f t="shared" ca="1" si="4"/>
        <v>-2.7626069006192799E-2</v>
      </c>
      <c r="D764" s="7">
        <f t="shared" ca="1" si="5"/>
        <v>0.9815001273761722</v>
      </c>
    </row>
    <row r="765" spans="1:4" ht="12.75" x14ac:dyDescent="0.2">
      <c r="A765" s="8">
        <f ca="1">IFERROR(__xludf.DUMMYFUNCTION("""COMPUTED_VALUE"""),44953.6458333333)</f>
        <v>44953.645833333299</v>
      </c>
      <c r="B765" s="7">
        <f ca="1">IFERROR(__xludf.DUMMYFUNCTION("""COMPUTED_VALUE"""),807.9)</f>
        <v>807.9</v>
      </c>
      <c r="C765" s="6">
        <f t="shared" ca="1" si="4"/>
        <v>-1.9931338177671676E-2</v>
      </c>
      <c r="D765" s="7">
        <f t="shared" ca="1" si="5"/>
        <v>0.99882411189503661</v>
      </c>
    </row>
    <row r="766" spans="1:4" ht="12.75" x14ac:dyDescent="0.2">
      <c r="A766" s="8">
        <f ca="1">IFERROR(__xludf.DUMMYFUNCTION("""COMPUTED_VALUE"""),44956.6458333333)</f>
        <v>44956.645833333299</v>
      </c>
      <c r="B766" s="7">
        <f ca="1">IFERROR(__xludf.DUMMYFUNCTION("""COMPUTED_VALUE"""),807.08)</f>
        <v>807.08</v>
      </c>
      <c r="C766" s="6">
        <f t="shared" ca="1" si="4"/>
        <v>-1.014977101126302E-3</v>
      </c>
      <c r="D766" s="7">
        <f t="shared" ca="1" si="5"/>
        <v>0.98959210982802193</v>
      </c>
    </row>
    <row r="767" spans="1:4" ht="12.75" x14ac:dyDescent="0.2">
      <c r="A767" s="8">
        <f ca="1">IFERROR(__xludf.DUMMYFUNCTION("""COMPUTED_VALUE"""),44957.6458333333)</f>
        <v>44957.645833333299</v>
      </c>
      <c r="B767" s="7">
        <f ca="1">IFERROR(__xludf.DUMMYFUNCTION("""COMPUTED_VALUE"""),801.75)</f>
        <v>801.75</v>
      </c>
      <c r="C767" s="6">
        <f t="shared" ca="1" si="4"/>
        <v>-6.604054121028935E-3</v>
      </c>
      <c r="D767" s="7">
        <f t="shared" ca="1" si="5"/>
        <v>0.99469909572809478</v>
      </c>
    </row>
    <row r="768" spans="1:4" ht="12.75" x14ac:dyDescent="0.2">
      <c r="A768" s="8">
        <f ca="1">IFERROR(__xludf.DUMMYFUNCTION("""COMPUTED_VALUE"""),44958.6458333333)</f>
        <v>44958.645833333299</v>
      </c>
      <c r="B768" s="7">
        <f ca="1">IFERROR(__xludf.DUMMYFUNCTION("""COMPUTED_VALUE"""),813.78)</f>
        <v>813.78</v>
      </c>
      <c r="C768" s="6">
        <f t="shared" ref="C768:C1022" ca="1" si="6">(B768/B767)-1</f>
        <v>1.5004677268475097E-2</v>
      </c>
      <c r="D768" s="7">
        <f t="shared" ca="1" si="5"/>
        <v>0.98255056649217243</v>
      </c>
    </row>
    <row r="769" spans="1:4" ht="12.75" x14ac:dyDescent="0.2">
      <c r="A769" s="8">
        <f ca="1">IFERROR(__xludf.DUMMYFUNCTION("""COMPUTED_VALUE"""),44959.6458333333)</f>
        <v>44959.645833333299</v>
      </c>
      <c r="B769" s="7">
        <f ca="1">IFERROR(__xludf.DUMMYFUNCTION("""COMPUTED_VALUE"""),801.68)</f>
        <v>801.68</v>
      </c>
      <c r="C769" s="6">
        <f t="shared" ca="1" si="6"/>
        <v>-1.4868883482022199E-2</v>
      </c>
      <c r="D769" s="7">
        <f t="shared" ca="1" si="5"/>
        <v>1.0135964474603334</v>
      </c>
    </row>
    <row r="770" spans="1:4" ht="12.75" x14ac:dyDescent="0.2">
      <c r="A770" s="8">
        <f ca="1">IFERROR(__xludf.DUMMYFUNCTION("""COMPUTED_VALUE"""),44960.6458333333)</f>
        <v>44960.645833333299</v>
      </c>
      <c r="B770" s="7">
        <f ca="1">IFERROR(__xludf.DUMMYFUNCTION("""COMPUTED_VALUE"""),829.4)</f>
        <v>829.4</v>
      </c>
      <c r="C770" s="6">
        <f t="shared" ca="1" si="6"/>
        <v>3.4577387486278921E-2</v>
      </c>
      <c r="D770" s="7">
        <f t="shared" ca="1" si="5"/>
        <v>0.97519893899204246</v>
      </c>
    </row>
    <row r="771" spans="1:4" ht="12.75" x14ac:dyDescent="0.2">
      <c r="A771" s="8">
        <f ca="1">IFERROR(__xludf.DUMMYFUNCTION("""COMPUTED_VALUE"""),44963.6458333333)</f>
        <v>44963.645833333299</v>
      </c>
      <c r="B771" s="7">
        <f ca="1">IFERROR(__xludf.DUMMYFUNCTION("""COMPUTED_VALUE"""),825.88)</f>
        <v>825.88</v>
      </c>
      <c r="C771" s="6">
        <f t="shared" ca="1" si="6"/>
        <v>-4.2440318302386926E-3</v>
      </c>
      <c r="D771" s="7">
        <f t="shared" ca="1" si="5"/>
        <v>0.96882113624255339</v>
      </c>
    </row>
    <row r="772" spans="1:4" ht="12.75" x14ac:dyDescent="0.2">
      <c r="A772" s="8">
        <f ca="1">IFERROR(__xludf.DUMMYFUNCTION("""COMPUTED_VALUE"""),44964.6458333333)</f>
        <v>44964.645833333299</v>
      </c>
      <c r="B772" s="7">
        <f ca="1">IFERROR(__xludf.DUMMYFUNCTION("""COMPUTED_VALUE"""),827.1)</f>
        <v>827.1</v>
      </c>
      <c r="C772" s="6">
        <f t="shared" ca="1" si="6"/>
        <v>1.477212185789778E-3</v>
      </c>
      <c r="D772" s="7">
        <f t="shared" ca="1" si="5"/>
        <v>0.96594124047878116</v>
      </c>
    </row>
    <row r="773" spans="1:4" ht="12.75" x14ac:dyDescent="0.2">
      <c r="A773" s="8">
        <f ca="1">IFERROR(__xludf.DUMMYFUNCTION("""COMPUTED_VALUE"""),44965.6458333333)</f>
        <v>44965.645833333299</v>
      </c>
      <c r="B773" s="7">
        <f ca="1">IFERROR(__xludf.DUMMYFUNCTION("""COMPUTED_VALUE"""),827)</f>
        <v>827</v>
      </c>
      <c r="C773" s="6">
        <f t="shared" ca="1" si="6"/>
        <v>-1.2090436464762266E-4</v>
      </c>
      <c r="D773" s="7">
        <f t="shared" ca="1" si="5"/>
        <v>0.97246674727932292</v>
      </c>
    </row>
    <row r="774" spans="1:4" ht="12.75" x14ac:dyDescent="0.2">
      <c r="A774" s="8">
        <f ca="1">IFERROR(__xludf.DUMMYFUNCTION("""COMPUTED_VALUE"""),44966.6458333333)</f>
        <v>44966.645833333299</v>
      </c>
      <c r="B774" s="7">
        <f ca="1">IFERROR(__xludf.DUMMYFUNCTION("""COMPUTED_VALUE"""),825.28)</f>
        <v>825.28</v>
      </c>
      <c r="C774" s="6">
        <f t="shared" ca="1" si="6"/>
        <v>-2.0798065296251389E-3</v>
      </c>
      <c r="D774" s="7">
        <f t="shared" ca="1" si="5"/>
        <v>0.98118214424195427</v>
      </c>
    </row>
    <row r="775" spans="1:4" ht="12.75" x14ac:dyDescent="0.2">
      <c r="A775" s="8">
        <f ca="1">IFERROR(__xludf.DUMMYFUNCTION("""COMPUTED_VALUE"""),44967.6458333333)</f>
        <v>44967.645833333299</v>
      </c>
      <c r="B775" s="7">
        <f ca="1">IFERROR(__xludf.DUMMYFUNCTION("""COMPUTED_VALUE"""),828.55)</f>
        <v>828.55</v>
      </c>
      <c r="C775" s="6">
        <f t="shared" ca="1" si="6"/>
        <v>3.962291585885902E-3</v>
      </c>
      <c r="D775" s="7">
        <f t="shared" ca="1" si="5"/>
        <v>0.96982680586566894</v>
      </c>
    </row>
    <row r="776" spans="1:4" ht="12.75" x14ac:dyDescent="0.2">
      <c r="A776" s="8">
        <f ca="1">IFERROR(__xludf.DUMMYFUNCTION("""COMPUTED_VALUE"""),44970.6458333333)</f>
        <v>44970.645833333299</v>
      </c>
      <c r="B776" s="7">
        <f ca="1">IFERROR(__xludf.DUMMYFUNCTION("""COMPUTED_VALUE"""),829.18)</f>
        <v>829.18</v>
      </c>
      <c r="C776" s="6">
        <f t="shared" ca="1" si="6"/>
        <v>7.6036449218519486E-4</v>
      </c>
      <c r="D776" s="7">
        <f t="shared" ca="1" si="5"/>
        <v>0.97262355580211779</v>
      </c>
    </row>
    <row r="777" spans="1:4" ht="12.75" x14ac:dyDescent="0.2">
      <c r="A777" s="8">
        <f ca="1">IFERROR(__xludf.DUMMYFUNCTION("""COMPUTED_VALUE"""),44971.6458333333)</f>
        <v>44971.645833333299</v>
      </c>
      <c r="B777" s="7">
        <f ca="1">IFERROR(__xludf.DUMMYFUNCTION("""COMPUTED_VALUE"""),836.85)</f>
        <v>836.85</v>
      </c>
      <c r="C777" s="6">
        <f t="shared" ca="1" si="6"/>
        <v>9.2501025109144042E-3</v>
      </c>
      <c r="D777" s="7">
        <f t="shared" ca="1" si="5"/>
        <v>0.96263368584573106</v>
      </c>
    </row>
    <row r="778" spans="1:4" ht="12.75" x14ac:dyDescent="0.2">
      <c r="A778" s="8">
        <f ca="1">IFERROR(__xludf.DUMMYFUNCTION("""COMPUTED_VALUE"""),44972.6458333333)</f>
        <v>44972.645833333299</v>
      </c>
      <c r="B778" s="7">
        <f ca="1">IFERROR(__xludf.DUMMYFUNCTION("""COMPUTED_VALUE"""),835.15)</f>
        <v>835.15</v>
      </c>
      <c r="C778" s="6">
        <f t="shared" ca="1" si="6"/>
        <v>-2.0314273764713286E-3</v>
      </c>
      <c r="D778" s="7">
        <f t="shared" ca="1" si="5"/>
        <v>0.96417410046099505</v>
      </c>
    </row>
    <row r="779" spans="1:4" ht="12.75" x14ac:dyDescent="0.2">
      <c r="A779" s="8">
        <f ca="1">IFERROR(__xludf.DUMMYFUNCTION("""COMPUTED_VALUE"""),44973.6458333333)</f>
        <v>44973.645833333299</v>
      </c>
      <c r="B779" s="7">
        <f ca="1">IFERROR(__xludf.DUMMYFUNCTION("""COMPUTED_VALUE"""),832.13)</f>
        <v>832.13</v>
      </c>
      <c r="C779" s="6">
        <f t="shared" ca="1" si="6"/>
        <v>-3.6161168652337761E-3</v>
      </c>
      <c r="D779" s="7">
        <f t="shared" ca="1" si="5"/>
        <v>0.97310516385660895</v>
      </c>
    </row>
    <row r="780" spans="1:4" ht="12.75" x14ac:dyDescent="0.2">
      <c r="A780" s="8">
        <f ca="1">IFERROR(__xludf.DUMMYFUNCTION("""COMPUTED_VALUE"""),44974.6458333333)</f>
        <v>44974.645833333299</v>
      </c>
      <c r="B780" s="7">
        <f ca="1">IFERROR(__xludf.DUMMYFUNCTION("""COMPUTED_VALUE"""),827.95)</f>
        <v>827.95</v>
      </c>
      <c r="C780" s="6">
        <f t="shared" ca="1" si="6"/>
        <v>-5.0232535781667975E-3</v>
      </c>
      <c r="D780" s="7">
        <f t="shared" ca="1" si="5"/>
        <v>0.98499909414819731</v>
      </c>
    </row>
    <row r="781" spans="1:4" ht="12.75" x14ac:dyDescent="0.2">
      <c r="A781" s="8">
        <f ca="1">IFERROR(__xludf.DUMMYFUNCTION("""COMPUTED_VALUE"""),44977.6458333333)</f>
        <v>44977.645833333299</v>
      </c>
      <c r="B781" s="7">
        <f ca="1">IFERROR(__xludf.DUMMYFUNCTION("""COMPUTED_VALUE"""),820.18)</f>
        <v>820.18</v>
      </c>
      <c r="C781" s="6">
        <f t="shared" ca="1" si="6"/>
        <v>-9.3846246754032414E-3</v>
      </c>
      <c r="D781" s="7">
        <f t="shared" ca="1" si="5"/>
        <v>1.0020727157453242</v>
      </c>
    </row>
    <row r="782" spans="1:4" ht="12.75" x14ac:dyDescent="0.2">
      <c r="A782" s="8">
        <f ca="1">IFERROR(__xludf.DUMMYFUNCTION("""COMPUTED_VALUE"""),44978.6458333333)</f>
        <v>44978.645833333299</v>
      </c>
      <c r="B782" s="7">
        <f ca="1">IFERROR(__xludf.DUMMYFUNCTION("""COMPUTED_VALUE"""),823.25)</f>
        <v>823.25</v>
      </c>
      <c r="C782" s="6">
        <f t="shared" ca="1" si="6"/>
        <v>3.7430807871443594E-3</v>
      </c>
      <c r="D782" s="7">
        <f t="shared" ca="1" si="5"/>
        <v>1.0010932280595202</v>
      </c>
    </row>
    <row r="783" spans="1:4" ht="12.75" x14ac:dyDescent="0.2">
      <c r="A783" s="8">
        <f ca="1">IFERROR(__xludf.DUMMYFUNCTION("""COMPUTED_VALUE"""),44979.6458333333)</f>
        <v>44979.645833333299</v>
      </c>
      <c r="B783" s="7">
        <f ca="1">IFERROR(__xludf.DUMMYFUNCTION("""COMPUTED_VALUE"""),807.1)</f>
        <v>807.1</v>
      </c>
      <c r="C783" s="6">
        <f t="shared" ca="1" si="6"/>
        <v>-1.961737017916787E-2</v>
      </c>
      <c r="D783" s="7">
        <f t="shared" ca="1" si="5"/>
        <v>1.0297732622971132</v>
      </c>
    </row>
    <row r="784" spans="1:4" ht="12.75" x14ac:dyDescent="0.2">
      <c r="A784" s="8">
        <f ca="1">IFERROR(__xludf.DUMMYFUNCTION("""COMPUTED_VALUE"""),44980.6458333333)</f>
        <v>44980.645833333299</v>
      </c>
      <c r="B784" s="7">
        <f ca="1">IFERROR(__xludf.DUMMYFUNCTION("""COMPUTED_VALUE"""),801.63)</f>
        <v>801.63</v>
      </c>
      <c r="C784" s="6">
        <f t="shared" ca="1" si="6"/>
        <v>-6.7773510097881573E-3</v>
      </c>
      <c r="D784" s="7">
        <f t="shared" ca="1" si="5"/>
        <v>1.0178012299938874</v>
      </c>
    </row>
    <row r="785" spans="1:4" ht="12.75" x14ac:dyDescent="0.2">
      <c r="A785" s="8">
        <f ca="1">IFERROR(__xludf.DUMMYFUNCTION("""COMPUTED_VALUE"""),44981.6458333333)</f>
        <v>44981.645833333299</v>
      </c>
      <c r="B785" s="7">
        <f ca="1">IFERROR(__xludf.DUMMYFUNCTION("""COMPUTED_VALUE"""),794.48)</f>
        <v>794.48</v>
      </c>
      <c r="C785" s="6">
        <f t="shared" ca="1" si="6"/>
        <v>-8.9193268714993224E-3</v>
      </c>
      <c r="D785" s="7">
        <f t="shared" ca="1" si="5"/>
        <v>1.0319076628738295</v>
      </c>
    </row>
    <row r="786" spans="1:4" ht="12.75" x14ac:dyDescent="0.2">
      <c r="A786" s="8">
        <f ca="1">IFERROR(__xludf.DUMMYFUNCTION("""COMPUTED_VALUE"""),44984.6458333333)</f>
        <v>44984.645833333299</v>
      </c>
      <c r="B786" s="7">
        <f ca="1">IFERROR(__xludf.DUMMYFUNCTION("""COMPUTED_VALUE"""),796.45)</f>
        <v>796.45</v>
      </c>
      <c r="C786" s="6">
        <f t="shared" ca="1" si="6"/>
        <v>2.4796093041989931E-3</v>
      </c>
      <c r="D786" s="7">
        <f t="shared" ca="1" si="5"/>
        <v>1.0325569715613032</v>
      </c>
    </row>
    <row r="787" spans="1:4" ht="12.75" x14ac:dyDescent="0.2">
      <c r="A787" s="8">
        <f ca="1">IFERROR(__xludf.DUMMYFUNCTION("""COMPUTED_VALUE"""),44985.6458333333)</f>
        <v>44985.645833333299</v>
      </c>
      <c r="B787" s="7">
        <f ca="1">IFERROR(__xludf.DUMMYFUNCTION("""COMPUTED_VALUE"""),799.8)</f>
        <v>799.8</v>
      </c>
      <c r="C787" s="6">
        <f t="shared" ca="1" si="6"/>
        <v>4.206164856550787E-3</v>
      </c>
      <c r="D787" s="7">
        <f t="shared" ca="1" si="5"/>
        <v>1.0211302825706428</v>
      </c>
    </row>
    <row r="788" spans="1:4" ht="12.75" x14ac:dyDescent="0.2">
      <c r="A788" s="8">
        <f ca="1">IFERROR(__xludf.DUMMYFUNCTION("""COMPUTED_VALUE"""),44986.6458333333)</f>
        <v>44986.645833333299</v>
      </c>
      <c r="B788" s="7">
        <f ca="1">IFERROR(__xludf.DUMMYFUNCTION("""COMPUTED_VALUE"""),799.03)</f>
        <v>799.03</v>
      </c>
      <c r="C788" s="6">
        <f t="shared" ca="1" si="6"/>
        <v>-9.6274068517121503E-4</v>
      </c>
      <c r="D788" s="7">
        <f t="shared" ca="1" si="5"/>
        <v>1.0122273256323291</v>
      </c>
    </row>
    <row r="789" spans="1:4" ht="12.75" x14ac:dyDescent="0.2">
      <c r="A789" s="8">
        <f ca="1">IFERROR(__xludf.DUMMYFUNCTION("""COMPUTED_VALUE"""),44987.6458333333)</f>
        <v>44987.645833333299</v>
      </c>
      <c r="B789" s="7">
        <f ca="1">IFERROR(__xludf.DUMMYFUNCTION("""COMPUTED_VALUE"""),792.23)</f>
        <v>792.23</v>
      </c>
      <c r="C789" s="6">
        <f t="shared" ca="1" si="6"/>
        <v>-8.5103187614982145E-3</v>
      </c>
      <c r="D789" s="7">
        <f t="shared" ca="1" si="5"/>
        <v>1.0174191838228797</v>
      </c>
    </row>
    <row r="790" spans="1:4" ht="12.75" x14ac:dyDescent="0.2">
      <c r="A790" s="8">
        <f ca="1">IFERROR(__xludf.DUMMYFUNCTION("""COMPUTED_VALUE"""),44988.6458333333)</f>
        <v>44988.645833333299</v>
      </c>
      <c r="B790" s="7">
        <f ca="1">IFERROR(__xludf.DUMMYFUNCTION("""COMPUTED_VALUE"""),807.95)</f>
        <v>807.95</v>
      </c>
      <c r="C790" s="6">
        <f t="shared" ca="1" si="6"/>
        <v>1.9842722441715255E-2</v>
      </c>
      <c r="D790" s="7">
        <f t="shared" ca="1" si="5"/>
        <v>0.98871217278296919</v>
      </c>
    </row>
    <row r="791" spans="1:4" ht="12.75" x14ac:dyDescent="0.2">
      <c r="A791" s="8">
        <f ca="1">IFERROR(__xludf.DUMMYFUNCTION("""COMPUTED_VALUE"""),44991.6458333333)</f>
        <v>44991.645833333299</v>
      </c>
      <c r="B791" s="7">
        <f ca="1">IFERROR(__xludf.DUMMYFUNCTION("""COMPUTED_VALUE"""),813.65)</f>
        <v>813.65</v>
      </c>
      <c r="C791" s="6">
        <f t="shared" ca="1" si="6"/>
        <v>7.0548920106441315E-3</v>
      </c>
      <c r="D791" s="7">
        <f t="shared" ca="1" si="5"/>
        <v>1.0013273520555521</v>
      </c>
    </row>
    <row r="792" spans="1:4" ht="12.75" x14ac:dyDescent="0.2">
      <c r="A792" s="8">
        <f ca="1">IFERROR(__xludf.DUMMYFUNCTION("""COMPUTED_VALUE"""),44993.6458333333)</f>
        <v>44993.645833333299</v>
      </c>
      <c r="B792" s="7">
        <f ca="1">IFERROR(__xludf.DUMMYFUNCTION("""COMPUTED_VALUE"""),815.28)</f>
        <v>815.28</v>
      </c>
      <c r="C792" s="6">
        <f t="shared" ca="1" si="6"/>
        <v>2.0033183801388965E-3</v>
      </c>
      <c r="D792" s="7">
        <f t="shared" ca="1" si="5"/>
        <v>1.0003311745657932</v>
      </c>
    </row>
    <row r="793" spans="1:4" ht="12.75" x14ac:dyDescent="0.2">
      <c r="A793" s="8">
        <f ca="1">IFERROR(__xludf.DUMMYFUNCTION("""COMPUTED_VALUE"""),44994.6458333333)</f>
        <v>44994.645833333299</v>
      </c>
      <c r="B793" s="7">
        <f ca="1">IFERROR(__xludf.DUMMYFUNCTION("""COMPUTED_VALUE"""),815.35)</f>
        <v>815.35</v>
      </c>
      <c r="C793" s="6">
        <f t="shared" ca="1" si="6"/>
        <v>8.5860072613241911E-5</v>
      </c>
      <c r="D793" s="7">
        <f t="shared" ca="1" si="5"/>
        <v>0.99944808977739619</v>
      </c>
    </row>
    <row r="794" spans="1:4" ht="12.75" x14ac:dyDescent="0.2">
      <c r="A794" s="8">
        <f ca="1">IFERROR(__xludf.DUMMYFUNCTION("""COMPUTED_VALUE"""),44995.6458333333)</f>
        <v>44995.645833333299</v>
      </c>
      <c r="B794" s="7">
        <f ca="1">IFERROR(__xludf.DUMMYFUNCTION("""COMPUTED_VALUE"""),794.33)</f>
        <v>794.33</v>
      </c>
      <c r="C794" s="6">
        <f t="shared" ca="1" si="6"/>
        <v>-2.5780339731403701E-2</v>
      </c>
      <c r="D794" s="7">
        <f t="shared" ca="1" si="5"/>
        <v>1.0331348432011884</v>
      </c>
    </row>
    <row r="795" spans="1:4" ht="12.75" x14ac:dyDescent="0.2">
      <c r="A795" s="8">
        <f ca="1">IFERROR(__xludf.DUMMYFUNCTION("""COMPUTED_VALUE"""),44998.6458333333)</f>
        <v>44998.645833333299</v>
      </c>
      <c r="B795" s="7">
        <f ca="1">IFERROR(__xludf.DUMMYFUNCTION("""COMPUTED_VALUE"""),784.28)</f>
        <v>784.28</v>
      </c>
      <c r="C795" s="6">
        <f t="shared" ca="1" si="6"/>
        <v>-1.2652172270970596E-2</v>
      </c>
      <c r="D795" s="7">
        <f t="shared" ca="1" si="5"/>
        <v>1.0379966338552558</v>
      </c>
    </row>
    <row r="796" spans="1:4" ht="12.75" x14ac:dyDescent="0.2">
      <c r="A796" s="8">
        <f ca="1">IFERROR(__xludf.DUMMYFUNCTION("""COMPUTED_VALUE"""),44999.6458333333)</f>
        <v>44999.645833333299</v>
      </c>
      <c r="B796" s="7">
        <f ca="1">IFERROR(__xludf.DUMMYFUNCTION("""COMPUTED_VALUE"""),782.18)</f>
        <v>782.18</v>
      </c>
      <c r="C796" s="6">
        <f t="shared" ca="1" si="6"/>
        <v>-2.6776151374509061E-3</v>
      </c>
      <c r="D796" s="7">
        <f t="shared" ca="1" si="5"/>
        <v>1.0411286404663889</v>
      </c>
    </row>
    <row r="797" spans="1:4" ht="12.75" x14ac:dyDescent="0.2">
      <c r="A797" s="8">
        <f ca="1">IFERROR(__xludf.DUMMYFUNCTION("""COMPUTED_VALUE"""),45000.6458333333)</f>
        <v>45000.645833333299</v>
      </c>
      <c r="B797" s="7">
        <f ca="1">IFERROR(__xludf.DUMMYFUNCTION("""COMPUTED_VALUE"""),770.95)</f>
        <v>770.95</v>
      </c>
      <c r="C797" s="6">
        <f t="shared" ca="1" si="6"/>
        <v>-1.4357309059295664E-2</v>
      </c>
      <c r="D797" s="7">
        <f t="shared" ca="1" si="5"/>
        <v>1.0632077307218366</v>
      </c>
    </row>
    <row r="798" spans="1:4" ht="12.75" x14ac:dyDescent="0.2">
      <c r="A798" s="8">
        <f ca="1">IFERROR(__xludf.DUMMYFUNCTION("""COMPUTED_VALUE"""),45001.6458333333)</f>
        <v>45001.645833333299</v>
      </c>
      <c r="B798" s="7">
        <f ca="1">IFERROR(__xludf.DUMMYFUNCTION("""COMPUTED_VALUE"""),775.95)</f>
        <v>775.95</v>
      </c>
      <c r="C798" s="6">
        <f t="shared" ca="1" si="6"/>
        <v>6.4855048965561934E-3</v>
      </c>
      <c r="D798" s="7">
        <f t="shared" ca="1" si="5"/>
        <v>1.0374766415361814</v>
      </c>
    </row>
    <row r="799" spans="1:4" ht="12.75" x14ac:dyDescent="0.2">
      <c r="A799" s="8">
        <f ca="1">IFERROR(__xludf.DUMMYFUNCTION("""COMPUTED_VALUE"""),45002.6458333333)</f>
        <v>45002.645833333299</v>
      </c>
      <c r="B799" s="7">
        <f ca="1">IFERROR(__xludf.DUMMYFUNCTION("""COMPUTED_VALUE"""),786.33)</f>
        <v>786.33</v>
      </c>
      <c r="C799" s="6">
        <f t="shared" ca="1" si="6"/>
        <v>1.3377150589599873E-2</v>
      </c>
      <c r="D799" s="7">
        <f t="shared" ca="1" si="5"/>
        <v>1.0171937990411151</v>
      </c>
    </row>
    <row r="800" spans="1:4" ht="12.75" x14ac:dyDescent="0.2">
      <c r="A800" s="8">
        <f ca="1">IFERROR(__xludf.DUMMYFUNCTION("""COMPUTED_VALUE"""),45005.6458333333)</f>
        <v>45005.645833333299</v>
      </c>
      <c r="B800" s="7">
        <f ca="1">IFERROR(__xludf.DUMMYFUNCTION("""COMPUTED_VALUE"""),780.88)</f>
        <v>780.88</v>
      </c>
      <c r="C800" s="6">
        <f t="shared" ca="1" si="6"/>
        <v>-6.9309323057750172E-3</v>
      </c>
      <c r="D800" s="7">
        <f t="shared" ca="1" si="5"/>
        <v>1.0208994980022539</v>
      </c>
    </row>
    <row r="801" spans="1:4" ht="12.75" x14ac:dyDescent="0.2">
      <c r="A801" s="8">
        <f ca="1">IFERROR(__xludf.DUMMYFUNCTION("""COMPUTED_VALUE"""),45006.6458333333)</f>
        <v>45006.645833333299</v>
      </c>
      <c r="B801" s="7">
        <f ca="1">IFERROR(__xludf.DUMMYFUNCTION("""COMPUTED_VALUE"""),789.73)</f>
        <v>789.73</v>
      </c>
      <c r="C801" s="6">
        <f t="shared" ca="1" si="6"/>
        <v>1.1333367482839973E-2</v>
      </c>
      <c r="D801" s="7">
        <f t="shared" ca="1" si="5"/>
        <v>1.0114216251123802</v>
      </c>
    </row>
    <row r="802" spans="1:4" ht="12.75" x14ac:dyDescent="0.2">
      <c r="A802" s="8">
        <f ca="1">IFERROR(__xludf.DUMMYFUNCTION("""COMPUTED_VALUE"""),45007.6458333333)</f>
        <v>45007.645833333299</v>
      </c>
      <c r="B802" s="7">
        <f ca="1">IFERROR(__xludf.DUMMYFUNCTION("""COMPUTED_VALUE"""),787.9)</f>
        <v>787.9</v>
      </c>
      <c r="C802" s="6">
        <f t="shared" ca="1" si="6"/>
        <v>-2.3172476669242048E-3</v>
      </c>
      <c r="D802" s="7">
        <f t="shared" ca="1" si="5"/>
        <v>0.9952405127554258</v>
      </c>
    </row>
    <row r="803" spans="1:4" ht="12.75" x14ac:dyDescent="0.2">
      <c r="A803" s="8">
        <f ca="1">IFERROR(__xludf.DUMMYFUNCTION("""COMPUTED_VALUE"""),45008.6458333333)</f>
        <v>45008.645833333299</v>
      </c>
      <c r="B803" s="7">
        <f ca="1">IFERROR(__xludf.DUMMYFUNCTION("""COMPUTED_VALUE"""),781.58)</f>
        <v>781.58</v>
      </c>
      <c r="C803" s="6">
        <f t="shared" ca="1" si="6"/>
        <v>-8.0213225028555879E-3</v>
      </c>
      <c r="D803" s="7">
        <f t="shared" ca="1" si="5"/>
        <v>1.017746104045651</v>
      </c>
    </row>
    <row r="804" spans="1:4" ht="12.75" x14ac:dyDescent="0.2">
      <c r="A804" s="8">
        <f ca="1">IFERROR(__xludf.DUMMYFUNCTION("""COMPUTED_VALUE"""),45009.6458333333)</f>
        <v>45009.645833333299</v>
      </c>
      <c r="B804" s="7">
        <f ca="1">IFERROR(__xludf.DUMMYFUNCTION("""COMPUTED_VALUE"""),780.33)</f>
        <v>780.33</v>
      </c>
      <c r="C804" s="6">
        <f t="shared" ca="1" si="6"/>
        <v>-1.5993244453542665E-3</v>
      </c>
      <c r="D804" s="7">
        <f t="shared" ca="1" si="5"/>
        <v>1.0248228313662169</v>
      </c>
    </row>
    <row r="805" spans="1:4" ht="12.75" x14ac:dyDescent="0.2">
      <c r="A805" s="8">
        <f ca="1">IFERROR(__xludf.DUMMYFUNCTION("""COMPUTED_VALUE"""),45012.6458333333)</f>
        <v>45012.645833333299</v>
      </c>
      <c r="B805" s="7">
        <f ca="1">IFERROR(__xludf.DUMMYFUNCTION("""COMPUTED_VALUE"""),783.73)</f>
        <v>783.73</v>
      </c>
      <c r="C805" s="6">
        <f t="shared" ca="1" si="6"/>
        <v>4.3571309574155226E-3</v>
      </c>
      <c r="D805" s="7">
        <f t="shared" ca="1" si="5"/>
        <v>1.0211807637834458</v>
      </c>
    </row>
    <row r="806" spans="1:4" ht="12.75" x14ac:dyDescent="0.2">
      <c r="A806" s="8">
        <f ca="1">IFERROR(__xludf.DUMMYFUNCTION("""COMPUTED_VALUE"""),45013.6458333333)</f>
        <v>45013.645833333299</v>
      </c>
      <c r="B806" s="7">
        <f ca="1">IFERROR(__xludf.DUMMYFUNCTION("""COMPUTED_VALUE"""),790.1)</f>
        <v>790.1</v>
      </c>
      <c r="C806" s="6">
        <f t="shared" ca="1" si="6"/>
        <v>8.1277991144910189E-3</v>
      </c>
      <c r="D806" s="7">
        <f t="shared" ca="1" si="5"/>
        <v>1.0032274395646119</v>
      </c>
    </row>
    <row r="807" spans="1:4" ht="12.75" x14ac:dyDescent="0.2">
      <c r="A807" s="8">
        <f ca="1">IFERROR(__xludf.DUMMYFUNCTION("""COMPUTED_VALUE"""),45014.6458333333)</f>
        <v>45014.645833333299</v>
      </c>
      <c r="B807" s="7">
        <f ca="1">IFERROR(__xludf.DUMMYFUNCTION("""COMPUTED_VALUE"""),793.9)</f>
        <v>793.9</v>
      </c>
      <c r="C807" s="6">
        <f t="shared" ca="1" si="6"/>
        <v>4.809517782559114E-3</v>
      </c>
      <c r="D807" s="7">
        <f t="shared" ca="1" si="5"/>
        <v>1.0132888273082252</v>
      </c>
    </row>
    <row r="808" spans="1:4" ht="12.75" x14ac:dyDescent="0.2">
      <c r="A808" s="8">
        <f ca="1">IFERROR(__xludf.DUMMYFUNCTION("""COMPUTED_VALUE"""),45016.6458333333)</f>
        <v>45016.645833333299</v>
      </c>
      <c r="B808" s="7">
        <f ca="1">IFERROR(__xludf.DUMMYFUNCTION("""COMPUTED_VALUE"""),804.78)</f>
        <v>804.78</v>
      </c>
      <c r="C808" s="6">
        <f t="shared" ca="1" si="6"/>
        <v>1.3704496788008669E-2</v>
      </c>
      <c r="D808" s="7">
        <f t="shared" ca="1" si="5"/>
        <v>1.0172345237207685</v>
      </c>
    </row>
    <row r="809" spans="1:4" ht="12.75" x14ac:dyDescent="0.2">
      <c r="A809" s="8">
        <f ca="1">IFERROR(__xludf.DUMMYFUNCTION("""COMPUTED_VALUE"""),45019.6458333333)</f>
        <v>45019.645833333299</v>
      </c>
      <c r="B809" s="7">
        <f ca="1">IFERROR(__xludf.DUMMYFUNCTION("""COMPUTED_VALUE"""),805.28)</f>
        <v>805.28</v>
      </c>
      <c r="C809" s="6">
        <f t="shared" ca="1" si="6"/>
        <v>6.2128780536285788E-4</v>
      </c>
      <c r="D809" s="7">
        <f t="shared" ca="1" si="5"/>
        <v>1.02082505463938</v>
      </c>
    </row>
    <row r="810" spans="1:4" ht="12.75" x14ac:dyDescent="0.2">
      <c r="A810" s="8">
        <f ca="1">IFERROR(__xludf.DUMMYFUNCTION("""COMPUTED_VALUE"""),45021.6458333333)</f>
        <v>45021.645833333299</v>
      </c>
      <c r="B810" s="7">
        <f ca="1">IFERROR(__xludf.DUMMYFUNCTION("""COMPUTED_VALUE"""),826.88)</f>
        <v>826.88</v>
      </c>
      <c r="C810" s="6">
        <f t="shared" ca="1" si="6"/>
        <v>2.6822968408503955E-2</v>
      </c>
      <c r="D810" s="7">
        <f t="shared" ca="1" si="5"/>
        <v>1.0043537151702786</v>
      </c>
    </row>
    <row r="811" spans="1:4" ht="12.75" x14ac:dyDescent="0.2">
      <c r="A811" s="8">
        <f ca="1">IFERROR(__xludf.DUMMYFUNCTION("""COMPUTED_VALUE"""),45022.6458333333)</f>
        <v>45022.645833333299</v>
      </c>
      <c r="B811" s="7">
        <f ca="1">IFERROR(__xludf.DUMMYFUNCTION("""COMPUTED_VALUE"""),833.18)</f>
        <v>833.18</v>
      </c>
      <c r="C811" s="6">
        <f t="shared" ca="1" si="6"/>
        <v>7.6190015479875584E-3</v>
      </c>
      <c r="D811" s="7">
        <f t="shared" ca="1" si="5"/>
        <v>1.0040447442329388</v>
      </c>
    </row>
    <row r="812" spans="1:4" ht="12.75" x14ac:dyDescent="0.2">
      <c r="A812" s="8">
        <f ca="1">IFERROR(__xludf.DUMMYFUNCTION("""COMPUTED_VALUE"""),45026.6458333333)</f>
        <v>45026.645833333299</v>
      </c>
      <c r="B812" s="7">
        <f ca="1">IFERROR(__xludf.DUMMYFUNCTION("""COMPUTED_VALUE"""),829.23)</f>
        <v>829.23</v>
      </c>
      <c r="C812" s="6">
        <f t="shared" ca="1" si="6"/>
        <v>-4.7408723205069059E-3</v>
      </c>
      <c r="D812" s="7">
        <f t="shared" ca="1" si="5"/>
        <v>1.0223339724804938</v>
      </c>
    </row>
    <row r="813" spans="1:4" ht="12.75" x14ac:dyDescent="0.2">
      <c r="A813" s="8">
        <f ca="1">IFERROR(__xludf.DUMMYFUNCTION("""COMPUTED_VALUE"""),45027.6458333333)</f>
        <v>45027.645833333299</v>
      </c>
      <c r="B813" s="7">
        <f ca="1">IFERROR(__xludf.DUMMYFUNCTION("""COMPUTED_VALUE"""),831.65)</f>
        <v>831.65</v>
      </c>
      <c r="C813" s="6">
        <f t="shared" ca="1" si="6"/>
        <v>2.9183700541466351E-3</v>
      </c>
      <c r="D813" s="7">
        <f t="shared" ca="1" si="5"/>
        <v>0.99119822040521866</v>
      </c>
    </row>
    <row r="814" spans="1:4" ht="12.75" x14ac:dyDescent="0.2">
      <c r="A814" s="8">
        <f ca="1">IFERROR(__xludf.DUMMYFUNCTION("""COMPUTED_VALUE"""),45028.6458333333)</f>
        <v>45028.645833333299</v>
      </c>
      <c r="B814" s="7">
        <f ca="1">IFERROR(__xludf.DUMMYFUNCTION("""COMPUTED_VALUE"""),842.45)</f>
        <v>842.45</v>
      </c>
      <c r="C814" s="6">
        <f t="shared" ca="1" si="6"/>
        <v>1.2986232189021951E-2</v>
      </c>
      <c r="D814" s="7">
        <f t="shared" ca="1" si="5"/>
        <v>0.95898866401566851</v>
      </c>
    </row>
    <row r="815" spans="1:4" ht="12.75" x14ac:dyDescent="0.2">
      <c r="A815" s="8">
        <f ca="1">IFERROR(__xludf.DUMMYFUNCTION("""COMPUTED_VALUE"""),45029.6458333333)</f>
        <v>45029.645833333299</v>
      </c>
      <c r="B815" s="7">
        <f ca="1">IFERROR(__xludf.DUMMYFUNCTION("""COMPUTED_VALUE"""),846.23)</f>
        <v>846.23</v>
      </c>
      <c r="C815" s="6">
        <f t="shared" ca="1" si="6"/>
        <v>4.486913169921003E-3</v>
      </c>
      <c r="D815" s="7">
        <f t="shared" ca="1" si="5"/>
        <v>0.95373598194344333</v>
      </c>
    </row>
    <row r="816" spans="1:4" ht="12.75" x14ac:dyDescent="0.2">
      <c r="A816" s="8">
        <f ca="1">IFERROR(__xludf.DUMMYFUNCTION("""COMPUTED_VALUE"""),45033.6458333333)</f>
        <v>45033.645833333299</v>
      </c>
      <c r="B816" s="7">
        <f ca="1">IFERROR(__xludf.DUMMYFUNCTION("""COMPUTED_VALUE"""),833.33)</f>
        <v>833.33</v>
      </c>
      <c r="C816" s="6">
        <f t="shared" ca="1" si="6"/>
        <v>-1.5244082578022455E-2</v>
      </c>
      <c r="D816" s="7">
        <f t="shared" ref="D816:D1070" ca="1" si="7">AVERAGE(B767/B816)</f>
        <v>0.96210384841539365</v>
      </c>
    </row>
    <row r="817" spans="1:4" ht="12.75" x14ac:dyDescent="0.2">
      <c r="A817" s="8">
        <f ca="1">IFERROR(__xludf.DUMMYFUNCTION("""COMPUTED_VALUE"""),45034.6458333333)</f>
        <v>45034.645833333299</v>
      </c>
      <c r="B817" s="7">
        <f ca="1">IFERROR(__xludf.DUMMYFUNCTION("""COMPUTED_VALUE"""),829.8)</f>
        <v>829.8</v>
      </c>
      <c r="C817" s="6">
        <f t="shared" ca="1" si="6"/>
        <v>-4.236016944067833E-3</v>
      </c>
      <c r="D817" s="7">
        <f t="shared" ca="1" si="7"/>
        <v>0.98069414316702819</v>
      </c>
    </row>
    <row r="818" spans="1:4" ht="12.75" x14ac:dyDescent="0.2">
      <c r="A818" s="8">
        <f ca="1">IFERROR(__xludf.DUMMYFUNCTION("""COMPUTED_VALUE"""),45035.6458333333)</f>
        <v>45035.645833333299</v>
      </c>
      <c r="B818" s="7">
        <f ca="1">IFERROR(__xludf.DUMMYFUNCTION("""COMPUTED_VALUE"""),832.85)</f>
        <v>832.85</v>
      </c>
      <c r="C818" s="6">
        <f t="shared" ca="1" si="6"/>
        <v>3.6755844781874991E-3</v>
      </c>
      <c r="D818" s="7">
        <f t="shared" ca="1" si="7"/>
        <v>0.96257429308999209</v>
      </c>
    </row>
    <row r="819" spans="1:4" ht="12.75" x14ac:dyDescent="0.2">
      <c r="A819" s="8">
        <f ca="1">IFERROR(__xludf.DUMMYFUNCTION("""COMPUTED_VALUE"""),45036.6458333333)</f>
        <v>45036.645833333299</v>
      </c>
      <c r="B819" s="7">
        <f ca="1">IFERROR(__xludf.DUMMYFUNCTION("""COMPUTED_VALUE"""),835.95)</f>
        <v>835.95</v>
      </c>
      <c r="C819" s="6">
        <f t="shared" ca="1" si="6"/>
        <v>3.7221588521343385E-3</v>
      </c>
      <c r="D819" s="7">
        <f t="shared" ca="1" si="7"/>
        <v>0.99216460314612109</v>
      </c>
    </row>
    <row r="820" spans="1:4" ht="12.75" x14ac:dyDescent="0.2">
      <c r="A820" s="8">
        <f ca="1">IFERROR(__xludf.DUMMYFUNCTION("""COMPUTED_VALUE"""),45037.6458333333)</f>
        <v>45037.645833333299</v>
      </c>
      <c r="B820" s="7">
        <f ca="1">IFERROR(__xludf.DUMMYFUNCTION("""COMPUTED_VALUE"""),837.3)</f>
        <v>837.3</v>
      </c>
      <c r="C820" s="6">
        <f t="shared" ca="1" si="6"/>
        <v>1.6149291225551199E-3</v>
      </c>
      <c r="D820" s="7">
        <f t="shared" ca="1" si="7"/>
        <v>0.9863609220112266</v>
      </c>
    </row>
    <row r="821" spans="1:4" ht="12.75" x14ac:dyDescent="0.2">
      <c r="A821" s="8">
        <f ca="1">IFERROR(__xludf.DUMMYFUNCTION("""COMPUTED_VALUE"""),45040.6458333333)</f>
        <v>45040.645833333299</v>
      </c>
      <c r="B821" s="7">
        <f ca="1">IFERROR(__xludf.DUMMYFUNCTION("""COMPUTED_VALUE"""),844.08)</f>
        <v>844.08</v>
      </c>
      <c r="C821" s="6">
        <f t="shared" ca="1" si="6"/>
        <v>8.0974561089215413E-3</v>
      </c>
      <c r="D821" s="7">
        <f t="shared" ca="1" si="7"/>
        <v>0.97988342337219214</v>
      </c>
    </row>
    <row r="822" spans="1:4" ht="12.75" x14ac:dyDescent="0.2">
      <c r="A822" s="8">
        <f ca="1">IFERROR(__xludf.DUMMYFUNCTION("""COMPUTED_VALUE"""),45041.6458333333)</f>
        <v>45041.645833333299</v>
      </c>
      <c r="B822" s="7">
        <f ca="1">IFERROR(__xludf.DUMMYFUNCTION("""COMPUTED_VALUE"""),832.08)</f>
        <v>832.08</v>
      </c>
      <c r="C822" s="6">
        <f t="shared" ca="1" si="6"/>
        <v>-1.4216661927779373E-2</v>
      </c>
      <c r="D822" s="7">
        <f t="shared" ca="1" si="7"/>
        <v>0.9938948178059801</v>
      </c>
    </row>
    <row r="823" spans="1:4" ht="12.75" x14ac:dyDescent="0.2">
      <c r="A823" s="8">
        <f ca="1">IFERROR(__xludf.DUMMYFUNCTION("""COMPUTED_VALUE"""),45042.6458333333)</f>
        <v>45042.645833333299</v>
      </c>
      <c r="B823" s="7">
        <f ca="1">IFERROR(__xludf.DUMMYFUNCTION("""COMPUTED_VALUE"""),835.9)</f>
        <v>835.9</v>
      </c>
      <c r="C823" s="6">
        <f t="shared" ca="1" si="6"/>
        <v>4.5909047206997844E-3</v>
      </c>
      <c r="D823" s="7">
        <f t="shared" ca="1" si="7"/>
        <v>0.98729513099653066</v>
      </c>
    </row>
    <row r="824" spans="1:4" ht="12.75" x14ac:dyDescent="0.2">
      <c r="A824" s="8">
        <f ca="1">IFERROR(__xludf.DUMMYFUNCTION("""COMPUTED_VALUE"""),45043.6458333333)</f>
        <v>45043.645833333299</v>
      </c>
      <c r="B824" s="7">
        <f ca="1">IFERROR(__xludf.DUMMYFUNCTION("""COMPUTED_VALUE"""),840.5)</f>
        <v>840.5</v>
      </c>
      <c r="C824" s="6">
        <f t="shared" ca="1" si="6"/>
        <v>5.503050604139359E-3</v>
      </c>
      <c r="D824" s="7">
        <f t="shared" ca="1" si="7"/>
        <v>0.98578227245687089</v>
      </c>
    </row>
    <row r="825" spans="1:4" ht="12.75" x14ac:dyDescent="0.2">
      <c r="A825" s="8">
        <f ca="1">IFERROR(__xludf.DUMMYFUNCTION("""COMPUTED_VALUE"""),45044.6458333333)</f>
        <v>45044.645833333299</v>
      </c>
      <c r="B825" s="7">
        <f ca="1">IFERROR(__xludf.DUMMYFUNCTION("""COMPUTED_VALUE"""),843.8)</f>
        <v>843.8</v>
      </c>
      <c r="C825" s="6">
        <f t="shared" ca="1" si="6"/>
        <v>3.9262343842949576E-3</v>
      </c>
      <c r="D825" s="7">
        <f t="shared" ca="1" si="7"/>
        <v>0.98267361934107611</v>
      </c>
    </row>
    <row r="826" spans="1:4" ht="12.75" x14ac:dyDescent="0.2">
      <c r="A826" s="8">
        <f ca="1">IFERROR(__xludf.DUMMYFUNCTION("""COMPUTED_VALUE"""),45048.6458333333)</f>
        <v>45048.645833333299</v>
      </c>
      <c r="B826" s="7">
        <f ca="1">IFERROR(__xludf.DUMMYFUNCTION("""COMPUTED_VALUE"""),843.63)</f>
        <v>843.63</v>
      </c>
      <c r="C826" s="6">
        <f t="shared" ca="1" si="6"/>
        <v>-2.0146954254562921E-4</v>
      </c>
      <c r="D826" s="7">
        <f t="shared" ca="1" si="7"/>
        <v>0.99196330144731704</v>
      </c>
    </row>
    <row r="827" spans="1:4" ht="12.75" x14ac:dyDescent="0.2">
      <c r="A827" s="8">
        <f ca="1">IFERROR(__xludf.DUMMYFUNCTION("""COMPUTED_VALUE"""),45049.6458333333)</f>
        <v>45049.645833333299</v>
      </c>
      <c r="B827" s="7">
        <f ca="1">IFERROR(__xludf.DUMMYFUNCTION("""COMPUTED_VALUE"""),846.58)</f>
        <v>846.58</v>
      </c>
      <c r="C827" s="6">
        <f t="shared" ca="1" si="6"/>
        <v>3.4967936180554382E-3</v>
      </c>
      <c r="D827" s="7">
        <f t="shared" ca="1" si="7"/>
        <v>0.98649861796876837</v>
      </c>
    </row>
    <row r="828" spans="1:4" ht="12.75" x14ac:dyDescent="0.2">
      <c r="A828" s="8">
        <f ca="1">IFERROR(__xludf.DUMMYFUNCTION("""COMPUTED_VALUE"""),45050.6458333333)</f>
        <v>45050.645833333299</v>
      </c>
      <c r="B828" s="7">
        <f ca="1">IFERROR(__xludf.DUMMYFUNCTION("""COMPUTED_VALUE"""),863.9)</f>
        <v>863.9</v>
      </c>
      <c r="C828" s="6">
        <f t="shared" ca="1" si="6"/>
        <v>2.0458787119941313E-2</v>
      </c>
      <c r="D828" s="7">
        <f t="shared" ca="1" si="7"/>
        <v>0.96322491029054291</v>
      </c>
    </row>
    <row r="829" spans="1:4" ht="12.75" x14ac:dyDescent="0.2">
      <c r="A829" s="8">
        <f ca="1">IFERROR(__xludf.DUMMYFUNCTION("""COMPUTED_VALUE"""),45051.6458333333)</f>
        <v>45051.645833333299</v>
      </c>
      <c r="B829" s="7">
        <f ca="1">IFERROR(__xludf.DUMMYFUNCTION("""COMPUTED_VALUE"""),812.83)</f>
        <v>812.83</v>
      </c>
      <c r="C829" s="6">
        <f t="shared" ca="1" si="6"/>
        <v>-5.9115638384072189E-2</v>
      </c>
      <c r="D829" s="7">
        <f t="shared" ca="1" si="7"/>
        <v>1.0186016756271299</v>
      </c>
    </row>
    <row r="830" spans="1:4" ht="12.75" x14ac:dyDescent="0.2">
      <c r="A830" s="8">
        <f ca="1">IFERROR(__xludf.DUMMYFUNCTION("""COMPUTED_VALUE"""),45054.6458333333)</f>
        <v>45054.645833333299</v>
      </c>
      <c r="B830" s="7">
        <f ca="1">IFERROR(__xludf.DUMMYFUNCTION("""COMPUTED_VALUE"""),822.23)</f>
        <v>822.23</v>
      </c>
      <c r="C830" s="6">
        <f t="shared" ca="1" si="6"/>
        <v>1.1564533789353293E-2</v>
      </c>
      <c r="D830" s="7">
        <f t="shared" ca="1" si="7"/>
        <v>0.99750678034126694</v>
      </c>
    </row>
    <row r="831" spans="1:4" ht="12.75" x14ac:dyDescent="0.2">
      <c r="A831" s="8">
        <f ca="1">IFERROR(__xludf.DUMMYFUNCTION("""COMPUTED_VALUE"""),45055.6458333333)</f>
        <v>45055.645833333299</v>
      </c>
      <c r="B831" s="7">
        <f ca="1">IFERROR(__xludf.DUMMYFUNCTION("""COMPUTED_VALUE"""),822.25)</f>
        <v>822.25</v>
      </c>
      <c r="C831" s="6">
        <f t="shared" ca="1" si="6"/>
        <v>2.4324094231475968E-5</v>
      </c>
      <c r="D831" s="7">
        <f t="shared" ca="1" si="7"/>
        <v>1.0012161751292186</v>
      </c>
    </row>
    <row r="832" spans="1:4" ht="12.75" x14ac:dyDescent="0.2">
      <c r="A832" s="8">
        <f ca="1">IFERROR(__xludf.DUMMYFUNCTION("""COMPUTED_VALUE"""),45056.6458333333)</f>
        <v>45056.645833333299</v>
      </c>
      <c r="B832" s="7">
        <f ca="1">IFERROR(__xludf.DUMMYFUNCTION("""COMPUTED_VALUE"""),826.05)</f>
        <v>826.05</v>
      </c>
      <c r="C832" s="6">
        <f t="shared" ca="1" si="6"/>
        <v>4.6214654910305963E-3</v>
      </c>
      <c r="D832" s="7">
        <f t="shared" ca="1" si="7"/>
        <v>0.97705950003026454</v>
      </c>
    </row>
    <row r="833" spans="1:4" ht="12.75" x14ac:dyDescent="0.2">
      <c r="A833" s="8">
        <f ca="1">IFERROR(__xludf.DUMMYFUNCTION("""COMPUTED_VALUE"""),45057.6458333333)</f>
        <v>45057.645833333299</v>
      </c>
      <c r="B833" s="7">
        <f ca="1">IFERROR(__xludf.DUMMYFUNCTION("""COMPUTED_VALUE"""),826.6)</f>
        <v>826.6</v>
      </c>
      <c r="C833" s="6">
        <f t="shared" ca="1" si="6"/>
        <v>6.6581926033548733E-4</v>
      </c>
      <c r="D833" s="7">
        <f t="shared" ca="1" si="7"/>
        <v>0.9697919187031212</v>
      </c>
    </row>
    <row r="834" spans="1:4" ht="12.75" x14ac:dyDescent="0.2">
      <c r="A834" s="8">
        <f ca="1">IFERROR(__xludf.DUMMYFUNCTION("""COMPUTED_VALUE"""),45058.6458333333)</f>
        <v>45058.645833333299</v>
      </c>
      <c r="B834" s="7">
        <f ca="1">IFERROR(__xludf.DUMMYFUNCTION("""COMPUTED_VALUE"""),833.9)</f>
        <v>833.9</v>
      </c>
      <c r="C834" s="6">
        <f t="shared" ca="1" si="6"/>
        <v>8.831357367529602E-3</v>
      </c>
      <c r="D834" s="7">
        <f t="shared" ca="1" si="7"/>
        <v>0.95272814486149426</v>
      </c>
    </row>
    <row r="835" spans="1:4" ht="12.75" x14ac:dyDescent="0.2">
      <c r="A835" s="8">
        <f ca="1">IFERROR(__xludf.DUMMYFUNCTION("""COMPUTED_VALUE"""),45061.6458333333)</f>
        <v>45061.645833333299</v>
      </c>
      <c r="B835" s="7">
        <f ca="1">IFERROR(__xludf.DUMMYFUNCTION("""COMPUTED_VALUE"""),837.9)</f>
        <v>837.9</v>
      </c>
      <c r="C835" s="6">
        <f t="shared" ca="1" si="6"/>
        <v>4.7967382180118534E-3</v>
      </c>
      <c r="D835" s="7">
        <f t="shared" ca="1" si="7"/>
        <v>0.95053108962883404</v>
      </c>
    </row>
    <row r="836" spans="1:4" ht="12.75" x14ac:dyDescent="0.2">
      <c r="A836" s="8">
        <f ca="1">IFERROR(__xludf.DUMMYFUNCTION("""COMPUTED_VALUE"""),45062.6458333333)</f>
        <v>45062.645833333299</v>
      </c>
      <c r="B836" s="7">
        <f ca="1">IFERROR(__xludf.DUMMYFUNCTION("""COMPUTED_VALUE"""),823.65)</f>
        <v>823.65</v>
      </c>
      <c r="C836" s="6">
        <f t="shared" ca="1" si="6"/>
        <v>-1.7006802721088454E-2</v>
      </c>
      <c r="D836" s="7">
        <f t="shared" ca="1" si="7"/>
        <v>0.97104352576944086</v>
      </c>
    </row>
    <row r="837" spans="1:4" ht="12.75" x14ac:dyDescent="0.2">
      <c r="A837" s="8">
        <f ca="1">IFERROR(__xludf.DUMMYFUNCTION("""COMPUTED_VALUE"""),45063.6458333333)</f>
        <v>45063.645833333299</v>
      </c>
      <c r="B837" s="7">
        <f ca="1">IFERROR(__xludf.DUMMYFUNCTION("""COMPUTED_VALUE"""),819.23)</f>
        <v>819.23</v>
      </c>
      <c r="C837" s="6">
        <f t="shared" ca="1" si="6"/>
        <v>-5.366357069143346E-3</v>
      </c>
      <c r="D837" s="7">
        <f t="shared" ca="1" si="7"/>
        <v>0.97534269985230027</v>
      </c>
    </row>
    <row r="838" spans="1:4" ht="12.75" x14ac:dyDescent="0.2">
      <c r="A838" s="8">
        <f ca="1">IFERROR(__xludf.DUMMYFUNCTION("""COMPUTED_VALUE"""),45064.6458333333)</f>
        <v>45064.645833333299</v>
      </c>
      <c r="B838" s="7">
        <f ca="1">IFERROR(__xludf.DUMMYFUNCTION("""COMPUTED_VALUE"""),822.5)</f>
        <v>822.5</v>
      </c>
      <c r="C838" s="6">
        <f t="shared" ca="1" si="6"/>
        <v>3.991553043711793E-3</v>
      </c>
      <c r="D838" s="7">
        <f t="shared" ca="1" si="7"/>
        <v>0.96319756838905779</v>
      </c>
    </row>
    <row r="839" spans="1:4" ht="12.75" x14ac:dyDescent="0.2">
      <c r="A839" s="8">
        <f ca="1">IFERROR(__xludf.DUMMYFUNCTION("""COMPUTED_VALUE"""),45065.6458333333)</f>
        <v>45065.645833333299</v>
      </c>
      <c r="B839" s="7">
        <f ca="1">IFERROR(__xludf.DUMMYFUNCTION("""COMPUTED_VALUE"""),823.45)</f>
        <v>823.45</v>
      </c>
      <c r="C839" s="6">
        <f t="shared" ca="1" si="6"/>
        <v>1.1550151975685541E-3</v>
      </c>
      <c r="D839" s="7">
        <f t="shared" ca="1" si="7"/>
        <v>0.98117675633007473</v>
      </c>
    </row>
    <row r="840" spans="1:4" ht="12.75" x14ac:dyDescent="0.2">
      <c r="A840" s="8">
        <f ca="1">IFERROR(__xludf.DUMMYFUNCTION("""COMPUTED_VALUE"""),45068.6458333333)</f>
        <v>45068.645833333299</v>
      </c>
      <c r="B840" s="7">
        <f ca="1">IFERROR(__xludf.DUMMYFUNCTION("""COMPUTED_VALUE"""),820.53)</f>
        <v>820.53</v>
      </c>
      <c r="C840" s="6">
        <f t="shared" ca="1" si="6"/>
        <v>-3.546056226850558E-3</v>
      </c>
      <c r="D840" s="7">
        <f t="shared" ca="1" si="7"/>
        <v>0.99161517555726175</v>
      </c>
    </row>
    <row r="841" spans="1:4" ht="12.75" x14ac:dyDescent="0.2">
      <c r="A841" s="8">
        <f ca="1">IFERROR(__xludf.DUMMYFUNCTION("""COMPUTED_VALUE"""),45069.6458333333)</f>
        <v>45069.645833333299</v>
      </c>
      <c r="B841" s="7">
        <f ca="1">IFERROR(__xludf.DUMMYFUNCTION("""COMPUTED_VALUE"""),818.6)</f>
        <v>818.6</v>
      </c>
      <c r="C841" s="6">
        <f t="shared" ca="1" si="6"/>
        <v>-2.3521382521053402E-3</v>
      </c>
      <c r="D841" s="7">
        <f t="shared" ca="1" si="7"/>
        <v>0.9959442951380405</v>
      </c>
    </row>
    <row r="842" spans="1:4" ht="12.75" x14ac:dyDescent="0.2">
      <c r="A842" s="8">
        <f ca="1">IFERROR(__xludf.DUMMYFUNCTION("""COMPUTED_VALUE"""),45070.6458333333)</f>
        <v>45070.645833333299</v>
      </c>
      <c r="B842" s="7">
        <f ca="1">IFERROR(__xludf.DUMMYFUNCTION("""COMPUTED_VALUE"""),807.9)</f>
        <v>807.9</v>
      </c>
      <c r="C842" s="6">
        <f t="shared" ca="1" si="6"/>
        <v>-1.3071096994869302E-2</v>
      </c>
      <c r="D842" s="7">
        <f t="shared" ca="1" si="7"/>
        <v>1.009221438296819</v>
      </c>
    </row>
    <row r="843" spans="1:4" ht="12.75" x14ac:dyDescent="0.2">
      <c r="A843" s="8">
        <f ca="1">IFERROR(__xludf.DUMMYFUNCTION("""COMPUTED_VALUE"""),45071.6458333333)</f>
        <v>45071.645833333299</v>
      </c>
      <c r="B843" s="7">
        <f ca="1">IFERROR(__xludf.DUMMYFUNCTION("""COMPUTED_VALUE"""),804.8)</f>
        <v>804.8</v>
      </c>
      <c r="C843" s="6">
        <f t="shared" ca="1" si="6"/>
        <v>-3.8371085530387594E-3</v>
      </c>
      <c r="D843" s="7">
        <f t="shared" ca="1" si="7"/>
        <v>0.98699055666003987</v>
      </c>
    </row>
    <row r="844" spans="1:4" ht="12.75" x14ac:dyDescent="0.2">
      <c r="A844" s="8">
        <f ca="1">IFERROR(__xludf.DUMMYFUNCTION("""COMPUTED_VALUE"""),45072.6458333333)</f>
        <v>45072.645833333299</v>
      </c>
      <c r="B844" s="7">
        <f ca="1">IFERROR(__xludf.DUMMYFUNCTION("""COMPUTED_VALUE"""),807.9)</f>
        <v>807.9</v>
      </c>
      <c r="C844" s="6">
        <f t="shared" ca="1" si="6"/>
        <v>3.8518886679921316E-3</v>
      </c>
      <c r="D844" s="7">
        <f t="shared" ca="1" si="7"/>
        <v>0.97076370837975001</v>
      </c>
    </row>
    <row r="845" spans="1:4" ht="12.75" x14ac:dyDescent="0.2">
      <c r="A845" s="8">
        <f ca="1">IFERROR(__xludf.DUMMYFUNCTION("""COMPUTED_VALUE"""),45075.6458333333)</f>
        <v>45075.645833333299</v>
      </c>
      <c r="B845" s="7">
        <f ca="1">IFERROR(__xludf.DUMMYFUNCTION("""COMPUTED_VALUE"""),817.75)</f>
        <v>817.75</v>
      </c>
      <c r="C845" s="6">
        <f t="shared" ca="1" si="6"/>
        <v>1.2192102983042519E-2</v>
      </c>
      <c r="D845" s="7">
        <f t="shared" ca="1" si="7"/>
        <v>0.95650259859370212</v>
      </c>
    </row>
    <row r="846" spans="1:4" ht="12.75" x14ac:dyDescent="0.2">
      <c r="A846" s="8">
        <f ca="1">IFERROR(__xludf.DUMMYFUNCTION("""COMPUTED_VALUE"""),45076.6458333333)</f>
        <v>45076.645833333299</v>
      </c>
      <c r="B846" s="7">
        <f ca="1">IFERROR(__xludf.DUMMYFUNCTION("""COMPUTED_VALUE"""),818.38)</f>
        <v>818.38</v>
      </c>
      <c r="C846" s="6">
        <f t="shared" ca="1" si="6"/>
        <v>7.7040660348526302E-4</v>
      </c>
      <c r="D846" s="7">
        <f t="shared" ca="1" si="7"/>
        <v>0.94204403822185301</v>
      </c>
    </row>
    <row r="847" spans="1:4" ht="12.75" x14ac:dyDescent="0.2">
      <c r="A847" s="8">
        <f ca="1">IFERROR(__xludf.DUMMYFUNCTION("""COMPUTED_VALUE"""),45077.6458333333)</f>
        <v>45077.645833333299</v>
      </c>
      <c r="B847" s="7">
        <f ca="1">IFERROR(__xludf.DUMMYFUNCTION("""COMPUTED_VALUE"""),805.43)</f>
        <v>805.43</v>
      </c>
      <c r="C847" s="6">
        <f t="shared" ca="1" si="6"/>
        <v>-1.5823944866687922E-2</v>
      </c>
      <c r="D847" s="7">
        <f t="shared" ca="1" si="7"/>
        <v>0.96339843313509566</v>
      </c>
    </row>
    <row r="848" spans="1:4" ht="12.75" x14ac:dyDescent="0.2">
      <c r="A848" s="8">
        <f ca="1">IFERROR(__xludf.DUMMYFUNCTION("""COMPUTED_VALUE"""),45078.6458333333)</f>
        <v>45078.645833333299</v>
      </c>
      <c r="B848" s="7">
        <f ca="1">IFERROR(__xludf.DUMMYFUNCTION("""COMPUTED_VALUE"""),802)</f>
        <v>802</v>
      </c>
      <c r="C848" s="6">
        <f t="shared" ca="1" si="6"/>
        <v>-4.2585947878772679E-3</v>
      </c>
      <c r="D848" s="7">
        <f t="shared" ca="1" si="7"/>
        <v>0.98046134663341655</v>
      </c>
    </row>
    <row r="849" spans="1:4" ht="12.75" x14ac:dyDescent="0.2">
      <c r="A849" s="8">
        <f ca="1">IFERROR(__xludf.DUMMYFUNCTION("""COMPUTED_VALUE"""),45079.6458333333)</f>
        <v>45079.645833333299</v>
      </c>
      <c r="B849" s="7">
        <f ca="1">IFERROR(__xludf.DUMMYFUNCTION("""COMPUTED_VALUE"""),803.25)</f>
        <v>803.25</v>
      </c>
      <c r="C849" s="6">
        <f t="shared" ca="1" si="6"/>
        <v>1.5586034912717928E-3</v>
      </c>
      <c r="D849" s="7">
        <f t="shared" ca="1" si="7"/>
        <v>0.97215063803299095</v>
      </c>
    </row>
    <row r="850" spans="1:4" ht="12.75" x14ac:dyDescent="0.2">
      <c r="A850" s="8">
        <f ca="1">IFERROR(__xludf.DUMMYFUNCTION("""COMPUTED_VALUE"""),45082.6458333333)</f>
        <v>45082.645833333299</v>
      </c>
      <c r="B850" s="7">
        <f ca="1">IFERROR(__xludf.DUMMYFUNCTION("""COMPUTED_VALUE"""),802.2)</f>
        <v>802.2</v>
      </c>
      <c r="C850" s="6">
        <f t="shared" ca="1" si="6"/>
        <v>-1.3071895424836555E-3</v>
      </c>
      <c r="D850" s="7">
        <f t="shared" ca="1" si="7"/>
        <v>0.98445524806781348</v>
      </c>
    </row>
    <row r="851" spans="1:4" ht="12.75" x14ac:dyDescent="0.2">
      <c r="A851" s="8">
        <f ca="1">IFERROR(__xludf.DUMMYFUNCTION("""COMPUTED_VALUE"""),45083.6458333333)</f>
        <v>45083.645833333299</v>
      </c>
      <c r="B851" s="7">
        <f ca="1">IFERROR(__xludf.DUMMYFUNCTION("""COMPUTED_VALUE"""),799.7)</f>
        <v>799.7</v>
      </c>
      <c r="C851" s="6">
        <f t="shared" ca="1" si="6"/>
        <v>-3.1164298180005323E-3</v>
      </c>
      <c r="D851" s="7">
        <f t="shared" ca="1" si="7"/>
        <v>0.98524446667500309</v>
      </c>
    </row>
    <row r="852" spans="1:4" ht="12.75" x14ac:dyDescent="0.2">
      <c r="A852" s="8">
        <f ca="1">IFERROR(__xludf.DUMMYFUNCTION("""COMPUTED_VALUE"""),45084.6458333333)</f>
        <v>45084.645833333299</v>
      </c>
      <c r="B852" s="7">
        <f ca="1">IFERROR(__xludf.DUMMYFUNCTION("""COMPUTED_VALUE"""),803.85)</f>
        <v>803.85</v>
      </c>
      <c r="C852" s="6">
        <f t="shared" ca="1" si="6"/>
        <v>5.1894460422658995E-3</v>
      </c>
      <c r="D852" s="7">
        <f t="shared" ca="1" si="7"/>
        <v>0.97229582633575917</v>
      </c>
    </row>
    <row r="853" spans="1:4" ht="12.75" x14ac:dyDescent="0.2">
      <c r="A853" s="8">
        <f ca="1">IFERROR(__xludf.DUMMYFUNCTION("""COMPUTED_VALUE"""),45085.6458333333)</f>
        <v>45085.645833333299</v>
      </c>
      <c r="B853" s="7">
        <f ca="1">IFERROR(__xludf.DUMMYFUNCTION("""COMPUTED_VALUE"""),804.35)</f>
        <v>804.35</v>
      </c>
      <c r="C853" s="6">
        <f t="shared" ca="1" si="6"/>
        <v>6.2200659326983043E-4</v>
      </c>
      <c r="D853" s="7">
        <f t="shared" ca="1" si="7"/>
        <v>0.97013737800708644</v>
      </c>
    </row>
    <row r="854" spans="1:4" ht="12.75" x14ac:dyDescent="0.2">
      <c r="A854" s="8">
        <f ca="1">IFERROR(__xludf.DUMMYFUNCTION("""COMPUTED_VALUE"""),45086.6458333333)</f>
        <v>45086.645833333299</v>
      </c>
      <c r="B854" s="7">
        <f ca="1">IFERROR(__xludf.DUMMYFUNCTION("""COMPUTED_VALUE"""),805.3)</f>
        <v>805.3</v>
      </c>
      <c r="C854" s="6">
        <f t="shared" ca="1" si="6"/>
        <v>1.1810778889786988E-3</v>
      </c>
      <c r="D854" s="7">
        <f t="shared" ca="1" si="7"/>
        <v>0.97321495094995658</v>
      </c>
    </row>
    <row r="855" spans="1:4" ht="12.75" x14ac:dyDescent="0.2">
      <c r="A855" s="8">
        <f ca="1">IFERROR(__xludf.DUMMYFUNCTION("""COMPUTED_VALUE"""),45089.6458333333)</f>
        <v>45089.645833333299</v>
      </c>
      <c r="B855" s="7">
        <f ca="1">IFERROR(__xludf.DUMMYFUNCTION("""COMPUTED_VALUE"""),800.4)</f>
        <v>800.4</v>
      </c>
      <c r="C855" s="6">
        <f t="shared" ca="1" si="6"/>
        <v>-6.0846889358002754E-3</v>
      </c>
      <c r="D855" s="7">
        <f t="shared" ca="1" si="7"/>
        <v>0.98713143428285866</v>
      </c>
    </row>
    <row r="856" spans="1:4" ht="12.75" x14ac:dyDescent="0.2">
      <c r="A856" s="8">
        <f ca="1">IFERROR(__xludf.DUMMYFUNCTION("""COMPUTED_VALUE"""),45090.6458333333)</f>
        <v>45090.645833333299</v>
      </c>
      <c r="B856" s="7">
        <f ca="1">IFERROR(__xludf.DUMMYFUNCTION("""COMPUTED_VALUE"""),801.75)</f>
        <v>801.75</v>
      </c>
      <c r="C856" s="6">
        <f t="shared" ca="1" si="6"/>
        <v>1.6866566716642328E-3</v>
      </c>
      <c r="D856" s="7">
        <f t="shared" ca="1" si="7"/>
        <v>0.9902089179918927</v>
      </c>
    </row>
    <row r="857" spans="1:4" ht="12.75" x14ac:dyDescent="0.2">
      <c r="A857" s="8">
        <f ca="1">IFERROR(__xludf.DUMMYFUNCTION("""COMPUTED_VALUE"""),45091.6458333333)</f>
        <v>45091.645833333299</v>
      </c>
      <c r="B857" s="7">
        <f ca="1">IFERROR(__xludf.DUMMYFUNCTION("""COMPUTED_VALUE"""),800.88)</f>
        <v>800.88</v>
      </c>
      <c r="C857" s="6">
        <f t="shared" ca="1" si="6"/>
        <v>-1.0851262862487943E-3</v>
      </c>
      <c r="D857" s="7">
        <f t="shared" ca="1" si="7"/>
        <v>1.0048696433922686</v>
      </c>
    </row>
    <row r="858" spans="1:4" ht="12.75" x14ac:dyDescent="0.2">
      <c r="A858" s="8">
        <f ca="1">IFERROR(__xludf.DUMMYFUNCTION("""COMPUTED_VALUE"""),45092.6458333333)</f>
        <v>45092.645833333299</v>
      </c>
      <c r="B858" s="7">
        <f ca="1">IFERROR(__xludf.DUMMYFUNCTION("""COMPUTED_VALUE"""),791.03)</f>
        <v>791.03</v>
      </c>
      <c r="C858" s="6">
        <f t="shared" ca="1" si="6"/>
        <v>-1.2298971131755043E-2</v>
      </c>
      <c r="D858" s="7">
        <f t="shared" ca="1" si="7"/>
        <v>1.0180144874404258</v>
      </c>
    </row>
    <row r="859" spans="1:4" ht="12.75" x14ac:dyDescent="0.2">
      <c r="A859" s="8">
        <f ca="1">IFERROR(__xludf.DUMMYFUNCTION("""COMPUTED_VALUE"""),45093.6458333333)</f>
        <v>45093.645833333299</v>
      </c>
      <c r="B859" s="7">
        <f ca="1">IFERROR(__xludf.DUMMYFUNCTION("""COMPUTED_VALUE"""),801.38)</f>
        <v>801.38</v>
      </c>
      <c r="C859" s="6">
        <f t="shared" ca="1" si="6"/>
        <v>1.3084206667256737E-2</v>
      </c>
      <c r="D859" s="7">
        <f t="shared" ca="1" si="7"/>
        <v>1.0318201103097158</v>
      </c>
    </row>
    <row r="860" spans="1:4" ht="12.75" x14ac:dyDescent="0.2">
      <c r="A860" s="8">
        <f ca="1">IFERROR(__xludf.DUMMYFUNCTION("""COMPUTED_VALUE"""),45096.6458333333)</f>
        <v>45096.645833333299</v>
      </c>
      <c r="B860" s="7">
        <f ca="1">IFERROR(__xludf.DUMMYFUNCTION("""COMPUTED_VALUE"""),802.08)</f>
        <v>802.08</v>
      </c>
      <c r="C860" s="6">
        <f t="shared" ca="1" si="6"/>
        <v>8.7349322418828201E-4</v>
      </c>
      <c r="D860" s="7">
        <f t="shared" ca="1" si="7"/>
        <v>1.0387741871135048</v>
      </c>
    </row>
    <row r="861" spans="1:4" ht="12.75" x14ac:dyDescent="0.2">
      <c r="A861" s="8">
        <f ca="1">IFERROR(__xludf.DUMMYFUNCTION("""COMPUTED_VALUE"""),45097.6458333333)</f>
        <v>45097.645833333299</v>
      </c>
      <c r="B861" s="7">
        <f ca="1">IFERROR(__xludf.DUMMYFUNCTION("""COMPUTED_VALUE"""),803.75)</f>
        <v>803.75</v>
      </c>
      <c r="C861" s="6">
        <f t="shared" ca="1" si="6"/>
        <v>2.082086574905162E-3</v>
      </c>
      <c r="D861" s="7">
        <f t="shared" ca="1" si="7"/>
        <v>1.0317013996889581</v>
      </c>
    </row>
    <row r="862" spans="1:4" ht="12.75" x14ac:dyDescent="0.2">
      <c r="A862" s="8">
        <f ca="1">IFERROR(__xludf.DUMMYFUNCTION("""COMPUTED_VALUE"""),45098.6458333333)</f>
        <v>45098.645833333299</v>
      </c>
      <c r="B862" s="7">
        <f ca="1">IFERROR(__xludf.DUMMYFUNCTION("""COMPUTED_VALUE"""),817.8)</f>
        <v>817.8</v>
      </c>
      <c r="C862" s="6">
        <f t="shared" ca="1" si="6"/>
        <v>1.7480559875583168E-2</v>
      </c>
      <c r="D862" s="7">
        <f t="shared" ca="1" si="7"/>
        <v>1.0169356810956225</v>
      </c>
    </row>
    <row r="863" spans="1:4" ht="12.75" x14ac:dyDescent="0.2">
      <c r="A863" s="8">
        <f ca="1">IFERROR(__xludf.DUMMYFUNCTION("""COMPUTED_VALUE"""),45099.6458333333)</f>
        <v>45099.645833333299</v>
      </c>
      <c r="B863" s="7">
        <f ca="1">IFERROR(__xludf.DUMMYFUNCTION("""COMPUTED_VALUE"""),821.8)</f>
        <v>821.8</v>
      </c>
      <c r="C863" s="6">
        <f t="shared" ca="1" si="6"/>
        <v>4.8911714355588387E-3</v>
      </c>
      <c r="D863" s="7">
        <f t="shared" ca="1" si="7"/>
        <v>1.0251277683134583</v>
      </c>
    </row>
    <row r="864" spans="1:4" ht="12.75" x14ac:dyDescent="0.2">
      <c r="A864" s="8">
        <f ca="1">IFERROR(__xludf.DUMMYFUNCTION("""COMPUTED_VALUE"""),45100.6458333333)</f>
        <v>45100.645833333299</v>
      </c>
      <c r="B864" s="7">
        <f ca="1">IFERROR(__xludf.DUMMYFUNCTION("""COMPUTED_VALUE"""),821.75)</f>
        <v>821.75</v>
      </c>
      <c r="C864" s="6">
        <f t="shared" ca="1" si="6"/>
        <v>-6.0842054027676618E-5</v>
      </c>
      <c r="D864" s="7">
        <f t="shared" ca="1" si="7"/>
        <v>1.0297900821417707</v>
      </c>
    </row>
    <row r="865" spans="1:4" ht="12.75" x14ac:dyDescent="0.2">
      <c r="A865" s="8">
        <f ca="1">IFERROR(__xludf.DUMMYFUNCTION("""COMPUTED_VALUE"""),45103.6458333333)</f>
        <v>45103.645833333299</v>
      </c>
      <c r="B865" s="7">
        <f ca="1">IFERROR(__xludf.DUMMYFUNCTION("""COMPUTED_VALUE"""),817.78)</f>
        <v>817.78</v>
      </c>
      <c r="C865" s="6">
        <f t="shared" ca="1" si="6"/>
        <v>-4.8311530270763736E-3</v>
      </c>
      <c r="D865" s="7">
        <f t="shared" ca="1" si="7"/>
        <v>1.0190148939812664</v>
      </c>
    </row>
    <row r="866" spans="1:4" ht="12.75" x14ac:dyDescent="0.2">
      <c r="A866" s="8">
        <f ca="1">IFERROR(__xludf.DUMMYFUNCTION("""COMPUTED_VALUE"""),45104.6458333333)</f>
        <v>45104.645833333299</v>
      </c>
      <c r="B866" s="7">
        <f ca="1">IFERROR(__xludf.DUMMYFUNCTION("""COMPUTED_VALUE"""),829.3)</f>
        <v>829.3</v>
      </c>
      <c r="C866" s="6">
        <f t="shared" ca="1" si="6"/>
        <v>1.4086918242069979E-2</v>
      </c>
      <c r="D866" s="7">
        <f t="shared" ca="1" si="7"/>
        <v>1.0006029181237188</v>
      </c>
    </row>
    <row r="867" spans="1:4" ht="12.75" x14ac:dyDescent="0.2">
      <c r="A867" s="8">
        <f ca="1">IFERROR(__xludf.DUMMYFUNCTION("""COMPUTED_VALUE"""),45105.6458333333)</f>
        <v>45105.645833333299</v>
      </c>
      <c r="B867" s="7">
        <f ca="1">IFERROR(__xludf.DUMMYFUNCTION("""COMPUTED_VALUE"""),838.08)</f>
        <v>838.08</v>
      </c>
      <c r="C867" s="6">
        <f t="shared" ca="1" si="6"/>
        <v>1.0587242252502183E-2</v>
      </c>
      <c r="D867" s="7">
        <f t="shared" ca="1" si="7"/>
        <v>0.99375954562810231</v>
      </c>
    </row>
    <row r="868" spans="1:4" ht="12.75" x14ac:dyDescent="0.2">
      <c r="A868" s="8">
        <f ca="1">IFERROR(__xludf.DUMMYFUNCTION("""COMPUTED_VALUE"""),45107.6458333333)</f>
        <v>45107.645833333299</v>
      </c>
      <c r="B868" s="7">
        <f ca="1">IFERROR(__xludf.DUMMYFUNCTION("""COMPUTED_VALUE"""),850.7)</f>
        <v>850.7</v>
      </c>
      <c r="C868" s="6">
        <f t="shared" ca="1" si="6"/>
        <v>1.5058228331424228E-2</v>
      </c>
      <c r="D868" s="7">
        <f t="shared" ca="1" si="7"/>
        <v>0.98266133772187614</v>
      </c>
    </row>
    <row r="869" spans="1:4" ht="12.75" x14ac:dyDescent="0.2">
      <c r="A869" s="8">
        <f ca="1">IFERROR(__xludf.DUMMYFUNCTION("""COMPUTED_VALUE"""),45110.6458333333)</f>
        <v>45110.645833333299</v>
      </c>
      <c r="B869" s="7">
        <f ca="1">IFERROR(__xludf.DUMMYFUNCTION("""COMPUTED_VALUE"""),859.9)</f>
        <v>859.9</v>
      </c>
      <c r="C869" s="6">
        <f t="shared" ca="1" si="6"/>
        <v>1.0814623251439892E-2</v>
      </c>
      <c r="D869" s="7">
        <f t="shared" ca="1" si="7"/>
        <v>0.9737178741714152</v>
      </c>
    </row>
    <row r="870" spans="1:4" ht="12.75" x14ac:dyDescent="0.2">
      <c r="A870" s="8">
        <f ca="1">IFERROR(__xludf.DUMMYFUNCTION("""COMPUTED_VALUE"""),45111.6458333333)</f>
        <v>45111.645833333299</v>
      </c>
      <c r="B870" s="7">
        <f ca="1">IFERROR(__xludf.DUMMYFUNCTION("""COMPUTED_VALUE"""),864.1)</f>
        <v>864.1</v>
      </c>
      <c r="C870" s="6">
        <f t="shared" ca="1" si="6"/>
        <v>4.8842888707989474E-3</v>
      </c>
      <c r="D870" s="7">
        <f t="shared" ca="1" si="7"/>
        <v>0.97683138525633606</v>
      </c>
    </row>
    <row r="871" spans="1:4" ht="12.75" x14ac:dyDescent="0.2">
      <c r="A871" s="8">
        <f ca="1">IFERROR(__xludf.DUMMYFUNCTION("""COMPUTED_VALUE"""),45112.6458333333)</f>
        <v>45112.645833333299</v>
      </c>
      <c r="B871" s="7">
        <f ca="1">IFERROR(__xludf.DUMMYFUNCTION("""COMPUTED_VALUE"""),836.65)</f>
        <v>836.65</v>
      </c>
      <c r="C871" s="6">
        <f t="shared" ca="1" si="6"/>
        <v>-3.1767156579099676E-2</v>
      </c>
      <c r="D871" s="7">
        <f t="shared" ca="1" si="7"/>
        <v>0.99453773979561355</v>
      </c>
    </row>
    <row r="872" spans="1:4" ht="12.75" x14ac:dyDescent="0.2">
      <c r="A872" s="8">
        <f ca="1">IFERROR(__xludf.DUMMYFUNCTION("""COMPUTED_VALUE"""),45113.6458333333)</f>
        <v>45113.645833333299</v>
      </c>
      <c r="B872" s="7">
        <f ca="1">IFERROR(__xludf.DUMMYFUNCTION("""COMPUTED_VALUE"""),837.5)</f>
        <v>837.5</v>
      </c>
      <c r="C872" s="6">
        <f t="shared" ca="1" si="6"/>
        <v>1.0159564931573328E-3</v>
      </c>
      <c r="D872" s="7">
        <f t="shared" ca="1" si="7"/>
        <v>0.99808955223880591</v>
      </c>
    </row>
    <row r="873" spans="1:4" ht="12.75" x14ac:dyDescent="0.2">
      <c r="A873" s="8">
        <f ca="1">IFERROR(__xludf.DUMMYFUNCTION("""COMPUTED_VALUE"""),45114.6458333333)</f>
        <v>45114.645833333299</v>
      </c>
      <c r="B873" s="7">
        <f ca="1">IFERROR(__xludf.DUMMYFUNCTION("""COMPUTED_VALUE"""),830.2)</f>
        <v>830.2</v>
      </c>
      <c r="C873" s="6">
        <f t="shared" ca="1" si="6"/>
        <v>-8.7164179104477491E-3</v>
      </c>
      <c r="D873" s="7">
        <f t="shared" ca="1" si="7"/>
        <v>1.0124066490002408</v>
      </c>
    </row>
    <row r="874" spans="1:4" ht="12.75" x14ac:dyDescent="0.2">
      <c r="A874" s="8">
        <f ca="1">IFERROR(__xludf.DUMMYFUNCTION("""COMPUTED_VALUE"""),45117.6458333333)</f>
        <v>45117.645833333299</v>
      </c>
      <c r="B874" s="7">
        <f ca="1">IFERROR(__xludf.DUMMYFUNCTION("""COMPUTED_VALUE"""),828.23)</f>
        <v>828.23</v>
      </c>
      <c r="C874" s="6">
        <f t="shared" ca="1" si="6"/>
        <v>-2.3729221874247974E-3</v>
      </c>
      <c r="D874" s="7">
        <f t="shared" ca="1" si="7"/>
        <v>1.0187991258466851</v>
      </c>
    </row>
    <row r="875" spans="1:4" ht="12.75" x14ac:dyDescent="0.2">
      <c r="A875" s="8">
        <f ca="1">IFERROR(__xludf.DUMMYFUNCTION("""COMPUTED_VALUE"""),45118.6458333333)</f>
        <v>45118.645833333299</v>
      </c>
      <c r="B875" s="7">
        <f ca="1">IFERROR(__xludf.DUMMYFUNCTION("""COMPUTED_VALUE"""),824.2)</f>
        <v>824.2</v>
      </c>
      <c r="C875" s="6">
        <f t="shared" ca="1" si="6"/>
        <v>-4.8657981478574808E-3</v>
      </c>
      <c r="D875" s="7">
        <f t="shared" ca="1" si="7"/>
        <v>1.0235743751516622</v>
      </c>
    </row>
    <row r="876" spans="1:4" ht="12.75" x14ac:dyDescent="0.2">
      <c r="A876" s="8">
        <f ca="1">IFERROR(__xludf.DUMMYFUNCTION("""COMPUTED_VALUE"""),45119.6458333333)</f>
        <v>45119.645833333299</v>
      </c>
      <c r="B876" s="7">
        <f ca="1">IFERROR(__xludf.DUMMYFUNCTION("""COMPUTED_VALUE"""),816.48)</f>
        <v>816.48</v>
      </c>
      <c r="C876" s="6">
        <f t="shared" ca="1" si="6"/>
        <v>-9.3666585780151079E-3</v>
      </c>
      <c r="D876" s="7">
        <f t="shared" ca="1" si="7"/>
        <v>1.0368655692729767</v>
      </c>
    </row>
    <row r="877" spans="1:4" ht="12.75" x14ac:dyDescent="0.2">
      <c r="A877" s="8">
        <f ca="1">IFERROR(__xludf.DUMMYFUNCTION("""COMPUTED_VALUE"""),45120.6458333333)</f>
        <v>45120.645833333299</v>
      </c>
      <c r="B877" s="7">
        <f ca="1">IFERROR(__xludf.DUMMYFUNCTION("""COMPUTED_VALUE"""),820.55)</f>
        <v>820.55</v>
      </c>
      <c r="C877" s="6">
        <f t="shared" ca="1" si="6"/>
        <v>4.9848128551830406E-3</v>
      </c>
      <c r="D877" s="7">
        <f t="shared" ca="1" si="7"/>
        <v>1.0528304186216562</v>
      </c>
    </row>
    <row r="878" spans="1:4" ht="12.75" x14ac:dyDescent="0.2">
      <c r="A878" s="8">
        <f ca="1">IFERROR(__xludf.DUMMYFUNCTION("""COMPUTED_VALUE"""),45121.6458333333)</f>
        <v>45121.645833333299</v>
      </c>
      <c r="B878" s="7">
        <f ca="1">IFERROR(__xludf.DUMMYFUNCTION("""COMPUTED_VALUE"""),822.25)</f>
        <v>822.25</v>
      </c>
      <c r="C878" s="6">
        <f t="shared" ca="1" si="6"/>
        <v>2.0717811224180149E-3</v>
      </c>
      <c r="D878" s="7">
        <f t="shared" ca="1" si="7"/>
        <v>0.98854363028276082</v>
      </c>
    </row>
    <row r="879" spans="1:4" ht="12.75" x14ac:dyDescent="0.2">
      <c r="A879" s="8">
        <f ca="1">IFERROR(__xludf.DUMMYFUNCTION("""COMPUTED_VALUE"""),45124.6458333333)</f>
        <v>45124.645833333299</v>
      </c>
      <c r="B879" s="7">
        <f ca="1">IFERROR(__xludf.DUMMYFUNCTION("""COMPUTED_VALUE"""),839.45)</f>
        <v>839.45</v>
      </c>
      <c r="C879" s="6">
        <f t="shared" ca="1" si="6"/>
        <v>2.0918212222560184E-2</v>
      </c>
      <c r="D879" s="7">
        <f t="shared" ca="1" si="7"/>
        <v>0.97948656858657446</v>
      </c>
    </row>
    <row r="880" spans="1:4" ht="12.75" x14ac:dyDescent="0.2">
      <c r="A880" s="8">
        <f ca="1">IFERROR(__xludf.DUMMYFUNCTION("""COMPUTED_VALUE"""),45125.6458333333)</f>
        <v>45125.645833333299</v>
      </c>
      <c r="B880" s="7">
        <f ca="1">IFERROR(__xludf.DUMMYFUNCTION("""COMPUTED_VALUE"""),838.75)</f>
        <v>838.75</v>
      </c>
      <c r="C880" s="6">
        <f t="shared" ca="1" si="6"/>
        <v>-8.3387932574907619E-4</v>
      </c>
      <c r="D880" s="7">
        <f t="shared" ca="1" si="7"/>
        <v>0.98032786885245904</v>
      </c>
    </row>
    <row r="881" spans="1:4" ht="12.75" x14ac:dyDescent="0.2">
      <c r="A881" s="8">
        <f ca="1">IFERROR(__xludf.DUMMYFUNCTION("""COMPUTED_VALUE"""),45126.6458333333)</f>
        <v>45126.645833333299</v>
      </c>
      <c r="B881" s="7">
        <f ca="1">IFERROR(__xludf.DUMMYFUNCTION("""COMPUTED_VALUE"""),842.55)</f>
        <v>842.55</v>
      </c>
      <c r="C881" s="6">
        <f t="shared" ca="1" si="6"/>
        <v>4.5305514157971682E-3</v>
      </c>
      <c r="D881" s="7">
        <f t="shared" ca="1" si="7"/>
        <v>0.98041659248709279</v>
      </c>
    </row>
    <row r="882" spans="1:4" ht="12.75" x14ac:dyDescent="0.2">
      <c r="A882" s="8">
        <f ca="1">IFERROR(__xludf.DUMMYFUNCTION("""COMPUTED_VALUE"""),45127.6458333333)</f>
        <v>45127.645833333299</v>
      </c>
      <c r="B882" s="7">
        <f ca="1">IFERROR(__xludf.DUMMYFUNCTION("""COMPUTED_VALUE"""),844.38)</f>
        <v>844.38</v>
      </c>
      <c r="C882" s="6">
        <f t="shared" ca="1" si="6"/>
        <v>2.1719779241589077E-3</v>
      </c>
      <c r="D882" s="7">
        <f t="shared" ca="1" si="7"/>
        <v>0.97894312987043752</v>
      </c>
    </row>
    <row r="883" spans="1:4" ht="12.75" x14ac:dyDescent="0.2">
      <c r="A883" s="8">
        <f ca="1">IFERROR(__xludf.DUMMYFUNCTION("""COMPUTED_VALUE"""),45128.6458333333)</f>
        <v>45128.645833333299</v>
      </c>
      <c r="B883" s="7">
        <f ca="1">IFERROR(__xludf.DUMMYFUNCTION("""COMPUTED_VALUE"""),837.88)</f>
        <v>837.88</v>
      </c>
      <c r="C883" s="6">
        <f t="shared" ca="1" si="6"/>
        <v>-7.6979558966342454E-3</v>
      </c>
      <c r="D883" s="7">
        <f t="shared" ca="1" si="7"/>
        <v>0.99524991645581706</v>
      </c>
    </row>
    <row r="884" spans="1:4" ht="12.75" x14ac:dyDescent="0.2">
      <c r="A884" s="8">
        <f ca="1">IFERROR(__xludf.DUMMYFUNCTION("""COMPUTED_VALUE"""),45131.6458333333)</f>
        <v>45131.645833333299</v>
      </c>
      <c r="B884" s="7">
        <f ca="1">IFERROR(__xludf.DUMMYFUNCTION("""COMPUTED_VALUE"""),839.2)</f>
        <v>839.2</v>
      </c>
      <c r="C884" s="6">
        <f t="shared" ca="1" si="6"/>
        <v>1.5754045925431281E-3</v>
      </c>
      <c r="D884" s="7">
        <f t="shared" ca="1" si="7"/>
        <v>0.99845090562440408</v>
      </c>
    </row>
    <row r="885" spans="1:4" ht="12.75" x14ac:dyDescent="0.2">
      <c r="A885" s="8">
        <f ca="1">IFERROR(__xludf.DUMMYFUNCTION("""COMPUTED_VALUE"""),45132.6458333333)</f>
        <v>45132.645833333299</v>
      </c>
      <c r="B885" s="7">
        <f ca="1">IFERROR(__xludf.DUMMYFUNCTION("""COMPUTED_VALUE"""),848.3)</f>
        <v>848.3</v>
      </c>
      <c r="C885" s="6">
        <f t="shared" ca="1" si="6"/>
        <v>1.0843660629170637E-2</v>
      </c>
      <c r="D885" s="7">
        <f t="shared" ca="1" si="7"/>
        <v>0.9709418837675351</v>
      </c>
    </row>
    <row r="886" spans="1:4" ht="12.75" x14ac:dyDescent="0.2">
      <c r="A886" s="8">
        <f ca="1">IFERROR(__xludf.DUMMYFUNCTION("""COMPUTED_VALUE"""),45133.6458333333)</f>
        <v>45133.645833333299</v>
      </c>
      <c r="B886" s="7">
        <f ca="1">IFERROR(__xludf.DUMMYFUNCTION("""COMPUTED_VALUE"""),845.35)</f>
        <v>845.35</v>
      </c>
      <c r="C886" s="6">
        <f t="shared" ca="1" si="6"/>
        <v>-3.4775433219379481E-3</v>
      </c>
      <c r="D886" s="7">
        <f t="shared" ca="1" si="7"/>
        <v>0.96910155556869937</v>
      </c>
    </row>
    <row r="887" spans="1:4" ht="12.75" x14ac:dyDescent="0.2">
      <c r="A887" s="8">
        <f ca="1">IFERROR(__xludf.DUMMYFUNCTION("""COMPUTED_VALUE"""),45134.6458333333)</f>
        <v>45134.645833333299</v>
      </c>
      <c r="B887" s="7">
        <f ca="1">IFERROR(__xludf.DUMMYFUNCTION("""COMPUTED_VALUE"""),836.58)</f>
        <v>836.58</v>
      </c>
      <c r="C887" s="6">
        <f t="shared" ca="1" si="6"/>
        <v>-1.0374401135624267E-2</v>
      </c>
      <c r="D887" s="7">
        <f t="shared" ca="1" si="7"/>
        <v>0.98316957135002025</v>
      </c>
    </row>
    <row r="888" spans="1:4" ht="12.75" x14ac:dyDescent="0.2">
      <c r="A888" s="8">
        <f ca="1">IFERROR(__xludf.DUMMYFUNCTION("""COMPUTED_VALUE"""),45135.6458333333)</f>
        <v>45135.645833333299</v>
      </c>
      <c r="B888" s="7">
        <f ca="1">IFERROR(__xludf.DUMMYFUNCTION("""COMPUTED_VALUE"""),821.75)</f>
        <v>821.75</v>
      </c>
      <c r="C888" s="6">
        <f t="shared" ca="1" si="6"/>
        <v>-1.7726935857897641E-2</v>
      </c>
      <c r="D888" s="7">
        <f t="shared" ca="1" si="7"/>
        <v>1.0020687557042898</v>
      </c>
    </row>
    <row r="889" spans="1:4" ht="12.75" x14ac:dyDescent="0.2">
      <c r="A889" s="8">
        <f ca="1">IFERROR(__xludf.DUMMYFUNCTION("""COMPUTED_VALUE"""),45138.6458333333)</f>
        <v>45138.645833333299</v>
      </c>
      <c r="B889" s="7">
        <f ca="1">IFERROR(__xludf.DUMMYFUNCTION("""COMPUTED_VALUE"""),825.6)</f>
        <v>825.6</v>
      </c>
      <c r="C889" s="6">
        <f t="shared" ca="1" si="6"/>
        <v>4.6851232126559061E-3</v>
      </c>
      <c r="D889" s="7">
        <f t="shared" ca="1" si="7"/>
        <v>0.99385901162790691</v>
      </c>
    </row>
    <row r="890" spans="1:4" ht="12.75" x14ac:dyDescent="0.2">
      <c r="A890" s="8">
        <f ca="1">IFERROR(__xludf.DUMMYFUNCTION("""COMPUTED_VALUE"""),45139.6458333333)</f>
        <v>45139.645833333299</v>
      </c>
      <c r="B890" s="7">
        <f ca="1">IFERROR(__xludf.DUMMYFUNCTION("""COMPUTED_VALUE"""),831.13)</f>
        <v>831.13</v>
      </c>
      <c r="C890" s="6">
        <f t="shared" ca="1" si="6"/>
        <v>6.6981589147285803E-3</v>
      </c>
      <c r="D890" s="7">
        <f t="shared" ca="1" si="7"/>
        <v>0.98492413942463874</v>
      </c>
    </row>
    <row r="891" spans="1:4" ht="12.75" x14ac:dyDescent="0.2">
      <c r="A891" s="8">
        <f ca="1">IFERROR(__xludf.DUMMYFUNCTION("""COMPUTED_VALUE"""),45140.6458333333)</f>
        <v>45140.645833333299</v>
      </c>
      <c r="B891" s="7">
        <f ca="1">IFERROR(__xludf.DUMMYFUNCTION("""COMPUTED_VALUE"""),820.25)</f>
        <v>820.25</v>
      </c>
      <c r="C891" s="6">
        <f t="shared" ca="1" si="6"/>
        <v>-1.3090611577009637E-2</v>
      </c>
      <c r="D891" s="7">
        <f t="shared" ca="1" si="7"/>
        <v>0.98494361475160008</v>
      </c>
    </row>
    <row r="892" spans="1:4" ht="12.75" x14ac:dyDescent="0.2">
      <c r="A892" s="8">
        <f ca="1">IFERROR(__xludf.DUMMYFUNCTION("""COMPUTED_VALUE"""),45141.6458333333)</f>
        <v>45141.645833333299</v>
      </c>
      <c r="B892" s="7">
        <f ca="1">IFERROR(__xludf.DUMMYFUNCTION("""COMPUTED_VALUE"""),814.33)</f>
        <v>814.33</v>
      </c>
      <c r="C892" s="6">
        <f t="shared" ca="1" si="6"/>
        <v>-7.2173117951843668E-3</v>
      </c>
      <c r="D892" s="7">
        <f t="shared" ca="1" si="7"/>
        <v>0.98829712770007239</v>
      </c>
    </row>
    <row r="893" spans="1:4" ht="12.75" x14ac:dyDescent="0.2">
      <c r="A893" s="8">
        <f ca="1">IFERROR(__xludf.DUMMYFUNCTION("""COMPUTED_VALUE"""),45142.6458333333)</f>
        <v>45142.645833333299</v>
      </c>
      <c r="B893" s="7">
        <f ca="1">IFERROR(__xludf.DUMMYFUNCTION("""COMPUTED_VALUE"""),826.1)</f>
        <v>826.1</v>
      </c>
      <c r="C893" s="6">
        <f t="shared" ca="1" si="6"/>
        <v>1.4453599891935731E-2</v>
      </c>
      <c r="D893" s="7">
        <f t="shared" ca="1" si="7"/>
        <v>0.97796876891417495</v>
      </c>
    </row>
    <row r="894" spans="1:4" ht="12.75" x14ac:dyDescent="0.2">
      <c r="A894" s="8">
        <f ca="1">IFERROR(__xludf.DUMMYFUNCTION("""COMPUTED_VALUE"""),45145.6458333333)</f>
        <v>45145.645833333299</v>
      </c>
      <c r="B894" s="7">
        <f ca="1">IFERROR(__xludf.DUMMYFUNCTION("""COMPUTED_VALUE"""),825.63)</f>
        <v>825.63</v>
      </c>
      <c r="C894" s="6">
        <f t="shared" ca="1" si="6"/>
        <v>-5.6893838518345952E-4</v>
      </c>
      <c r="D894" s="7">
        <f t="shared" ca="1" si="7"/>
        <v>0.99045577316715716</v>
      </c>
    </row>
    <row r="895" spans="1:4" ht="12.75" x14ac:dyDescent="0.2">
      <c r="A895" s="8">
        <f ca="1">IFERROR(__xludf.DUMMYFUNCTION("""COMPUTED_VALUE"""),45146.6458333333)</f>
        <v>45146.645833333299</v>
      </c>
      <c r="B895" s="7">
        <f ca="1">IFERROR(__xludf.DUMMYFUNCTION("""COMPUTED_VALUE"""),824.95)</f>
        <v>824.95</v>
      </c>
      <c r="C895" s="6">
        <f t="shared" ca="1" si="6"/>
        <v>-8.2361348303716664E-4</v>
      </c>
      <c r="D895" s="7">
        <f t="shared" ca="1" si="7"/>
        <v>0.99203588096248252</v>
      </c>
    </row>
    <row r="896" spans="1:4" ht="12.75" x14ac:dyDescent="0.2">
      <c r="A896" s="8">
        <f ca="1">IFERROR(__xludf.DUMMYFUNCTION("""COMPUTED_VALUE"""),45147.6458333333)</f>
        <v>45147.645833333299</v>
      </c>
      <c r="B896" s="7">
        <f ca="1">IFERROR(__xludf.DUMMYFUNCTION("""COMPUTED_VALUE"""),825.25)</f>
        <v>825.25</v>
      </c>
      <c r="C896" s="6">
        <f t="shared" ca="1" si="6"/>
        <v>3.6365840353957957E-4</v>
      </c>
      <c r="D896" s="7">
        <f t="shared" ca="1" si="7"/>
        <v>0.97598303544380482</v>
      </c>
    </row>
    <row r="897" spans="1:4" ht="12.75" x14ac:dyDescent="0.2">
      <c r="A897" s="8">
        <f ca="1">IFERROR(__xludf.DUMMYFUNCTION("""COMPUTED_VALUE"""),45148.6458333333)</f>
        <v>45148.645833333299</v>
      </c>
      <c r="B897" s="7">
        <f ca="1">IFERROR(__xludf.DUMMYFUNCTION("""COMPUTED_VALUE"""),817.93)</f>
        <v>817.93</v>
      </c>
      <c r="C897" s="6">
        <f t="shared" ca="1" si="6"/>
        <v>-8.870039382005479E-3</v>
      </c>
      <c r="D897" s="7">
        <f t="shared" ca="1" si="7"/>
        <v>0.98052400572176113</v>
      </c>
    </row>
    <row r="898" spans="1:4" ht="12.75" x14ac:dyDescent="0.2">
      <c r="A898" s="8">
        <f ca="1">IFERROR(__xludf.DUMMYFUNCTION("""COMPUTED_VALUE"""),45149.6458333333)</f>
        <v>45149.645833333299</v>
      </c>
      <c r="B898" s="7">
        <f ca="1">IFERROR(__xludf.DUMMYFUNCTION("""COMPUTED_VALUE"""),809.4)</f>
        <v>809.4</v>
      </c>
      <c r="C898" s="6">
        <f t="shared" ca="1" si="6"/>
        <v>-1.042876529776382E-2</v>
      </c>
      <c r="D898" s="7">
        <f t="shared" ca="1" si="7"/>
        <v>0.99240177909562644</v>
      </c>
    </row>
    <row r="899" spans="1:4" ht="12.75" x14ac:dyDescent="0.2">
      <c r="A899" s="8">
        <f ca="1">IFERROR(__xludf.DUMMYFUNCTION("""COMPUTED_VALUE"""),45152.6458333333)</f>
        <v>45152.645833333299</v>
      </c>
      <c r="B899" s="7">
        <f ca="1">IFERROR(__xludf.DUMMYFUNCTION("""COMPUTED_VALUE"""),805.45)</f>
        <v>805.45</v>
      </c>
      <c r="C899" s="6">
        <f t="shared" ca="1" si="6"/>
        <v>-4.8801581418334017E-3</v>
      </c>
      <c r="D899" s="7">
        <f t="shared" ca="1" si="7"/>
        <v>0.99596498851573656</v>
      </c>
    </row>
    <row r="900" spans="1:4" ht="12.75" x14ac:dyDescent="0.2">
      <c r="A900" s="8">
        <f ca="1">IFERROR(__xludf.DUMMYFUNCTION("""COMPUTED_VALUE"""),45154.6458333333)</f>
        <v>45154.645833333299</v>
      </c>
      <c r="B900" s="7">
        <f ca="1">IFERROR(__xludf.DUMMYFUNCTION("""COMPUTED_VALUE"""),803.1)</f>
        <v>803.1</v>
      </c>
      <c r="C900" s="6">
        <f t="shared" ca="1" si="6"/>
        <v>-2.9176236886212514E-3</v>
      </c>
      <c r="D900" s="7">
        <f t="shared" ca="1" si="7"/>
        <v>0.99576640517992776</v>
      </c>
    </row>
    <row r="901" spans="1:4" ht="12.75" x14ac:dyDescent="0.2">
      <c r="A901" s="8">
        <f ca="1">IFERROR(__xludf.DUMMYFUNCTION("""COMPUTED_VALUE"""),45155.6458333333)</f>
        <v>45155.645833333299</v>
      </c>
      <c r="B901" s="7">
        <f ca="1">IFERROR(__xludf.DUMMYFUNCTION("""COMPUTED_VALUE"""),798.65)</f>
        <v>798.65</v>
      </c>
      <c r="C901" s="6">
        <f t="shared" ca="1" si="6"/>
        <v>-5.5410285145063298E-3</v>
      </c>
      <c r="D901" s="7">
        <f t="shared" ca="1" si="7"/>
        <v>1.0065109872910538</v>
      </c>
    </row>
    <row r="902" spans="1:4" ht="12.75" x14ac:dyDescent="0.2">
      <c r="A902" s="8">
        <f ca="1">IFERROR(__xludf.DUMMYFUNCTION("""COMPUTED_VALUE"""),45156.6458333333)</f>
        <v>45156.645833333299</v>
      </c>
      <c r="B902" s="7">
        <f ca="1">IFERROR(__xludf.DUMMYFUNCTION("""COMPUTED_VALUE"""),795.38)</f>
        <v>795.38</v>
      </c>
      <c r="C902" s="6">
        <f t="shared" ca="1" si="6"/>
        <v>-4.0944093157202488E-3</v>
      </c>
      <c r="D902" s="7">
        <f t="shared" ca="1" si="7"/>
        <v>1.0112776283034526</v>
      </c>
    </row>
    <row r="903" spans="1:4" ht="12.75" x14ac:dyDescent="0.2">
      <c r="A903" s="8">
        <f ca="1">IFERROR(__xludf.DUMMYFUNCTION("""COMPUTED_VALUE"""),45159.6458333333)</f>
        <v>45159.645833333299</v>
      </c>
      <c r="B903" s="7">
        <f ca="1">IFERROR(__xludf.DUMMYFUNCTION("""COMPUTED_VALUE"""),794.75)</f>
        <v>794.75</v>
      </c>
      <c r="C903" s="6">
        <f t="shared" ca="1" si="6"/>
        <v>-7.9207422867055843E-4</v>
      </c>
      <c r="D903" s="7">
        <f t="shared" ca="1" si="7"/>
        <v>1.0132746146586977</v>
      </c>
    </row>
    <row r="904" spans="1:4" ht="12.75" x14ac:dyDescent="0.2">
      <c r="A904" s="8">
        <f ca="1">IFERROR(__xludf.DUMMYFUNCTION("""COMPUTED_VALUE"""),45160.6458333333)</f>
        <v>45160.645833333299</v>
      </c>
      <c r="B904" s="7">
        <f ca="1">IFERROR(__xludf.DUMMYFUNCTION("""COMPUTED_VALUE"""),791.35)</f>
        <v>791.35</v>
      </c>
      <c r="C904" s="6">
        <f t="shared" ca="1" si="6"/>
        <v>-4.2780748663101553E-3</v>
      </c>
      <c r="D904" s="7">
        <f t="shared" ca="1" si="7"/>
        <v>1.0114361534087319</v>
      </c>
    </row>
    <row r="905" spans="1:4" ht="12.75" x14ac:dyDescent="0.2">
      <c r="A905" s="8">
        <f ca="1">IFERROR(__xludf.DUMMYFUNCTION("""COMPUTED_VALUE"""),45161.6458333333)</f>
        <v>45161.645833333299</v>
      </c>
      <c r="B905" s="7">
        <f ca="1">IFERROR(__xludf.DUMMYFUNCTION("""COMPUTED_VALUE"""),793.3)</f>
        <v>793.3</v>
      </c>
      <c r="C905" s="6">
        <f t="shared" ca="1" si="6"/>
        <v>2.4641435521575161E-3</v>
      </c>
      <c r="D905" s="7">
        <f t="shared" ca="1" si="7"/>
        <v>1.0106517080549604</v>
      </c>
    </row>
    <row r="906" spans="1:4" ht="12.75" x14ac:dyDescent="0.2">
      <c r="A906" s="8">
        <f ca="1">IFERROR(__xludf.DUMMYFUNCTION("""COMPUTED_VALUE"""),45162.6458333333)</f>
        <v>45162.645833333299</v>
      </c>
      <c r="B906" s="7">
        <f ca="1">IFERROR(__xludf.DUMMYFUNCTION("""COMPUTED_VALUE"""),789.65)</f>
        <v>789.65</v>
      </c>
      <c r="C906" s="6">
        <f t="shared" ca="1" si="6"/>
        <v>-4.6010336568763632E-3</v>
      </c>
      <c r="D906" s="7">
        <f t="shared" ca="1" si="7"/>
        <v>1.0142214905337807</v>
      </c>
    </row>
    <row r="907" spans="1:4" ht="12.75" x14ac:dyDescent="0.2">
      <c r="A907" s="8">
        <f ca="1">IFERROR(__xludf.DUMMYFUNCTION("""COMPUTED_VALUE"""),45163.6458333333)</f>
        <v>45163.645833333299</v>
      </c>
      <c r="B907" s="7">
        <f ca="1">IFERROR(__xludf.DUMMYFUNCTION("""COMPUTED_VALUE"""),780.75)</f>
        <v>780.75</v>
      </c>
      <c r="C907" s="6">
        <f t="shared" ca="1" si="6"/>
        <v>-1.1270816184385413E-2</v>
      </c>
      <c r="D907" s="7">
        <f t="shared" ca="1" si="7"/>
        <v>1.0131668267691323</v>
      </c>
    </row>
    <row r="908" spans="1:4" ht="12.75" x14ac:dyDescent="0.2">
      <c r="A908" s="8">
        <f ca="1">IFERROR(__xludf.DUMMYFUNCTION("""COMPUTED_VALUE"""),45166.6458333333)</f>
        <v>45166.645833333299</v>
      </c>
      <c r="B908" s="7">
        <f ca="1">IFERROR(__xludf.DUMMYFUNCTION("""COMPUTED_VALUE"""),788.88)</f>
        <v>788.88</v>
      </c>
      <c r="C908" s="6">
        <f t="shared" ca="1" si="6"/>
        <v>1.0413064361191049E-2</v>
      </c>
      <c r="D908" s="7">
        <f t="shared" ca="1" si="7"/>
        <v>1.0158452489605516</v>
      </c>
    </row>
    <row r="909" spans="1:4" ht="12.75" x14ac:dyDescent="0.2">
      <c r="A909" s="8">
        <f ca="1">IFERROR(__xludf.DUMMYFUNCTION("""COMPUTED_VALUE"""),45167.6458333333)</f>
        <v>45167.645833333299</v>
      </c>
      <c r="B909" s="7">
        <f ca="1">IFERROR(__xludf.DUMMYFUNCTION("""COMPUTED_VALUE"""),795.15)</f>
        <v>795.15</v>
      </c>
      <c r="C909" s="6">
        <f t="shared" ca="1" si="6"/>
        <v>7.9479768786125948E-3</v>
      </c>
      <c r="D909" s="7">
        <f t="shared" ca="1" si="7"/>
        <v>1.0087153367289192</v>
      </c>
    </row>
    <row r="910" spans="1:4" ht="12.75" x14ac:dyDescent="0.2">
      <c r="A910" s="8">
        <f ca="1">IFERROR(__xludf.DUMMYFUNCTION("""COMPUTED_VALUE"""),45168.6458333333)</f>
        <v>45168.645833333299</v>
      </c>
      <c r="B910" s="7">
        <f ca="1">IFERROR(__xludf.DUMMYFUNCTION("""COMPUTED_VALUE"""),789.35)</f>
        <v>789.35</v>
      </c>
      <c r="C910" s="6">
        <f t="shared" ca="1" si="6"/>
        <v>-7.2942212161226649E-3</v>
      </c>
      <c r="D910" s="7">
        <f t="shared" ca="1" si="7"/>
        <v>1.0182428580477607</v>
      </c>
    </row>
    <row r="911" spans="1:4" ht="12.75" x14ac:dyDescent="0.2">
      <c r="A911" s="8">
        <f ca="1">IFERROR(__xludf.DUMMYFUNCTION("""COMPUTED_VALUE"""),45169.6458333333)</f>
        <v>45169.645833333299</v>
      </c>
      <c r="B911" s="7">
        <f ca="1">IFERROR(__xludf.DUMMYFUNCTION("""COMPUTED_VALUE"""),785.73)</f>
        <v>785.73</v>
      </c>
      <c r="C911" s="6">
        <f t="shared" ca="1" si="6"/>
        <v>-4.586051814784331E-3</v>
      </c>
      <c r="D911" s="7">
        <f t="shared" ca="1" si="7"/>
        <v>1.040815547325417</v>
      </c>
    </row>
    <row r="912" spans="1:4" ht="12.75" x14ac:dyDescent="0.2">
      <c r="A912" s="8">
        <f ca="1">IFERROR(__xludf.DUMMYFUNCTION("""COMPUTED_VALUE"""),45170.6458333333)</f>
        <v>45170.645833333299</v>
      </c>
      <c r="B912" s="7">
        <f ca="1">IFERROR(__xludf.DUMMYFUNCTION("""COMPUTED_VALUE"""),787.35)</f>
        <v>787.35</v>
      </c>
      <c r="C912" s="6">
        <f t="shared" ca="1" si="6"/>
        <v>2.0617769462791813E-3</v>
      </c>
      <c r="D912" s="7">
        <f t="shared" ca="1" si="7"/>
        <v>1.0437543659109672</v>
      </c>
    </row>
    <row r="913" spans="1:4" ht="12.75" x14ac:dyDescent="0.2">
      <c r="A913" s="8">
        <f ca="1">IFERROR(__xludf.DUMMYFUNCTION("""COMPUTED_VALUE"""),45173.6458333333)</f>
        <v>45173.645833333299</v>
      </c>
      <c r="B913" s="7">
        <f ca="1">IFERROR(__xludf.DUMMYFUNCTION("""COMPUTED_VALUE"""),792.28)</f>
        <v>792.28</v>
      </c>
      <c r="C913" s="6">
        <f t="shared" ca="1" si="6"/>
        <v>6.2615101289134056E-3</v>
      </c>
      <c r="D913" s="7">
        <f t="shared" ca="1" si="7"/>
        <v>1.0371964457010148</v>
      </c>
    </row>
    <row r="914" spans="1:4" ht="12.75" x14ac:dyDescent="0.2">
      <c r="A914" s="8">
        <f ca="1">IFERROR(__xludf.DUMMYFUNCTION("""COMPUTED_VALUE"""),45174.6458333333)</f>
        <v>45174.645833333299</v>
      </c>
      <c r="B914" s="7">
        <f ca="1">IFERROR(__xludf.DUMMYFUNCTION("""COMPUTED_VALUE"""),787.45)</f>
        <v>787.45</v>
      </c>
      <c r="C914" s="6">
        <f t="shared" ca="1" si="6"/>
        <v>-6.0963295804512541E-3</v>
      </c>
      <c r="D914" s="7">
        <f t="shared" ca="1" si="7"/>
        <v>1.0385167312210297</v>
      </c>
    </row>
    <row r="915" spans="1:4" ht="12.75" x14ac:dyDescent="0.2">
      <c r="A915" s="8">
        <f ca="1">IFERROR(__xludf.DUMMYFUNCTION("""COMPUTED_VALUE"""),45175.6458333333)</f>
        <v>45175.645833333299</v>
      </c>
      <c r="B915" s="7">
        <f ca="1">IFERROR(__xludf.DUMMYFUNCTION("""COMPUTED_VALUE"""),797.75)</f>
        <v>797.75</v>
      </c>
      <c r="C915" s="6">
        <f t="shared" ca="1" si="6"/>
        <v>1.3080195567972464E-2</v>
      </c>
      <c r="D915" s="7">
        <f t="shared" ca="1" si="7"/>
        <v>1.0395487308053901</v>
      </c>
    </row>
    <row r="916" spans="1:4" ht="12.75" x14ac:dyDescent="0.2">
      <c r="A916" s="8">
        <f ca="1">IFERROR(__xludf.DUMMYFUNCTION("""COMPUTED_VALUE"""),45176.6458333333)</f>
        <v>45176.645833333299</v>
      </c>
      <c r="B916" s="7">
        <f ca="1">IFERROR(__xludf.DUMMYFUNCTION("""COMPUTED_VALUE"""),805.43)</f>
        <v>805.43</v>
      </c>
      <c r="C916" s="6">
        <f t="shared" ca="1" si="6"/>
        <v>9.6270761516765724E-3</v>
      </c>
      <c r="D916" s="7">
        <f t="shared" ca="1" si="7"/>
        <v>1.0405373527184238</v>
      </c>
    </row>
    <row r="917" spans="1:4" ht="12.75" x14ac:dyDescent="0.2">
      <c r="A917" s="8">
        <f ca="1">IFERROR(__xludf.DUMMYFUNCTION("""COMPUTED_VALUE"""),45177.6458333333)</f>
        <v>45177.645833333299</v>
      </c>
      <c r="B917" s="7">
        <f ca="1">IFERROR(__xludf.DUMMYFUNCTION("""COMPUTED_VALUE"""),811.7)</f>
        <v>811.7</v>
      </c>
      <c r="C917" s="6">
        <f t="shared" ca="1" si="6"/>
        <v>7.7846616093268928E-3</v>
      </c>
      <c r="D917" s="7">
        <f t="shared" ca="1" si="7"/>
        <v>1.0480473081187631</v>
      </c>
    </row>
    <row r="918" spans="1:4" ht="12.75" x14ac:dyDescent="0.2">
      <c r="A918" s="8">
        <f ca="1">IFERROR(__xludf.DUMMYFUNCTION("""COMPUTED_VALUE"""),45180.6458333333)</f>
        <v>45180.645833333299</v>
      </c>
      <c r="B918" s="7">
        <f ca="1">IFERROR(__xludf.DUMMYFUNCTION("""COMPUTED_VALUE"""),815.9)</f>
        <v>815.9</v>
      </c>
      <c r="C918" s="6">
        <f t="shared" ca="1" si="6"/>
        <v>5.174325489712972E-3</v>
      </c>
      <c r="D918" s="7">
        <f t="shared" ca="1" si="7"/>
        <v>1.0539281774727296</v>
      </c>
    </row>
    <row r="919" spans="1:4" ht="12.75" x14ac:dyDescent="0.2">
      <c r="A919" s="8">
        <f ca="1">IFERROR(__xludf.DUMMYFUNCTION("""COMPUTED_VALUE"""),45181.6458333333)</f>
        <v>45181.645833333299</v>
      </c>
      <c r="B919" s="7">
        <f ca="1">IFERROR(__xludf.DUMMYFUNCTION("""COMPUTED_VALUE"""),818.45)</f>
        <v>818.45</v>
      </c>
      <c r="C919" s="6">
        <f t="shared" ca="1" si="6"/>
        <v>3.1253830126241056E-3</v>
      </c>
      <c r="D919" s="7">
        <f t="shared" ca="1" si="7"/>
        <v>1.0557761622579265</v>
      </c>
    </row>
    <row r="920" spans="1:4" ht="12.75" x14ac:dyDescent="0.2">
      <c r="A920" s="8">
        <f ca="1">IFERROR(__xludf.DUMMYFUNCTION("""COMPUTED_VALUE"""),45182.6458333333)</f>
        <v>45182.645833333299</v>
      </c>
      <c r="B920" s="7">
        <f ca="1">IFERROR(__xludf.DUMMYFUNCTION("""COMPUTED_VALUE"""),821.95)</f>
        <v>821.95</v>
      </c>
      <c r="C920" s="6">
        <f t="shared" ca="1" si="6"/>
        <v>4.2763760767303705E-3</v>
      </c>
      <c r="D920" s="7">
        <f t="shared" ca="1" si="7"/>
        <v>1.0178842995316015</v>
      </c>
    </row>
    <row r="921" spans="1:4" ht="12.75" x14ac:dyDescent="0.2">
      <c r="A921" s="8">
        <f ca="1">IFERROR(__xludf.DUMMYFUNCTION("""COMPUTED_VALUE"""),45183.6458333333)</f>
        <v>45183.645833333299</v>
      </c>
      <c r="B921" s="7">
        <f ca="1">IFERROR(__xludf.DUMMYFUNCTION("""COMPUTED_VALUE"""),821.45)</f>
        <v>821.45</v>
      </c>
      <c r="C921" s="6">
        <f t="shared" ca="1" si="6"/>
        <v>-6.0830950787760241E-4</v>
      </c>
      <c r="D921" s="7">
        <f t="shared" ca="1" si="7"/>
        <v>1.019538620731633</v>
      </c>
    </row>
    <row r="922" spans="1:4" ht="12.75" x14ac:dyDescent="0.2">
      <c r="A922" s="8">
        <f ca="1">IFERROR(__xludf.DUMMYFUNCTION("""COMPUTED_VALUE"""),45184.6458333333)</f>
        <v>45184.645833333299</v>
      </c>
      <c r="B922" s="7">
        <f ca="1">IFERROR(__xludf.DUMMYFUNCTION("""COMPUTED_VALUE"""),830.88)</f>
        <v>830.88</v>
      </c>
      <c r="C922" s="6">
        <f t="shared" ca="1" si="6"/>
        <v>1.1479700529551273E-2</v>
      </c>
      <c r="D922" s="7">
        <f t="shared" ca="1" si="7"/>
        <v>0.99918159060273448</v>
      </c>
    </row>
    <row r="923" spans="1:4" ht="12.75" x14ac:dyDescent="0.2">
      <c r="A923" s="8">
        <f ca="1">IFERROR(__xludf.DUMMYFUNCTION("""COMPUTED_VALUE"""),45187.6458333333)</f>
        <v>45187.645833333299</v>
      </c>
      <c r="B923" s="7">
        <f ca="1">IFERROR(__xludf.DUMMYFUNCTION("""COMPUTED_VALUE"""),814.53)</f>
        <v>814.53</v>
      </c>
      <c r="C923" s="6">
        <f t="shared" ca="1" si="6"/>
        <v>-1.967793183131139E-2</v>
      </c>
      <c r="D923" s="7">
        <f t="shared" ca="1" si="7"/>
        <v>1.0168195155488442</v>
      </c>
    </row>
    <row r="924" spans="1:4" ht="12.75" x14ac:dyDescent="0.2">
      <c r="A924" s="8">
        <f ca="1">IFERROR(__xludf.DUMMYFUNCTION("""COMPUTED_VALUE"""),45189.6458333333)</f>
        <v>45189.645833333299</v>
      </c>
      <c r="B924" s="7">
        <f ca="1">IFERROR(__xludf.DUMMYFUNCTION("""COMPUTED_VALUE"""),781.85)</f>
        <v>781.85</v>
      </c>
      <c r="C924" s="6">
        <f t="shared" ca="1" si="6"/>
        <v>-4.012129694425004E-2</v>
      </c>
      <c r="D924" s="7">
        <f t="shared" ca="1" si="7"/>
        <v>1.0541664002046429</v>
      </c>
    </row>
    <row r="925" spans="1:4" ht="12.75" x14ac:dyDescent="0.2">
      <c r="A925" s="8">
        <f ca="1">IFERROR(__xludf.DUMMYFUNCTION("""COMPUTED_VALUE"""),45190.6458333333)</f>
        <v>45190.645833333299</v>
      </c>
      <c r="B925" s="7">
        <f ca="1">IFERROR(__xludf.DUMMYFUNCTION("""COMPUTED_VALUE"""),776.68)</f>
        <v>776.68</v>
      </c>
      <c r="C925" s="6">
        <f t="shared" ca="1" si="6"/>
        <v>-6.6125215834240691E-3</v>
      </c>
      <c r="D925" s="7">
        <f t="shared" ca="1" si="7"/>
        <v>1.0512437554720091</v>
      </c>
    </row>
    <row r="926" spans="1:4" ht="12.75" x14ac:dyDescent="0.2">
      <c r="A926" s="8">
        <f ca="1">IFERROR(__xludf.DUMMYFUNCTION("""COMPUTED_VALUE"""),45191.6458333333)</f>
        <v>45191.645833333299</v>
      </c>
      <c r="B926" s="7">
        <f ca="1">IFERROR(__xludf.DUMMYFUNCTION("""COMPUTED_VALUE"""),764.83)</f>
        <v>764.83</v>
      </c>
      <c r="C926" s="6">
        <f t="shared" ca="1" si="6"/>
        <v>-1.5257248802595602E-2</v>
      </c>
      <c r="D926" s="7">
        <f t="shared" ca="1" si="7"/>
        <v>1.0728527908162597</v>
      </c>
    </row>
    <row r="927" spans="1:4" ht="12.75" x14ac:dyDescent="0.2">
      <c r="A927" s="8">
        <f ca="1">IFERROR(__xludf.DUMMYFUNCTION("""COMPUTED_VALUE"""),45194.6458333333)</f>
        <v>45194.645833333299</v>
      </c>
      <c r="B927" s="7">
        <f ca="1">IFERROR(__xludf.DUMMYFUNCTION("""COMPUTED_VALUE"""),765.5)</f>
        <v>765.5</v>
      </c>
      <c r="C927" s="6">
        <f t="shared" ca="1" si="6"/>
        <v>8.7601166272244235E-4</v>
      </c>
      <c r="D927" s="7">
        <f t="shared" ca="1" si="7"/>
        <v>1.074134552580013</v>
      </c>
    </row>
    <row r="928" spans="1:4" ht="12.75" x14ac:dyDescent="0.2">
      <c r="A928" s="8">
        <f ca="1">IFERROR(__xludf.DUMMYFUNCTION("""COMPUTED_VALUE"""),45195.6458333333)</f>
        <v>45195.645833333299</v>
      </c>
      <c r="B928" s="7">
        <f ca="1">IFERROR(__xludf.DUMMYFUNCTION("""COMPUTED_VALUE"""),768.83)</f>
        <v>768.83</v>
      </c>
      <c r="C928" s="6">
        <f t="shared" ca="1" si="6"/>
        <v>4.350097975179601E-3</v>
      </c>
      <c r="D928" s="7">
        <f t="shared" ca="1" si="7"/>
        <v>1.0918538558589026</v>
      </c>
    </row>
    <row r="929" spans="1:4" ht="12.75" x14ac:dyDescent="0.2">
      <c r="A929" s="8">
        <f ca="1">IFERROR(__xludf.DUMMYFUNCTION("""COMPUTED_VALUE"""),45196.6458333333)</f>
        <v>45196.645833333299</v>
      </c>
      <c r="B929" s="7">
        <f ca="1">IFERROR(__xludf.DUMMYFUNCTION("""COMPUTED_VALUE"""),763.43)</f>
        <v>763.43</v>
      </c>
      <c r="C929" s="6">
        <f t="shared" ca="1" si="6"/>
        <v>-7.0236593265092795E-3</v>
      </c>
      <c r="D929" s="7">
        <f t="shared" ca="1" si="7"/>
        <v>1.0986599950224645</v>
      </c>
    </row>
    <row r="930" spans="1:4" ht="12.75" x14ac:dyDescent="0.2">
      <c r="A930" s="8">
        <f ca="1">IFERROR(__xludf.DUMMYFUNCTION("""COMPUTED_VALUE"""),45197.6458333333)</f>
        <v>45197.645833333299</v>
      </c>
      <c r="B930" s="7">
        <f ca="1">IFERROR(__xludf.DUMMYFUNCTION("""COMPUTED_VALUE"""),761.85)</f>
        <v>761.85</v>
      </c>
      <c r="C930" s="6">
        <f t="shared" ca="1" si="6"/>
        <v>-2.0696069056755917E-3</v>
      </c>
      <c r="D930" s="7">
        <f t="shared" ca="1" si="7"/>
        <v>1.1059263634573735</v>
      </c>
    </row>
    <row r="931" spans="1:4" ht="12.75" x14ac:dyDescent="0.2">
      <c r="A931" s="8">
        <f ca="1">IFERROR(__xludf.DUMMYFUNCTION("""COMPUTED_VALUE"""),45198.6458333333)</f>
        <v>45198.645833333299</v>
      </c>
      <c r="B931" s="7">
        <f ca="1">IFERROR(__xludf.DUMMYFUNCTION("""COMPUTED_VALUE"""),763.15)</f>
        <v>763.15</v>
      </c>
      <c r="C931" s="6">
        <f t="shared" ca="1" si="6"/>
        <v>1.7063726455337491E-3</v>
      </c>
      <c r="D931" s="7">
        <f t="shared" ca="1" si="7"/>
        <v>1.1064404114525324</v>
      </c>
    </row>
    <row r="932" spans="1:4" ht="12.75" x14ac:dyDescent="0.2">
      <c r="A932" s="8">
        <f ca="1">IFERROR(__xludf.DUMMYFUNCTION("""COMPUTED_VALUE"""),45202.6458333333)</f>
        <v>45202.645833333299</v>
      </c>
      <c r="B932" s="7">
        <f ca="1">IFERROR(__xludf.DUMMYFUNCTION("""COMPUTED_VALUE"""),754.03)</f>
        <v>754.03</v>
      </c>
      <c r="C932" s="6">
        <f t="shared" ca="1" si="6"/>
        <v>-1.1950468453121976E-2</v>
      </c>
      <c r="D932" s="7">
        <f t="shared" ca="1" si="7"/>
        <v>1.1112024720501836</v>
      </c>
    </row>
    <row r="933" spans="1:4" ht="12.75" x14ac:dyDescent="0.2">
      <c r="A933" s="8">
        <f ca="1">IFERROR(__xludf.DUMMYFUNCTION("""COMPUTED_VALUE"""),45203.6458333333)</f>
        <v>45203.645833333299</v>
      </c>
      <c r="B933" s="7">
        <f ca="1">IFERROR(__xludf.DUMMYFUNCTION("""COMPUTED_VALUE"""),764.78)</f>
        <v>764.78</v>
      </c>
      <c r="C933" s="6">
        <f t="shared" ca="1" si="6"/>
        <v>1.4256727185921081E-2</v>
      </c>
      <c r="D933" s="7">
        <f t="shared" ca="1" si="7"/>
        <v>1.097309030047857</v>
      </c>
    </row>
    <row r="934" spans="1:4" ht="12.75" x14ac:dyDescent="0.2">
      <c r="A934" s="8">
        <f ca="1">IFERROR(__xludf.DUMMYFUNCTION("""COMPUTED_VALUE"""),45204.6458333333)</f>
        <v>45204.645833333299</v>
      </c>
      <c r="B934" s="7">
        <f ca="1">IFERROR(__xludf.DUMMYFUNCTION("""COMPUTED_VALUE"""),767.88)</f>
        <v>767.88</v>
      </c>
      <c r="C934" s="6">
        <f t="shared" ca="1" si="6"/>
        <v>4.0534532806819623E-3</v>
      </c>
      <c r="D934" s="7">
        <f t="shared" ca="1" si="7"/>
        <v>1.1047299057144344</v>
      </c>
    </row>
    <row r="935" spans="1:4" ht="12.75" x14ac:dyDescent="0.2">
      <c r="A935" s="8">
        <f ca="1">IFERROR(__xludf.DUMMYFUNCTION("""COMPUTED_VALUE"""),45205.6458333333)</f>
        <v>45205.645833333299</v>
      </c>
      <c r="B935" s="7">
        <f ca="1">IFERROR(__xludf.DUMMYFUNCTION("""COMPUTED_VALUE"""),767.03)</f>
        <v>767.03</v>
      </c>
      <c r="C935" s="6">
        <f t="shared" ca="1" si="6"/>
        <v>-1.1069437933011184E-3</v>
      </c>
      <c r="D935" s="7">
        <f t="shared" ca="1" si="7"/>
        <v>1.1021081313638319</v>
      </c>
    </row>
    <row r="936" spans="1:4" ht="12.75" x14ac:dyDescent="0.2">
      <c r="A936" s="8">
        <f ca="1">IFERROR(__xludf.DUMMYFUNCTION("""COMPUTED_VALUE"""),45208.6458333333)</f>
        <v>45208.645833333299</v>
      </c>
      <c r="B936" s="7">
        <f ca="1">IFERROR(__xludf.DUMMYFUNCTION("""COMPUTED_VALUE"""),758.13)</f>
        <v>758.13</v>
      </c>
      <c r="C936" s="6">
        <f t="shared" ca="1" si="6"/>
        <v>-1.1603196745889943E-2</v>
      </c>
      <c r="D936" s="7">
        <f t="shared" ca="1" si="7"/>
        <v>1.1034782952791737</v>
      </c>
    </row>
    <row r="937" spans="1:4" ht="12.75" x14ac:dyDescent="0.2">
      <c r="A937" s="8">
        <f ca="1">IFERROR(__xludf.DUMMYFUNCTION("""COMPUTED_VALUE"""),45209.6458333333)</f>
        <v>45209.645833333299</v>
      </c>
      <c r="B937" s="7">
        <f ca="1">IFERROR(__xludf.DUMMYFUNCTION("""COMPUTED_VALUE"""),762.43)</f>
        <v>762.43</v>
      </c>
      <c r="C937" s="6">
        <f t="shared" ca="1" si="6"/>
        <v>5.671850474193052E-3</v>
      </c>
      <c r="D937" s="7">
        <f t="shared" ca="1" si="7"/>
        <v>1.0778038639612817</v>
      </c>
    </row>
    <row r="938" spans="1:4" ht="12.75" x14ac:dyDescent="0.2">
      <c r="A938" s="8">
        <f ca="1">IFERROR(__xludf.DUMMYFUNCTION("""COMPUTED_VALUE"""),45210.6458333333)</f>
        <v>45210.645833333299</v>
      </c>
      <c r="B938" s="7">
        <f ca="1">IFERROR(__xludf.DUMMYFUNCTION("""COMPUTED_VALUE"""),769.8)</f>
        <v>769.8</v>
      </c>
      <c r="C938" s="6">
        <f t="shared" ca="1" si="6"/>
        <v>9.6664611833217062E-3</v>
      </c>
      <c r="D938" s="7">
        <f t="shared" ca="1" si="7"/>
        <v>1.0724863600935308</v>
      </c>
    </row>
    <row r="939" spans="1:4" ht="12.75" x14ac:dyDescent="0.2">
      <c r="A939" s="8">
        <f ca="1">IFERROR(__xludf.DUMMYFUNCTION("""COMPUTED_VALUE"""),45211.6458333333)</f>
        <v>45211.645833333299</v>
      </c>
      <c r="B939" s="7">
        <f ca="1">IFERROR(__xludf.DUMMYFUNCTION("""COMPUTED_VALUE"""),774.93)</f>
        <v>774.93</v>
      </c>
      <c r="C939" s="6">
        <f t="shared" ca="1" si="6"/>
        <v>6.6640685892438434E-3</v>
      </c>
      <c r="D939" s="7">
        <f t="shared" ca="1" si="7"/>
        <v>1.0725226794678229</v>
      </c>
    </row>
    <row r="940" spans="1:4" ht="12.75" x14ac:dyDescent="0.2">
      <c r="A940" s="8">
        <f ca="1">IFERROR(__xludf.DUMMYFUNCTION("""COMPUTED_VALUE"""),45212.6458333333)</f>
        <v>45212.645833333299</v>
      </c>
      <c r="B940" s="7">
        <f ca="1">IFERROR(__xludf.DUMMYFUNCTION("""COMPUTED_VALUE"""),767.88)</f>
        <v>767.88</v>
      </c>
      <c r="C940" s="6">
        <f t="shared" ca="1" si="6"/>
        <v>-9.0975959118887451E-3</v>
      </c>
      <c r="D940" s="7">
        <f t="shared" ca="1" si="7"/>
        <v>1.0682007605355004</v>
      </c>
    </row>
    <row r="941" spans="1:4" ht="12.75" x14ac:dyDescent="0.2">
      <c r="A941" s="8">
        <f ca="1">IFERROR(__xludf.DUMMYFUNCTION("""COMPUTED_VALUE"""),45215.6458333333)</f>
        <v>45215.645833333299</v>
      </c>
      <c r="B941" s="7">
        <f ca="1">IFERROR(__xludf.DUMMYFUNCTION("""COMPUTED_VALUE"""),764.8)</f>
        <v>764.8</v>
      </c>
      <c r="C941" s="6">
        <f t="shared" ca="1" si="6"/>
        <v>-4.0110433921967115E-3</v>
      </c>
      <c r="D941" s="7">
        <f t="shared" ca="1" si="7"/>
        <v>1.064762029288703</v>
      </c>
    </row>
    <row r="942" spans="1:4" ht="12.75" x14ac:dyDescent="0.2">
      <c r="A942" s="8">
        <f ca="1">IFERROR(__xludf.DUMMYFUNCTION("""COMPUTED_VALUE"""),45216.6458333333)</f>
        <v>45216.645833333299</v>
      </c>
      <c r="B942" s="7">
        <f ca="1">IFERROR(__xludf.DUMMYFUNCTION("""COMPUTED_VALUE"""),770.6)</f>
        <v>770.6</v>
      </c>
      <c r="C942" s="6">
        <f t="shared" ca="1" si="6"/>
        <v>7.5836820083683421E-3</v>
      </c>
      <c r="D942" s="7">
        <f t="shared" ca="1" si="7"/>
        <v>1.0720218011938749</v>
      </c>
    </row>
    <row r="943" spans="1:4" ht="12.75" x14ac:dyDescent="0.2">
      <c r="A943" s="8">
        <f ca="1">IFERROR(__xludf.DUMMYFUNCTION("""COMPUTED_VALUE"""),45217.6458333333)</f>
        <v>45217.645833333299</v>
      </c>
      <c r="B943" s="7">
        <f ca="1">IFERROR(__xludf.DUMMYFUNCTION("""COMPUTED_VALUE"""),759.88)</f>
        <v>759.88</v>
      </c>
      <c r="C943" s="6">
        <f t="shared" ca="1" si="6"/>
        <v>-1.391123799636651E-2</v>
      </c>
      <c r="D943" s="7">
        <f t="shared" ca="1" si="7"/>
        <v>1.0865268200242144</v>
      </c>
    </row>
    <row r="944" spans="1:4" ht="12.75" x14ac:dyDescent="0.2">
      <c r="A944" s="8">
        <f ca="1">IFERROR(__xludf.DUMMYFUNCTION("""COMPUTED_VALUE"""),45218.6458333333)</f>
        <v>45218.645833333299</v>
      </c>
      <c r="B944" s="7">
        <f ca="1">IFERROR(__xludf.DUMMYFUNCTION("""COMPUTED_VALUE"""),757.48)</f>
        <v>757.48</v>
      </c>
      <c r="C944" s="6">
        <f t="shared" ca="1" si="6"/>
        <v>-3.1583934305415839E-3</v>
      </c>
      <c r="D944" s="7">
        <f t="shared" ca="1" si="7"/>
        <v>1.0890716586576543</v>
      </c>
    </row>
    <row r="945" spans="1:4" ht="12.75" x14ac:dyDescent="0.2">
      <c r="A945" s="8">
        <f ca="1">IFERROR(__xludf.DUMMYFUNCTION("""COMPUTED_VALUE"""),45219.6458333333)</f>
        <v>45219.645833333299</v>
      </c>
      <c r="B945" s="7">
        <f ca="1">IFERROR(__xludf.DUMMYFUNCTION("""COMPUTED_VALUE"""),761.4)</f>
        <v>761.4</v>
      </c>
      <c r="C945" s="6">
        <f t="shared" ca="1" si="6"/>
        <v>5.175054126841605E-3</v>
      </c>
      <c r="D945" s="7">
        <f t="shared" ca="1" si="7"/>
        <v>1.0838586813764119</v>
      </c>
    </row>
    <row r="946" spans="1:4" ht="12.75" x14ac:dyDescent="0.2">
      <c r="A946" s="8">
        <f ca="1">IFERROR(__xludf.DUMMYFUNCTION("""COMPUTED_VALUE"""),45222.6458333333)</f>
        <v>45222.645833333299</v>
      </c>
      <c r="B946" s="7">
        <f ca="1">IFERROR(__xludf.DUMMYFUNCTION("""COMPUTED_VALUE"""),753.03)</f>
        <v>753.03</v>
      </c>
      <c r="C946" s="6">
        <f t="shared" ca="1" si="6"/>
        <v>-1.0992907801418483E-2</v>
      </c>
      <c r="D946" s="7">
        <f t="shared" ca="1" si="7"/>
        <v>1.0861851453461349</v>
      </c>
    </row>
    <row r="947" spans="1:4" ht="12.75" x14ac:dyDescent="0.2">
      <c r="A947" s="8">
        <f ca="1">IFERROR(__xludf.DUMMYFUNCTION("""COMPUTED_VALUE"""),45224.6458333333)</f>
        <v>45224.645833333299</v>
      </c>
      <c r="B947" s="7">
        <f ca="1">IFERROR(__xludf.DUMMYFUNCTION("""COMPUTED_VALUE"""),748.25)</f>
        <v>748.25</v>
      </c>
      <c r="C947" s="6">
        <f t="shared" ca="1" si="6"/>
        <v>-6.3476886711020253E-3</v>
      </c>
      <c r="D947" s="7">
        <f t="shared" ca="1" si="7"/>
        <v>1.0817240227196792</v>
      </c>
    </row>
    <row r="948" spans="1:4" ht="12.75" x14ac:dyDescent="0.2">
      <c r="A948" s="8">
        <f ca="1">IFERROR(__xludf.DUMMYFUNCTION("""COMPUTED_VALUE"""),45225.6458333333)</f>
        <v>45225.645833333299</v>
      </c>
      <c r="B948" s="7">
        <f ca="1">IFERROR(__xludf.DUMMYFUNCTION("""COMPUTED_VALUE"""),731.7)</f>
        <v>731.7</v>
      </c>
      <c r="C948" s="6">
        <f t="shared" ca="1" si="6"/>
        <v>-2.2118275977280222E-2</v>
      </c>
      <c r="D948" s="7">
        <f t="shared" ca="1" si="7"/>
        <v>1.1007926745934127</v>
      </c>
    </row>
    <row r="949" spans="1:4" ht="12.75" x14ac:dyDescent="0.2">
      <c r="A949" s="8">
        <f ca="1">IFERROR(__xludf.DUMMYFUNCTION("""COMPUTED_VALUE"""),45226.6458333333)</f>
        <v>45226.645833333299</v>
      </c>
      <c r="B949" s="7">
        <f ca="1">IFERROR(__xludf.DUMMYFUNCTION("""COMPUTED_VALUE"""),734.58)</f>
        <v>734.58</v>
      </c>
      <c r="C949" s="6">
        <f t="shared" ca="1" si="6"/>
        <v>3.9360393603935506E-3</v>
      </c>
      <c r="D949" s="7">
        <f t="shared" ca="1" si="7"/>
        <v>1.093277791390999</v>
      </c>
    </row>
    <row r="950" spans="1:4" ht="12.75" x14ac:dyDescent="0.2">
      <c r="A950" s="8">
        <f ca="1">IFERROR(__xludf.DUMMYFUNCTION("""COMPUTED_VALUE"""),45229.6458333333)</f>
        <v>45229.645833333299</v>
      </c>
      <c r="B950" s="7">
        <f ca="1">IFERROR(__xludf.DUMMYFUNCTION("""COMPUTED_VALUE"""),742.55)</f>
        <v>742.55</v>
      </c>
      <c r="C950" s="6">
        <f t="shared" ca="1" si="6"/>
        <v>1.0849737264831516E-2</v>
      </c>
      <c r="D950" s="7">
        <f t="shared" ca="1" si="7"/>
        <v>1.0755504679819541</v>
      </c>
    </row>
    <row r="951" spans="1:4" ht="12.75" x14ac:dyDescent="0.2">
      <c r="A951" s="8">
        <f ca="1">IFERROR(__xludf.DUMMYFUNCTION("""COMPUTED_VALUE"""),45230.6458333333)</f>
        <v>45230.645833333299</v>
      </c>
      <c r="B951" s="7">
        <f ca="1">IFERROR(__xludf.DUMMYFUNCTION("""COMPUTED_VALUE"""),738.25)</f>
        <v>738.25</v>
      </c>
      <c r="C951" s="6">
        <f t="shared" ca="1" si="6"/>
        <v>-5.7908558346239092E-3</v>
      </c>
      <c r="D951" s="7">
        <f t="shared" ca="1" si="7"/>
        <v>1.077385709448019</v>
      </c>
    </row>
    <row r="952" spans="1:4" ht="12.75" x14ac:dyDescent="0.2">
      <c r="A952" s="8">
        <f ca="1">IFERROR(__xludf.DUMMYFUNCTION("""COMPUTED_VALUE"""),45231.6458333333)</f>
        <v>45231.645833333299</v>
      </c>
      <c r="B952" s="7">
        <f ca="1">IFERROR(__xludf.DUMMYFUNCTION("""COMPUTED_VALUE"""),737.25)</f>
        <v>737.25</v>
      </c>
      <c r="C952" s="6">
        <f t="shared" ca="1" si="6"/>
        <v>-1.3545546901455596E-3</v>
      </c>
      <c r="D952" s="7">
        <f t="shared" ca="1" si="7"/>
        <v>1.0779925398440149</v>
      </c>
    </row>
    <row r="953" spans="1:4" ht="12.75" x14ac:dyDescent="0.2">
      <c r="A953" s="8">
        <f ca="1">IFERROR(__xludf.DUMMYFUNCTION("""COMPUTED_VALUE"""),45232.6458333333)</f>
        <v>45232.645833333299</v>
      </c>
      <c r="B953" s="7">
        <f ca="1">IFERROR(__xludf.DUMMYFUNCTION("""COMPUTED_VALUE"""),738.38)</f>
        <v>738.38</v>
      </c>
      <c r="C953" s="6">
        <f t="shared" ca="1" si="6"/>
        <v>1.532722956934629E-3</v>
      </c>
      <c r="D953" s="7">
        <f t="shared" ca="1" si="7"/>
        <v>1.0717381294184567</v>
      </c>
    </row>
    <row r="954" spans="1:4" ht="12.75" x14ac:dyDescent="0.2">
      <c r="A954" s="8">
        <f ca="1">IFERROR(__xludf.DUMMYFUNCTION("""COMPUTED_VALUE"""),45233.6458333333)</f>
        <v>45233.645833333299</v>
      </c>
      <c r="B954" s="7">
        <f ca="1">IFERROR(__xludf.DUMMYFUNCTION("""COMPUTED_VALUE"""),741.88)</f>
        <v>741.88</v>
      </c>
      <c r="C954" s="6">
        <f t="shared" ca="1" si="6"/>
        <v>4.7401067201169322E-3</v>
      </c>
      <c r="D954" s="7">
        <f t="shared" ca="1" si="7"/>
        <v>1.0693104006038712</v>
      </c>
    </row>
    <row r="955" spans="1:4" ht="12.75" x14ac:dyDescent="0.2">
      <c r="A955" s="8">
        <f ca="1">IFERROR(__xludf.DUMMYFUNCTION("""COMPUTED_VALUE"""),45236.6458333333)</f>
        <v>45236.645833333299</v>
      </c>
      <c r="B955" s="7">
        <f ca="1">IFERROR(__xludf.DUMMYFUNCTION("""COMPUTED_VALUE"""),747.25)</f>
        <v>747.25</v>
      </c>
      <c r="C955" s="6">
        <f t="shared" ca="1" si="6"/>
        <v>7.2383673909526269E-3</v>
      </c>
      <c r="D955" s="7">
        <f t="shared" ca="1" si="7"/>
        <v>1.0567413850786216</v>
      </c>
    </row>
    <row r="956" spans="1:4" ht="12.75" x14ac:dyDescent="0.2">
      <c r="A956" s="8">
        <f ca="1">IFERROR(__xludf.DUMMYFUNCTION("""COMPUTED_VALUE"""),45237.6458333333)</f>
        <v>45237.645833333299</v>
      </c>
      <c r="B956" s="7">
        <f ca="1">IFERROR(__xludf.DUMMYFUNCTION("""COMPUTED_VALUE"""),743.63)</f>
        <v>743.63</v>
      </c>
      <c r="C956" s="6">
        <f t="shared" ca="1" si="6"/>
        <v>-4.8444295751087774E-3</v>
      </c>
      <c r="D956" s="7">
        <f t="shared" ca="1" si="7"/>
        <v>1.0499172975807862</v>
      </c>
    </row>
    <row r="957" spans="1:4" ht="12.75" x14ac:dyDescent="0.2">
      <c r="A957" s="8">
        <f ca="1">IFERROR(__xludf.DUMMYFUNCTION("""COMPUTED_VALUE"""),45238.6458333333)</f>
        <v>45238.645833333299</v>
      </c>
      <c r="B957" s="7">
        <f ca="1">IFERROR(__xludf.DUMMYFUNCTION("""COMPUTED_VALUE"""),745.78)</f>
        <v>745.78</v>
      </c>
      <c r="C957" s="6">
        <f t="shared" ca="1" si="6"/>
        <v>2.891222785525116E-3</v>
      </c>
      <c r="D957" s="7">
        <f t="shared" ca="1" si="7"/>
        <v>1.057791842098206</v>
      </c>
    </row>
    <row r="958" spans="1:4" ht="12.75" x14ac:dyDescent="0.2">
      <c r="A958" s="8">
        <f ca="1">IFERROR(__xludf.DUMMYFUNCTION("""COMPUTED_VALUE"""),45239.6458333333)</f>
        <v>45239.645833333299</v>
      </c>
      <c r="B958" s="7">
        <f ca="1">IFERROR(__xludf.DUMMYFUNCTION("""COMPUTED_VALUE"""),742.83)</f>
        <v>742.83</v>
      </c>
      <c r="C958" s="6">
        <f t="shared" ca="1" si="6"/>
        <v>-3.9555901204108013E-3</v>
      </c>
      <c r="D958" s="7">
        <f t="shared" ca="1" si="7"/>
        <v>1.0704333427567545</v>
      </c>
    </row>
    <row r="959" spans="1:4" ht="12.75" x14ac:dyDescent="0.2">
      <c r="A959" s="8">
        <f ca="1">IFERROR(__xludf.DUMMYFUNCTION("""COMPUTED_VALUE"""),45240.6458333333)</f>
        <v>45240.645833333299</v>
      </c>
      <c r="B959" s="7">
        <f ca="1">IFERROR(__xludf.DUMMYFUNCTION("""COMPUTED_VALUE"""),745.75)</f>
        <v>745.75</v>
      </c>
      <c r="C959" s="6">
        <f t="shared" ca="1" si="6"/>
        <v>3.93091286027758E-3</v>
      </c>
      <c r="D959" s="7">
        <f t="shared" ca="1" si="7"/>
        <v>1.0584646329198792</v>
      </c>
    </row>
    <row r="960" spans="1:4" ht="12.75" x14ac:dyDescent="0.2">
      <c r="A960" s="8">
        <f ca="1">IFERROR(__xludf.DUMMYFUNCTION("""COMPUTED_VALUE"""),45243.6458333333)</f>
        <v>45243.645833333299</v>
      </c>
      <c r="B960" s="7">
        <f ca="1">IFERROR(__xludf.DUMMYFUNCTION("""COMPUTED_VALUE"""),744.4)</f>
        <v>744.4</v>
      </c>
      <c r="C960" s="6">
        <f t="shared" ca="1" si="6"/>
        <v>-1.8102581293999442E-3</v>
      </c>
      <c r="D960" s="7">
        <f t="shared" ca="1" si="7"/>
        <v>1.0555212251477701</v>
      </c>
    </row>
    <row r="961" spans="1:4" ht="12.75" x14ac:dyDescent="0.2">
      <c r="A961" s="8">
        <f ca="1">IFERROR(__xludf.DUMMYFUNCTION("""COMPUTED_VALUE"""),45245.6458333333)</f>
        <v>45245.645833333299</v>
      </c>
      <c r="B961" s="7">
        <f ca="1">IFERROR(__xludf.DUMMYFUNCTION("""COMPUTED_VALUE"""),752.2)</f>
        <v>752.2</v>
      </c>
      <c r="C961" s="6">
        <f t="shared" ca="1" si="6"/>
        <v>1.0478237506716948E-2</v>
      </c>
      <c r="D961" s="7">
        <f t="shared" ca="1" si="7"/>
        <v>1.0467295931932996</v>
      </c>
    </row>
    <row r="962" spans="1:4" ht="12.75" x14ac:dyDescent="0.2">
      <c r="A962" s="8">
        <f ca="1">IFERROR(__xludf.DUMMYFUNCTION("""COMPUTED_VALUE"""),45246.6458333333)</f>
        <v>45246.645833333299</v>
      </c>
      <c r="B962" s="7">
        <f ca="1">IFERROR(__xludf.DUMMYFUNCTION("""COMPUTED_VALUE"""),754.18)</f>
        <v>754.18</v>
      </c>
      <c r="C962" s="6">
        <f t="shared" ca="1" si="6"/>
        <v>2.6322786492953831E-3</v>
      </c>
      <c r="D962" s="7">
        <f t="shared" ca="1" si="7"/>
        <v>1.0505184438728155</v>
      </c>
    </row>
    <row r="963" spans="1:4" ht="12.75" x14ac:dyDescent="0.2">
      <c r="A963" s="8">
        <f ca="1">IFERROR(__xludf.DUMMYFUNCTION("""COMPUTED_VALUE"""),45247.6458333333)</f>
        <v>45247.645833333299</v>
      </c>
      <c r="B963" s="7">
        <f ca="1">IFERROR(__xludf.DUMMYFUNCTION("""COMPUTED_VALUE"""),752.55)</f>
        <v>752.55</v>
      </c>
      <c r="C963" s="6">
        <f t="shared" ca="1" si="6"/>
        <v>-2.1612877562385835E-3</v>
      </c>
      <c r="D963" s="7">
        <f t="shared" ca="1" si="7"/>
        <v>1.0463756561025848</v>
      </c>
    </row>
    <row r="964" spans="1:4" ht="12.75" x14ac:dyDescent="0.2">
      <c r="A964" s="8">
        <f ca="1">IFERROR(__xludf.DUMMYFUNCTION("""COMPUTED_VALUE"""),45250.6458333333)</f>
        <v>45250.645833333299</v>
      </c>
      <c r="B964" s="7">
        <f ca="1">IFERROR(__xludf.DUMMYFUNCTION("""COMPUTED_VALUE"""),752.6)</f>
        <v>752.6</v>
      </c>
      <c r="C964" s="6">
        <f t="shared" ca="1" si="6"/>
        <v>6.6440768055286981E-5</v>
      </c>
      <c r="D964" s="7">
        <f t="shared" ca="1" si="7"/>
        <v>1.0599920276375232</v>
      </c>
    </row>
    <row r="965" spans="1:4" ht="12.75" x14ac:dyDescent="0.2">
      <c r="A965" s="8">
        <f ca="1">IFERROR(__xludf.DUMMYFUNCTION("""COMPUTED_VALUE"""),45251.6458333333)</f>
        <v>45251.645833333299</v>
      </c>
      <c r="B965" s="7">
        <f ca="1">IFERROR(__xludf.DUMMYFUNCTION("""COMPUTED_VALUE"""),758.98)</f>
        <v>758.98</v>
      </c>
      <c r="C965" s="6">
        <f t="shared" ca="1" si="6"/>
        <v>8.4772787669411542E-3</v>
      </c>
      <c r="D965" s="7">
        <f t="shared" ca="1" si="7"/>
        <v>1.0612005586444964</v>
      </c>
    </row>
    <row r="966" spans="1:4" ht="12.75" x14ac:dyDescent="0.2">
      <c r="A966" s="8">
        <f ca="1">IFERROR(__xludf.DUMMYFUNCTION("""COMPUTED_VALUE"""),45252.6458333333)</f>
        <v>45252.645833333299</v>
      </c>
      <c r="B966" s="7">
        <f ca="1">IFERROR(__xludf.DUMMYFUNCTION("""COMPUTED_VALUE"""),756.28)</f>
        <v>756.28</v>
      </c>
      <c r="C966" s="6">
        <f t="shared" ca="1" si="6"/>
        <v>-3.5574059922528489E-3</v>
      </c>
      <c r="D966" s="7">
        <f t="shared" ca="1" si="7"/>
        <v>1.0732797376632994</v>
      </c>
    </row>
    <row r="967" spans="1:4" ht="12.75" x14ac:dyDescent="0.2">
      <c r="A967" s="8">
        <f ca="1">IFERROR(__xludf.DUMMYFUNCTION("""COMPUTED_VALUE"""),45253.6458333333)</f>
        <v>45253.645833333299</v>
      </c>
      <c r="B967" s="7">
        <f ca="1">IFERROR(__xludf.DUMMYFUNCTION("""COMPUTED_VALUE"""),760.65)</f>
        <v>760.65</v>
      </c>
      <c r="C967" s="6">
        <f t="shared" ca="1" si="6"/>
        <v>5.7782831755435193E-3</v>
      </c>
      <c r="D967" s="7">
        <f t="shared" ca="1" si="7"/>
        <v>1.072635246171038</v>
      </c>
    </row>
    <row r="968" spans="1:4" ht="12.75" x14ac:dyDescent="0.2">
      <c r="A968" s="8">
        <f ca="1">IFERROR(__xludf.DUMMYFUNCTION("""COMPUTED_VALUE"""),45254.6458333333)</f>
        <v>45254.645833333299</v>
      </c>
      <c r="B968" s="7">
        <f ca="1">IFERROR(__xludf.DUMMYFUNCTION("""COMPUTED_VALUE"""),766.05)</f>
        <v>766.05</v>
      </c>
      <c r="C968" s="6">
        <f t="shared" ca="1" si="6"/>
        <v>7.0991914809701573E-3</v>
      </c>
      <c r="D968" s="7">
        <f t="shared" ca="1" si="7"/>
        <v>1.0684028457672476</v>
      </c>
    </row>
    <row r="969" spans="1:4" ht="12.75" x14ac:dyDescent="0.2">
      <c r="A969" s="8">
        <f ca="1">IFERROR(__xludf.DUMMYFUNCTION("""COMPUTED_VALUE"""),45258.6458333333)</f>
        <v>45258.645833333299</v>
      </c>
      <c r="B969" s="7">
        <f ca="1">IFERROR(__xludf.DUMMYFUNCTION("""COMPUTED_VALUE"""),764.33)</f>
        <v>764.33</v>
      </c>
      <c r="C969" s="6">
        <f t="shared" ca="1" si="6"/>
        <v>-2.2452842503751791E-3</v>
      </c>
      <c r="D969" s="7">
        <f t="shared" ca="1" si="7"/>
        <v>1.0753862860282861</v>
      </c>
    </row>
    <row r="970" spans="1:4" ht="12.75" x14ac:dyDescent="0.2">
      <c r="A970" s="8">
        <f ca="1">IFERROR(__xludf.DUMMYFUNCTION("""COMPUTED_VALUE"""),45259.6458333333)</f>
        <v>45259.645833333299</v>
      </c>
      <c r="B970" s="7">
        <f ca="1">IFERROR(__xludf.DUMMYFUNCTION("""COMPUTED_VALUE"""),779.58)</f>
        <v>779.58</v>
      </c>
      <c r="C970" s="6">
        <f t="shared" ca="1" si="6"/>
        <v>1.9952114924181918E-2</v>
      </c>
      <c r="D970" s="7">
        <f t="shared" ca="1" si="7"/>
        <v>1.0537084070909977</v>
      </c>
    </row>
    <row r="971" spans="1:4" ht="12.75" x14ac:dyDescent="0.2">
      <c r="A971" s="8">
        <f ca="1">IFERROR(__xludf.DUMMYFUNCTION("""COMPUTED_VALUE"""),45260.6458333333)</f>
        <v>45260.645833333299</v>
      </c>
      <c r="B971" s="7">
        <f ca="1">IFERROR(__xludf.DUMMYFUNCTION("""COMPUTED_VALUE"""),779.4)</f>
        <v>779.4</v>
      </c>
      <c r="C971" s="6">
        <f t="shared" ca="1" si="6"/>
        <v>-2.3089355806982237E-4</v>
      </c>
      <c r="D971" s="7">
        <f t="shared" ca="1" si="7"/>
        <v>1.0660508083140878</v>
      </c>
    </row>
    <row r="972" spans="1:4" ht="12.75" x14ac:dyDescent="0.2">
      <c r="A972" s="8">
        <f ca="1">IFERROR(__xludf.DUMMYFUNCTION("""COMPUTED_VALUE"""),45261.6458333333)</f>
        <v>45261.645833333299</v>
      </c>
      <c r="B972" s="7">
        <f ca="1">IFERROR(__xludf.DUMMYFUNCTION("""COMPUTED_VALUE"""),777.7)</f>
        <v>777.7</v>
      </c>
      <c r="C972" s="6">
        <f t="shared" ca="1" si="6"/>
        <v>-2.1811649987169002E-3</v>
      </c>
      <c r="D972" s="7">
        <f t="shared" ca="1" si="7"/>
        <v>1.0473575929021472</v>
      </c>
    </row>
    <row r="973" spans="1:4" ht="12.75" x14ac:dyDescent="0.2">
      <c r="A973" s="8">
        <f ca="1">IFERROR(__xludf.DUMMYFUNCTION("""COMPUTED_VALUE"""),45264.6458333333)</f>
        <v>45264.645833333299</v>
      </c>
      <c r="B973" s="7">
        <f ca="1">IFERROR(__xludf.DUMMYFUNCTION("""COMPUTED_VALUE"""),804.7)</f>
        <v>804.7</v>
      </c>
      <c r="C973" s="6">
        <f t="shared" ca="1" si="6"/>
        <v>3.4717757490034806E-2</v>
      </c>
      <c r="D973" s="7">
        <f t="shared" ca="1" si="7"/>
        <v>0.97160432459301604</v>
      </c>
    </row>
    <row r="974" spans="1:4" ht="12.75" x14ac:dyDescent="0.2">
      <c r="A974" s="8">
        <f ca="1">IFERROR(__xludf.DUMMYFUNCTION("""COMPUTED_VALUE"""),45265.6458333333)</f>
        <v>45265.645833333299</v>
      </c>
      <c r="B974" s="7">
        <f ca="1">IFERROR(__xludf.DUMMYFUNCTION("""COMPUTED_VALUE"""),811.85)</f>
        <v>811.85</v>
      </c>
      <c r="C974" s="6">
        <f t="shared" ca="1" si="6"/>
        <v>8.8852988691436874E-3</v>
      </c>
      <c r="D974" s="7">
        <f t="shared" ca="1" si="7"/>
        <v>0.95667918950545039</v>
      </c>
    </row>
    <row r="975" spans="1:4" ht="12.75" x14ac:dyDescent="0.2">
      <c r="A975" s="8">
        <f ca="1">IFERROR(__xludf.DUMMYFUNCTION("""COMPUTED_VALUE"""),45266.6458333333)</f>
        <v>45266.645833333299</v>
      </c>
      <c r="B975" s="7">
        <f ca="1">IFERROR(__xludf.DUMMYFUNCTION("""COMPUTED_VALUE"""),813.9)</f>
        <v>813.9</v>
      </c>
      <c r="C975" s="6">
        <f t="shared" ca="1" si="6"/>
        <v>2.5250970006773787E-3</v>
      </c>
      <c r="D975" s="7">
        <f t="shared" ca="1" si="7"/>
        <v>0.93971003808821729</v>
      </c>
    </row>
    <row r="976" spans="1:4" ht="12.75" x14ac:dyDescent="0.2">
      <c r="A976" s="8">
        <f ca="1">IFERROR(__xludf.DUMMYFUNCTION("""COMPUTED_VALUE"""),45267.6458333333)</f>
        <v>45267.645833333299</v>
      </c>
      <c r="B976" s="7">
        <f ca="1">IFERROR(__xludf.DUMMYFUNCTION("""COMPUTED_VALUE"""),815.23)</f>
        <v>815.23</v>
      </c>
      <c r="C976" s="6">
        <f t="shared" ca="1" si="6"/>
        <v>1.6341073841996678E-3</v>
      </c>
      <c r="D976" s="7">
        <f t="shared" ca="1" si="7"/>
        <v>0.93899881015173625</v>
      </c>
    </row>
    <row r="977" spans="1:4" ht="12.75" x14ac:dyDescent="0.2">
      <c r="A977" s="8">
        <f ca="1">IFERROR(__xludf.DUMMYFUNCTION("""COMPUTED_VALUE"""),45268.6458333333)</f>
        <v>45268.645833333299</v>
      </c>
      <c r="B977" s="7">
        <f ca="1">IFERROR(__xludf.DUMMYFUNCTION("""COMPUTED_VALUE"""),826.6)</f>
        <v>826.6</v>
      </c>
      <c r="C977" s="6">
        <f t="shared" ca="1" si="6"/>
        <v>1.3946984286643094E-2</v>
      </c>
      <c r="D977" s="7">
        <f t="shared" ca="1" si="7"/>
        <v>0.93011129929833058</v>
      </c>
    </row>
    <row r="978" spans="1:4" ht="12.75" x14ac:dyDescent="0.2">
      <c r="A978" s="8">
        <f ca="1">IFERROR(__xludf.DUMMYFUNCTION("""COMPUTED_VALUE"""),45271.6458333333)</f>
        <v>45271.645833333299</v>
      </c>
      <c r="B978" s="7">
        <f ca="1">IFERROR(__xludf.DUMMYFUNCTION("""COMPUTED_VALUE"""),825.5)</f>
        <v>825.5</v>
      </c>
      <c r="C978" s="6">
        <f t="shared" ca="1" si="6"/>
        <v>-1.3307524800387771E-3</v>
      </c>
      <c r="D978" s="7">
        <f t="shared" ca="1" si="7"/>
        <v>0.9248092065414899</v>
      </c>
    </row>
    <row r="979" spans="1:4" ht="12.75" x14ac:dyDescent="0.2">
      <c r="A979" s="8">
        <f ca="1">IFERROR(__xludf.DUMMYFUNCTION("""COMPUTED_VALUE"""),45272.6458333333)</f>
        <v>45272.645833333299</v>
      </c>
      <c r="B979" s="7">
        <f ca="1">IFERROR(__xludf.DUMMYFUNCTION("""COMPUTED_VALUE"""),817.3)</f>
        <v>817.3</v>
      </c>
      <c r="C979" s="6">
        <f t="shared" ca="1" si="6"/>
        <v>-9.9333737129013722E-3</v>
      </c>
      <c r="D979" s="7">
        <f t="shared" ca="1" si="7"/>
        <v>0.93215465557322896</v>
      </c>
    </row>
    <row r="980" spans="1:4" ht="12.75" x14ac:dyDescent="0.2">
      <c r="A980" s="8">
        <f ca="1">IFERROR(__xludf.DUMMYFUNCTION("""COMPUTED_VALUE"""),45273.6458333333)</f>
        <v>45273.645833333299</v>
      </c>
      <c r="B980" s="7">
        <f ca="1">IFERROR(__xludf.DUMMYFUNCTION("""COMPUTED_VALUE"""),815.45)</f>
        <v>815.45</v>
      </c>
      <c r="C980" s="6">
        <f t="shared" ca="1" si="6"/>
        <v>-2.2635507157713342E-3</v>
      </c>
      <c r="D980" s="7">
        <f t="shared" ca="1" si="7"/>
        <v>0.93586363357655278</v>
      </c>
    </row>
    <row r="981" spans="1:4" ht="12.75" x14ac:dyDescent="0.2">
      <c r="A981" s="8">
        <f ca="1">IFERROR(__xludf.DUMMYFUNCTION("""COMPUTED_VALUE"""),45274.6458333333)</f>
        <v>45274.645833333299</v>
      </c>
      <c r="B981" s="7">
        <f ca="1">IFERROR(__xludf.DUMMYFUNCTION("""COMPUTED_VALUE"""),825.08)</f>
        <v>825.08</v>
      </c>
      <c r="C981" s="6">
        <f t="shared" ca="1" si="6"/>
        <v>1.1809430375866015E-2</v>
      </c>
      <c r="D981" s="7">
        <f t="shared" ca="1" si="7"/>
        <v>0.91388713821690015</v>
      </c>
    </row>
    <row r="982" spans="1:4" ht="12.75" x14ac:dyDescent="0.2">
      <c r="A982" s="8">
        <f ca="1">IFERROR(__xludf.DUMMYFUNCTION("""COMPUTED_VALUE"""),45275.6458333333)</f>
        <v>45275.645833333299</v>
      </c>
      <c r="B982" s="7">
        <f ca="1">IFERROR(__xludf.DUMMYFUNCTION("""COMPUTED_VALUE"""),828.28)</f>
        <v>828.28</v>
      </c>
      <c r="C982" s="6">
        <f t="shared" ca="1" si="6"/>
        <v>3.8784117903718496E-3</v>
      </c>
      <c r="D982" s="7">
        <f t="shared" ca="1" si="7"/>
        <v>0.9233351040710871</v>
      </c>
    </row>
    <row r="983" spans="1:4" ht="12.75" x14ac:dyDescent="0.2">
      <c r="A983" s="8">
        <f ca="1">IFERROR(__xludf.DUMMYFUNCTION("""COMPUTED_VALUE"""),45278.6458333333)</f>
        <v>45278.645833333299</v>
      </c>
      <c r="B983" s="7">
        <f ca="1">IFERROR(__xludf.DUMMYFUNCTION("""COMPUTED_VALUE"""),827.85)</f>
        <v>827.85</v>
      </c>
      <c r="C983" s="6">
        <f t="shared" ca="1" si="6"/>
        <v>-5.1914811416420292E-4</v>
      </c>
      <c r="D983" s="7">
        <f t="shared" ca="1" si="7"/>
        <v>0.92755934046022825</v>
      </c>
    </row>
    <row r="984" spans="1:4" ht="12.75" x14ac:dyDescent="0.2">
      <c r="A984" s="8">
        <f ca="1">IFERROR(__xludf.DUMMYFUNCTION("""COMPUTED_VALUE"""),45279.6458333333)</f>
        <v>45279.645833333299</v>
      </c>
      <c r="B984" s="7">
        <f ca="1">IFERROR(__xludf.DUMMYFUNCTION("""COMPUTED_VALUE"""),826.45)</f>
        <v>826.45</v>
      </c>
      <c r="C984" s="6">
        <f t="shared" ca="1" si="6"/>
        <v>-1.6911276197378866E-3</v>
      </c>
      <c r="D984" s="7">
        <f t="shared" ca="1" si="7"/>
        <v>0.92810212354044397</v>
      </c>
    </row>
    <row r="985" spans="1:4" ht="12.75" x14ac:dyDescent="0.2">
      <c r="A985" s="8">
        <f ca="1">IFERROR(__xludf.DUMMYFUNCTION("""COMPUTED_VALUE"""),45280.6458333333)</f>
        <v>45280.645833333299</v>
      </c>
      <c r="B985" s="7">
        <f ca="1">IFERROR(__xludf.DUMMYFUNCTION("""COMPUTED_VALUE"""),828.5)</f>
        <v>828.5</v>
      </c>
      <c r="C985" s="6">
        <f t="shared" ca="1" si="6"/>
        <v>2.4804888378002765E-3</v>
      </c>
      <c r="D985" s="7">
        <f t="shared" ca="1" si="7"/>
        <v>0.91506336753168371</v>
      </c>
    </row>
    <row r="986" spans="1:4" ht="12.75" x14ac:dyDescent="0.2">
      <c r="A986" s="8">
        <f ca="1">IFERROR(__xludf.DUMMYFUNCTION("""COMPUTED_VALUE"""),45281.6458333333)</f>
        <v>45281.645833333299</v>
      </c>
      <c r="B986" s="7">
        <f ca="1">IFERROR(__xludf.DUMMYFUNCTION("""COMPUTED_VALUE"""),843.35)</f>
        <v>843.35</v>
      </c>
      <c r="C986" s="6">
        <f t="shared" ca="1" si="6"/>
        <v>1.7923958961979514E-2</v>
      </c>
      <c r="D986" s="7">
        <f t="shared" ca="1" si="7"/>
        <v>0.90404932708839736</v>
      </c>
    </row>
    <row r="987" spans="1:4" ht="12.75" x14ac:dyDescent="0.2">
      <c r="A987" s="8">
        <f ca="1">IFERROR(__xludf.DUMMYFUNCTION("""COMPUTED_VALUE"""),45282.6458333333)</f>
        <v>45282.645833333299</v>
      </c>
      <c r="B987" s="7">
        <f ca="1">IFERROR(__xludf.DUMMYFUNCTION("""COMPUTED_VALUE"""),835.43)</f>
        <v>835.43</v>
      </c>
      <c r="C987" s="6">
        <f t="shared" ca="1" si="6"/>
        <v>-9.3911187525939077E-3</v>
      </c>
      <c r="D987" s="7">
        <f t="shared" ca="1" si="7"/>
        <v>0.92144165280155133</v>
      </c>
    </row>
    <row r="988" spans="1:4" ht="12.75" x14ac:dyDescent="0.2">
      <c r="A988" s="8">
        <f ca="1">IFERROR(__xludf.DUMMYFUNCTION("""COMPUTED_VALUE"""),45286.6458333333)</f>
        <v>45286.645833333299</v>
      </c>
      <c r="B988" s="7">
        <f ca="1">IFERROR(__xludf.DUMMYFUNCTION("""COMPUTED_VALUE"""),841.23)</f>
        <v>841.23</v>
      </c>
      <c r="C988" s="6">
        <f t="shared" ca="1" si="6"/>
        <v>6.9425325880085875E-3</v>
      </c>
      <c r="D988" s="7">
        <f t="shared" ca="1" si="7"/>
        <v>0.92118683356513664</v>
      </c>
    </row>
    <row r="989" spans="1:4" ht="12.75" x14ac:dyDescent="0.2">
      <c r="A989" s="8">
        <f ca="1">IFERROR(__xludf.DUMMYFUNCTION("""COMPUTED_VALUE"""),45287.6458333333)</f>
        <v>45287.645833333299</v>
      </c>
      <c r="B989" s="7">
        <f ca="1">IFERROR(__xludf.DUMMYFUNCTION("""COMPUTED_VALUE"""),851.65)</f>
        <v>851.65</v>
      </c>
      <c r="C989" s="6">
        <f t="shared" ca="1" si="6"/>
        <v>1.2386624347681341E-2</v>
      </c>
      <c r="D989" s="7">
        <f t="shared" ca="1" si="7"/>
        <v>0.9016379968296836</v>
      </c>
    </row>
    <row r="990" spans="1:4" ht="12.75" x14ac:dyDescent="0.2">
      <c r="A990" s="8">
        <f ca="1">IFERROR(__xludf.DUMMYFUNCTION("""COMPUTED_VALUE"""),45288.6458333333)</f>
        <v>45288.645833333299</v>
      </c>
      <c r="B990" s="7">
        <f ca="1">IFERROR(__xludf.DUMMYFUNCTION("""COMPUTED_VALUE"""),852.63)</f>
        <v>852.63</v>
      </c>
      <c r="C990" s="6">
        <f t="shared" ca="1" si="6"/>
        <v>1.1507074502437042E-3</v>
      </c>
      <c r="D990" s="7">
        <f t="shared" ca="1" si="7"/>
        <v>0.89698931541231242</v>
      </c>
    </row>
    <row r="991" spans="1:4" ht="12.75" x14ac:dyDescent="0.2">
      <c r="A991" s="8">
        <f ca="1">IFERROR(__xludf.DUMMYFUNCTION("""COMPUTED_VALUE"""),45289.6458333333)</f>
        <v>45289.645833333299</v>
      </c>
      <c r="B991" s="7">
        <f ca="1">IFERROR(__xludf.DUMMYFUNCTION("""COMPUTED_VALUE"""),854.63)</f>
        <v>854.63</v>
      </c>
      <c r="C991" s="6">
        <f t="shared" ca="1" si="6"/>
        <v>2.345683356203665E-3</v>
      </c>
      <c r="D991" s="7">
        <f t="shared" ca="1" si="7"/>
        <v>0.90167674900249228</v>
      </c>
    </row>
    <row r="992" spans="1:4" ht="12.75" x14ac:dyDescent="0.2">
      <c r="A992" s="8">
        <f ca="1">IFERROR(__xludf.DUMMYFUNCTION("""COMPUTED_VALUE"""),45292.6458333333)</f>
        <v>45292.645833333299</v>
      </c>
      <c r="B992" s="7">
        <f ca="1">IFERROR(__xludf.DUMMYFUNCTION("""COMPUTED_VALUE"""),849.05)</f>
        <v>849.05</v>
      </c>
      <c r="C992" s="6">
        <f t="shared" ca="1" si="6"/>
        <v>-6.5291412658109449E-3</v>
      </c>
      <c r="D992" s="7">
        <f t="shared" ca="1" si="7"/>
        <v>0.89497673870796779</v>
      </c>
    </row>
    <row r="993" spans="1:4" ht="12.75" x14ac:dyDescent="0.2">
      <c r="A993" s="8">
        <f ca="1">IFERROR(__xludf.DUMMYFUNCTION("""COMPUTED_VALUE"""),45293.6458333333)</f>
        <v>45293.645833333299</v>
      </c>
      <c r="B993" s="7">
        <f ca="1">IFERROR(__xludf.DUMMYFUNCTION("""COMPUTED_VALUE"""),849.55)</f>
        <v>849.55</v>
      </c>
      <c r="C993" s="6">
        <f t="shared" ca="1" si="6"/>
        <v>5.8889346917134766E-4</v>
      </c>
      <c r="D993" s="7">
        <f t="shared" ca="1" si="7"/>
        <v>0.89162497792949214</v>
      </c>
    </row>
    <row r="994" spans="1:4" ht="12.75" x14ac:dyDescent="0.2">
      <c r="A994" s="8">
        <f ca="1">IFERROR(__xludf.DUMMYFUNCTION("""COMPUTED_VALUE"""),45294.6458333333)</f>
        <v>45294.645833333299</v>
      </c>
      <c r="B994" s="7">
        <f ca="1">IFERROR(__xludf.DUMMYFUNCTION("""COMPUTED_VALUE"""),836.45)</f>
        <v>836.45</v>
      </c>
      <c r="C994" s="6">
        <f t="shared" ca="1" si="6"/>
        <v>-1.5419928197280774E-2</v>
      </c>
      <c r="D994" s="7">
        <f t="shared" ca="1" si="7"/>
        <v>0.91027556937055409</v>
      </c>
    </row>
    <row r="995" spans="1:4" ht="12.75" x14ac:dyDescent="0.2">
      <c r="A995" s="8">
        <f ca="1">IFERROR(__xludf.DUMMYFUNCTION("""COMPUTED_VALUE"""),45295.6458333333)</f>
        <v>45295.645833333299</v>
      </c>
      <c r="B995" s="7">
        <f ca="1">IFERROR(__xludf.DUMMYFUNCTION("""COMPUTED_VALUE"""),845.43)</f>
        <v>845.43</v>
      </c>
      <c r="C995" s="6">
        <f t="shared" ca="1" si="6"/>
        <v>1.0735847928746267E-2</v>
      </c>
      <c r="D995" s="7">
        <f t="shared" ca="1" si="7"/>
        <v>0.8907065043823853</v>
      </c>
    </row>
    <row r="996" spans="1:4" ht="12.75" x14ac:dyDescent="0.2">
      <c r="A996" s="8">
        <f ca="1">IFERROR(__xludf.DUMMYFUNCTION("""COMPUTED_VALUE"""),45296.6458333333)</f>
        <v>45296.645833333299</v>
      </c>
      <c r="B996" s="7">
        <f ca="1">IFERROR(__xludf.DUMMYFUNCTION("""COMPUTED_VALUE"""),841.1)</f>
        <v>841.1</v>
      </c>
      <c r="C996" s="6">
        <f t="shared" ca="1" si="6"/>
        <v>-5.1216540695266932E-3</v>
      </c>
      <c r="D996" s="7">
        <f t="shared" ca="1" si="7"/>
        <v>0.88960884555938646</v>
      </c>
    </row>
    <row r="997" spans="1:4" ht="12.75" x14ac:dyDescent="0.2">
      <c r="A997" s="8">
        <f ca="1">IFERROR(__xludf.DUMMYFUNCTION("""COMPUTED_VALUE"""),45299.6458333333)</f>
        <v>45299.645833333299</v>
      </c>
      <c r="B997" s="7">
        <f ca="1">IFERROR(__xludf.DUMMYFUNCTION("""COMPUTED_VALUE"""),831.73)</f>
        <v>831.73</v>
      </c>
      <c r="C997" s="6">
        <f t="shared" ca="1" si="6"/>
        <v>-1.1140173582213753E-2</v>
      </c>
      <c r="D997" s="7">
        <f t="shared" ca="1" si="7"/>
        <v>0.87973260553304566</v>
      </c>
    </row>
    <row r="998" spans="1:4" ht="12.75" x14ac:dyDescent="0.2">
      <c r="A998" s="8">
        <f ca="1">IFERROR(__xludf.DUMMYFUNCTION("""COMPUTED_VALUE"""),45300.6458333333)</f>
        <v>45300.645833333299</v>
      </c>
      <c r="B998" s="7">
        <f ca="1">IFERROR(__xludf.DUMMYFUNCTION("""COMPUTED_VALUE"""),825.25)</f>
        <v>825.25</v>
      </c>
      <c r="C998" s="6">
        <f t="shared" ca="1" si="6"/>
        <v>-7.7909898644993314E-3</v>
      </c>
      <c r="D998" s="7">
        <f t="shared" ca="1" si="7"/>
        <v>0.89013026355649805</v>
      </c>
    </row>
    <row r="999" spans="1:4" ht="12.75" x14ac:dyDescent="0.2">
      <c r="A999" s="8">
        <f ca="1">IFERROR(__xludf.DUMMYFUNCTION("""COMPUTED_VALUE"""),45301.6458333333)</f>
        <v>45301.645833333299</v>
      </c>
      <c r="B999" s="7">
        <f ca="1">IFERROR(__xludf.DUMMYFUNCTION("""COMPUTED_VALUE"""),827.98)</f>
        <v>827.98</v>
      </c>
      <c r="C999" s="6">
        <f t="shared" ca="1" si="6"/>
        <v>3.3080884580429792E-3</v>
      </c>
      <c r="D999" s="7">
        <f t="shared" ca="1" si="7"/>
        <v>0.8968211792555375</v>
      </c>
    </row>
    <row r="1000" spans="1:4" ht="12.75" x14ac:dyDescent="0.2">
      <c r="A1000" s="8">
        <f ca="1">IFERROR(__xludf.DUMMYFUNCTION("""COMPUTED_VALUE"""),45302.6458333333)</f>
        <v>45302.645833333299</v>
      </c>
      <c r="B1000" s="7">
        <f ca="1">IFERROR(__xludf.DUMMYFUNCTION("""COMPUTED_VALUE"""),824.5)</f>
        <v>824.5</v>
      </c>
      <c r="C1000" s="6">
        <f t="shared" ca="1" si="6"/>
        <v>-4.2030000724655459E-3</v>
      </c>
      <c r="D1000" s="7">
        <f t="shared" ca="1" si="7"/>
        <v>0.89539114614918136</v>
      </c>
    </row>
    <row r="1001" spans="1:4" ht="12.75" x14ac:dyDescent="0.2">
      <c r="A1001" s="8">
        <f ca="1">IFERROR(__xludf.DUMMYFUNCTION("""COMPUTED_VALUE"""),45303.6458333333)</f>
        <v>45303.645833333299</v>
      </c>
      <c r="B1001" s="7">
        <f ca="1">IFERROR(__xludf.DUMMYFUNCTION("""COMPUTED_VALUE"""),820.6)</f>
        <v>820.6</v>
      </c>
      <c r="C1001" s="6">
        <f t="shared" ca="1" si="6"/>
        <v>-4.7301394784717843E-3</v>
      </c>
      <c r="D1001" s="7">
        <f t="shared" ca="1" si="7"/>
        <v>0.89842797952717524</v>
      </c>
    </row>
    <row r="1002" spans="1:4" ht="12.75" x14ac:dyDescent="0.2">
      <c r="A1002" s="8">
        <f ca="1">IFERROR(__xludf.DUMMYFUNCTION("""COMPUTED_VALUE"""),45306.6458333333)</f>
        <v>45306.645833333299</v>
      </c>
      <c r="B1002" s="7">
        <f ca="1">IFERROR(__xludf.DUMMYFUNCTION("""COMPUTED_VALUE"""),836.4)</f>
        <v>836.4</v>
      </c>
      <c r="C1002" s="6">
        <f t="shared" ca="1" si="6"/>
        <v>1.9254204240799266E-2</v>
      </c>
      <c r="D1002" s="7">
        <f t="shared" ca="1" si="7"/>
        <v>0.88280726924916308</v>
      </c>
    </row>
    <row r="1003" spans="1:4" ht="12.75" x14ac:dyDescent="0.2">
      <c r="A1003" s="8">
        <f ca="1">IFERROR(__xludf.DUMMYFUNCTION("""COMPUTED_VALUE"""),45307.6458333333)</f>
        <v>45307.645833333299</v>
      </c>
      <c r="B1003" s="7">
        <f ca="1">IFERROR(__xludf.DUMMYFUNCTION("""COMPUTED_VALUE"""),839.58)</f>
        <v>839.58</v>
      </c>
      <c r="C1003" s="6">
        <f t="shared" ca="1" si="6"/>
        <v>3.8020086083214721E-3</v>
      </c>
      <c r="D1003" s="7">
        <f t="shared" ca="1" si="7"/>
        <v>0.88363229233664442</v>
      </c>
    </row>
    <row r="1004" spans="1:4" ht="12.75" x14ac:dyDescent="0.2">
      <c r="A1004" s="8">
        <f ca="1">IFERROR(__xludf.DUMMYFUNCTION("""COMPUTED_VALUE"""),45308.6458333333)</f>
        <v>45308.645833333299</v>
      </c>
      <c r="B1004" s="7">
        <f ca="1">IFERROR(__xludf.DUMMYFUNCTION("""COMPUTED_VALUE"""),768.75)</f>
        <v>768.75</v>
      </c>
      <c r="C1004" s="6">
        <f t="shared" ca="1" si="6"/>
        <v>-8.4363610376616882E-2</v>
      </c>
      <c r="D1004" s="7">
        <f t="shared" ca="1" si="7"/>
        <v>0.97203252032520326</v>
      </c>
    </row>
    <row r="1005" spans="1:4" ht="12.75" x14ac:dyDescent="0.2">
      <c r="A1005" s="8">
        <f ca="1">IFERROR(__xludf.DUMMYFUNCTION("""COMPUTED_VALUE"""),45309.6458333333)</f>
        <v>45309.645833333299</v>
      </c>
      <c r="B1005" s="7">
        <f ca="1">IFERROR(__xludf.DUMMYFUNCTION("""COMPUTED_VALUE"""),743.08)</f>
        <v>743.08</v>
      </c>
      <c r="C1005" s="6">
        <f t="shared" ca="1" si="6"/>
        <v>-3.3391869918699135E-2</v>
      </c>
      <c r="D1005" s="7">
        <f t="shared" ca="1" si="7"/>
        <v>1.0007401625666146</v>
      </c>
    </row>
    <row r="1006" spans="1:4" ht="12.75" x14ac:dyDescent="0.2">
      <c r="A1006" s="8">
        <f ca="1">IFERROR(__xludf.DUMMYFUNCTION("""COMPUTED_VALUE"""),45310.6458333333)</f>
        <v>45310.645833333299</v>
      </c>
      <c r="B1006" s="7">
        <f ca="1">IFERROR(__xludf.DUMMYFUNCTION("""COMPUTED_VALUE"""),735.33)</f>
        <v>735.33</v>
      </c>
      <c r="C1006" s="6">
        <f t="shared" ca="1" si="6"/>
        <v>-1.0429563438660749E-2</v>
      </c>
      <c r="D1006" s="7">
        <f t="shared" ca="1" si="7"/>
        <v>1.0142113064882432</v>
      </c>
    </row>
    <row r="1007" spans="1:4" ht="12.75" x14ac:dyDescent="0.2">
      <c r="A1007" s="8">
        <f ca="1">IFERROR(__xludf.DUMMYFUNCTION("""COMPUTED_VALUE"""),45314.6458333333)</f>
        <v>45314.645833333299</v>
      </c>
      <c r="B1007" s="7">
        <f ca="1">IFERROR(__xludf.DUMMYFUNCTION("""COMPUTED_VALUE"""),713.68)</f>
        <v>713.68</v>
      </c>
      <c r="C1007" s="6">
        <f t="shared" ca="1" si="6"/>
        <v>-2.9442563202915828E-2</v>
      </c>
      <c r="D1007" s="7">
        <f t="shared" ca="1" si="7"/>
        <v>1.0408446362515413</v>
      </c>
    </row>
    <row r="1008" spans="1:4" ht="12.75" x14ac:dyDescent="0.2">
      <c r="A1008" s="8">
        <f ca="1">IFERROR(__xludf.DUMMYFUNCTION("""COMPUTED_VALUE"""),45315.6458333333)</f>
        <v>45315.645833333299</v>
      </c>
      <c r="B1008" s="7">
        <f ca="1">IFERROR(__xludf.DUMMYFUNCTION("""COMPUTED_VALUE"""),727.95)</f>
        <v>727.95</v>
      </c>
      <c r="C1008" s="6">
        <f t="shared" ca="1" si="6"/>
        <v>1.9994955722452801E-2</v>
      </c>
      <c r="D1008" s="7">
        <f t="shared" ca="1" si="7"/>
        <v>1.0244522288618723</v>
      </c>
    </row>
    <row r="1009" spans="1:4" ht="12.75" x14ac:dyDescent="0.2">
      <c r="A1009" s="8">
        <f ca="1">IFERROR(__xludf.DUMMYFUNCTION("""COMPUTED_VALUE"""),45316.6458333333)</f>
        <v>45316.645833333299</v>
      </c>
      <c r="B1009" s="7">
        <f ca="1">IFERROR(__xludf.DUMMYFUNCTION("""COMPUTED_VALUE"""),717.45)</f>
        <v>717.45</v>
      </c>
      <c r="C1009" s="6">
        <f t="shared" ca="1" si="6"/>
        <v>-1.4424067587059497E-2</v>
      </c>
      <c r="D1009" s="7">
        <f t="shared" ca="1" si="7"/>
        <v>1.0375635932817617</v>
      </c>
    </row>
    <row r="1010" spans="1:4" ht="12.75" x14ac:dyDescent="0.2">
      <c r="A1010" s="8">
        <f ca="1">IFERROR(__xludf.DUMMYFUNCTION("""COMPUTED_VALUE"""),45320.6458333333)</f>
        <v>45320.645833333299</v>
      </c>
      <c r="B1010" s="7">
        <f ca="1">IFERROR(__xludf.DUMMYFUNCTION("""COMPUTED_VALUE"""),727.33)</f>
        <v>727.33</v>
      </c>
      <c r="C1010" s="6">
        <f t="shared" ca="1" si="6"/>
        <v>1.3770994494389788E-2</v>
      </c>
      <c r="D1010" s="7">
        <f t="shared" ca="1" si="7"/>
        <v>1.0341935572573659</v>
      </c>
    </row>
    <row r="1011" spans="1:4" ht="12.75" x14ac:dyDescent="0.2">
      <c r="A1011" s="8">
        <f ca="1">IFERROR(__xludf.DUMMYFUNCTION("""COMPUTED_VALUE"""),45321.6458333333)</f>
        <v>45321.645833333299</v>
      </c>
      <c r="B1011" s="7">
        <f ca="1">IFERROR(__xludf.DUMMYFUNCTION("""COMPUTED_VALUE"""),722.15)</f>
        <v>722.15</v>
      </c>
      <c r="C1011" s="6">
        <f t="shared" ca="1" si="6"/>
        <v>-7.1219391472922E-3</v>
      </c>
      <c r="D1011" s="7">
        <f t="shared" ca="1" si="7"/>
        <v>1.0443536661358443</v>
      </c>
    </row>
    <row r="1012" spans="1:4" ht="12.75" x14ac:dyDescent="0.2">
      <c r="A1012" s="8">
        <f ca="1">IFERROR(__xludf.DUMMYFUNCTION("""COMPUTED_VALUE"""),45322.6458333333)</f>
        <v>45322.645833333299</v>
      </c>
      <c r="B1012" s="7">
        <f ca="1">IFERROR(__xludf.DUMMYFUNCTION("""COMPUTED_VALUE"""),731.28)</f>
        <v>731.28</v>
      </c>
      <c r="C1012" s="6">
        <f t="shared" ca="1" si="6"/>
        <v>1.264280274181262E-2</v>
      </c>
      <c r="D1012" s="7">
        <f t="shared" ca="1" si="7"/>
        <v>1.02908598621595</v>
      </c>
    </row>
    <row r="1013" spans="1:4" ht="12.75" x14ac:dyDescent="0.2">
      <c r="A1013" s="8">
        <f ca="1">IFERROR(__xludf.DUMMYFUNCTION("""COMPUTED_VALUE"""),45323.6458333333)</f>
        <v>45323.645833333299</v>
      </c>
      <c r="B1013" s="7">
        <f ca="1">IFERROR(__xludf.DUMMYFUNCTION("""COMPUTED_VALUE"""),733.18)</f>
        <v>733.18</v>
      </c>
      <c r="C1013" s="6">
        <f t="shared" ca="1" si="6"/>
        <v>2.598184006126214E-3</v>
      </c>
      <c r="D1013" s="7">
        <f t="shared" ca="1" si="7"/>
        <v>1.0264873564472572</v>
      </c>
    </row>
    <row r="1014" spans="1:4" ht="12.75" x14ac:dyDescent="0.2">
      <c r="A1014" s="8">
        <f ca="1">IFERROR(__xludf.DUMMYFUNCTION("""COMPUTED_VALUE"""),45324.6458333333)</f>
        <v>45324.645833333299</v>
      </c>
      <c r="B1014" s="7">
        <f ca="1">IFERROR(__xludf.DUMMYFUNCTION("""COMPUTED_VALUE"""),723.08)</f>
        <v>723.08</v>
      </c>
      <c r="C1014" s="6">
        <f t="shared" ca="1" si="6"/>
        <v>-1.3775607627049213E-2</v>
      </c>
      <c r="D1014" s="7">
        <f t="shared" ca="1" si="7"/>
        <v>1.0496487248990429</v>
      </c>
    </row>
    <row r="1015" spans="1:4" ht="12.75" x14ac:dyDescent="0.2">
      <c r="A1015" s="8">
        <f ca="1">IFERROR(__xludf.DUMMYFUNCTION("""COMPUTED_VALUE"""),45327.6458333333)</f>
        <v>45327.645833333299</v>
      </c>
      <c r="B1015" s="7">
        <f ca="1">IFERROR(__xludf.DUMMYFUNCTION("""COMPUTED_VALUE"""),722.43)</f>
        <v>722.43</v>
      </c>
      <c r="C1015" s="6">
        <f t="shared" ca="1" si="6"/>
        <v>-8.9893234496885022E-4</v>
      </c>
      <c r="D1015" s="7">
        <f t="shared" ca="1" si="7"/>
        <v>1.0468557507301746</v>
      </c>
    </row>
    <row r="1016" spans="1:4" ht="12.75" x14ac:dyDescent="0.2">
      <c r="A1016" s="8">
        <f ca="1">IFERROR(__xludf.DUMMYFUNCTION("""COMPUTED_VALUE"""),45328.6458333333)</f>
        <v>45328.645833333299</v>
      </c>
      <c r="B1016" s="7">
        <f ca="1">IFERROR(__xludf.DUMMYFUNCTION("""COMPUTED_VALUE"""),722.05)</f>
        <v>722.05</v>
      </c>
      <c r="C1016" s="6">
        <f t="shared" ca="1" si="6"/>
        <v>-5.2600251927525932E-4</v>
      </c>
      <c r="D1016" s="7">
        <f t="shared" ca="1" si="7"/>
        <v>1.0534589017381069</v>
      </c>
    </row>
    <row r="1017" spans="1:4" ht="12.75" x14ac:dyDescent="0.2">
      <c r="A1017" s="8">
        <f ca="1">IFERROR(__xludf.DUMMYFUNCTION("""COMPUTED_VALUE"""),45329.6458333333)</f>
        <v>45329.645833333299</v>
      </c>
      <c r="B1017" s="7">
        <f ca="1">IFERROR(__xludf.DUMMYFUNCTION("""COMPUTED_VALUE"""),714.98)</f>
        <v>714.98</v>
      </c>
      <c r="C1017" s="6">
        <f t="shared" ca="1" si="6"/>
        <v>-9.7915656810468876E-3</v>
      </c>
      <c r="D1017" s="7">
        <f t="shared" ca="1" si="7"/>
        <v>1.0714285714285714</v>
      </c>
    </row>
    <row r="1018" spans="1:4" ht="12.75" x14ac:dyDescent="0.2">
      <c r="A1018" s="8">
        <f ca="1">IFERROR(__xludf.DUMMYFUNCTION("""COMPUTED_VALUE"""),45330.6458333333)</f>
        <v>45330.645833333299</v>
      </c>
      <c r="B1018" s="7">
        <f ca="1">IFERROR(__xludf.DUMMYFUNCTION("""COMPUTED_VALUE"""),701.53)</f>
        <v>701.53</v>
      </c>
      <c r="C1018" s="6">
        <f t="shared" ca="1" si="6"/>
        <v>-1.881171501300738E-2</v>
      </c>
      <c r="D1018" s="7">
        <f t="shared" ca="1" si="7"/>
        <v>1.0895186235798897</v>
      </c>
    </row>
    <row r="1019" spans="1:4" ht="12.75" x14ac:dyDescent="0.2">
      <c r="A1019" s="8">
        <f ca="1">IFERROR(__xludf.DUMMYFUNCTION("""COMPUTED_VALUE"""),45331.6458333333)</f>
        <v>45331.645833333299</v>
      </c>
      <c r="B1019" s="7">
        <f ca="1">IFERROR(__xludf.DUMMYFUNCTION("""COMPUTED_VALUE"""),701.8)</f>
        <v>701.8</v>
      </c>
      <c r="C1019" s="6">
        <f t="shared" ca="1" si="6"/>
        <v>3.8487306316192793E-4</v>
      </c>
      <c r="D1019" s="7">
        <f t="shared" ca="1" si="7"/>
        <v>1.110829296095754</v>
      </c>
    </row>
    <row r="1020" spans="1:4" ht="12.75" x14ac:dyDescent="0.2">
      <c r="A1020" s="8">
        <f ca="1">IFERROR(__xludf.DUMMYFUNCTION("""COMPUTED_VALUE"""),45334.6458333333)</f>
        <v>45334.645833333299</v>
      </c>
      <c r="B1020" s="7">
        <f ca="1">IFERROR(__xludf.DUMMYFUNCTION("""COMPUTED_VALUE"""),695)</f>
        <v>695</v>
      </c>
      <c r="C1020" s="6">
        <f t="shared" ca="1" si="6"/>
        <v>-9.6893701909375185E-3</v>
      </c>
      <c r="D1020" s="7">
        <f t="shared" ca="1" si="7"/>
        <v>1.1214388489208633</v>
      </c>
    </row>
    <row r="1021" spans="1:4" ht="12.75" x14ac:dyDescent="0.2">
      <c r="A1021" s="8">
        <f ca="1">IFERROR(__xludf.DUMMYFUNCTION("""COMPUTED_VALUE"""),45335.6458333333)</f>
        <v>45335.645833333299</v>
      </c>
      <c r="B1021" s="7">
        <f ca="1">IFERROR(__xludf.DUMMYFUNCTION("""COMPUTED_VALUE"""),697.23)</f>
        <v>697.23</v>
      </c>
      <c r="C1021" s="6">
        <f t="shared" ca="1" si="6"/>
        <v>3.2086330935252594E-3</v>
      </c>
      <c r="D1021" s="7">
        <f t="shared" ca="1" si="7"/>
        <v>1.11541385195703</v>
      </c>
    </row>
    <row r="1022" spans="1:4" ht="12.75" x14ac:dyDescent="0.2">
      <c r="A1022" s="8">
        <f ca="1">IFERROR(__xludf.DUMMYFUNCTION("""COMPUTED_VALUE"""),45336.6458333333)</f>
        <v>45336.645833333299</v>
      </c>
      <c r="B1022" s="7">
        <f ca="1">IFERROR(__xludf.DUMMYFUNCTION("""COMPUTED_VALUE"""),692.03)</f>
        <v>692.03</v>
      </c>
      <c r="C1022" s="6">
        <f t="shared" ca="1" si="6"/>
        <v>-7.458084132926035E-3</v>
      </c>
      <c r="D1022" s="7">
        <f t="shared" ca="1" si="7"/>
        <v>1.1628108608008325</v>
      </c>
    </row>
    <row r="1023" spans="1:4" ht="12.75" x14ac:dyDescent="0.2">
      <c r="A1023" s="8">
        <f ca="1">IFERROR(__xludf.DUMMYFUNCTION("""COMPUTED_VALUE"""),45337.6458333333)</f>
        <v>45337.645833333299</v>
      </c>
      <c r="B1023" s="7">
        <f ca="1">IFERROR(__xludf.DUMMYFUNCTION("""COMPUTED_VALUE"""),707.03)</f>
        <v>707.03</v>
      </c>
      <c r="C1023" s="6">
        <f t="shared" ref="C1023:C1277" ca="1" si="8">(B1023/B1022)-1</f>
        <v>2.1675360894758855E-2</v>
      </c>
      <c r="D1023" s="7">
        <f t="shared" ca="1" si="7"/>
        <v>1.148253963763914</v>
      </c>
    </row>
    <row r="1024" spans="1:4" ht="12.75" x14ac:dyDescent="0.2">
      <c r="A1024" s="8">
        <f ca="1">IFERROR(__xludf.DUMMYFUNCTION("""COMPUTED_VALUE"""),45338.6458333333)</f>
        <v>45338.645833333299</v>
      </c>
      <c r="B1024" s="7">
        <f ca="1">IFERROR(__xludf.DUMMYFUNCTION("""COMPUTED_VALUE"""),709.95)</f>
        <v>709.95</v>
      </c>
      <c r="C1024" s="6">
        <f t="shared" ca="1" si="8"/>
        <v>4.1299520529540779E-3</v>
      </c>
      <c r="D1024" s="7">
        <f t="shared" ca="1" si="7"/>
        <v>1.1464187618846398</v>
      </c>
    </row>
    <row r="1025" spans="1:4" ht="12.75" x14ac:dyDescent="0.2">
      <c r="A1025" s="8">
        <f ca="1">IFERROR(__xludf.DUMMYFUNCTION("""COMPUTED_VALUE"""),45341.6458333333)</f>
        <v>45341.645833333299</v>
      </c>
      <c r="B1025" s="7">
        <f ca="1">IFERROR(__xludf.DUMMYFUNCTION("""COMPUTED_VALUE"""),708.55)</f>
        <v>708.55</v>
      </c>
      <c r="C1025" s="6">
        <f t="shared" ca="1" si="8"/>
        <v>-1.9719698570322963E-3</v>
      </c>
      <c r="D1025" s="7">
        <f t="shared" ca="1" si="7"/>
        <v>1.1505610048690991</v>
      </c>
    </row>
    <row r="1026" spans="1:4" ht="12.75" x14ac:dyDescent="0.2">
      <c r="A1026" s="8">
        <f ca="1">IFERROR(__xludf.DUMMYFUNCTION("""COMPUTED_VALUE"""),45342.6458333333)</f>
        <v>45342.645833333299</v>
      </c>
      <c r="B1026" s="7">
        <f ca="1">IFERROR(__xludf.DUMMYFUNCTION("""COMPUTED_VALUE"""),727.15)</f>
        <v>727.15</v>
      </c>
      <c r="C1026" s="6">
        <f t="shared" ca="1" si="8"/>
        <v>2.6250793874814882E-2</v>
      </c>
      <c r="D1026" s="7">
        <f t="shared" ca="1" si="7"/>
        <v>1.1367668294024618</v>
      </c>
    </row>
    <row r="1027" spans="1:4" ht="12.75" x14ac:dyDescent="0.2">
      <c r="A1027" s="8">
        <f ca="1">IFERROR(__xludf.DUMMYFUNCTION("""COMPUTED_VALUE"""),45343.6458333333)</f>
        <v>45343.645833333299</v>
      </c>
      <c r="B1027" s="7">
        <f ca="1">IFERROR(__xludf.DUMMYFUNCTION("""COMPUTED_VALUE"""),719.58)</f>
        <v>719.58</v>
      </c>
      <c r="C1027" s="6">
        <f t="shared" ca="1" si="8"/>
        <v>-1.0410506773017913E-2</v>
      </c>
      <c r="D1027" s="7">
        <f t="shared" ca="1" si="7"/>
        <v>1.1471969760137857</v>
      </c>
    </row>
    <row r="1028" spans="1:4" ht="12.75" x14ac:dyDescent="0.2">
      <c r="A1028" s="8">
        <f ca="1">IFERROR(__xludf.DUMMYFUNCTION("""COMPUTED_VALUE"""),45344.6458333333)</f>
        <v>45344.645833333299</v>
      </c>
      <c r="B1028" s="7">
        <f ca="1">IFERROR(__xludf.DUMMYFUNCTION("""COMPUTED_VALUE"""),709.78)</f>
        <v>709.78</v>
      </c>
      <c r="C1028" s="6">
        <f t="shared" ca="1" si="8"/>
        <v>-1.3619055560187943E-2</v>
      </c>
      <c r="D1028" s="7">
        <f t="shared" ca="1" si="7"/>
        <v>1.151483558285666</v>
      </c>
    </row>
    <row r="1029" spans="1:4" ht="12.75" x14ac:dyDescent="0.2">
      <c r="A1029" s="8">
        <f ca="1">IFERROR(__xludf.DUMMYFUNCTION("""COMPUTED_VALUE"""),45345.6458333333)</f>
        <v>45345.645833333299</v>
      </c>
      <c r="B1029" s="7">
        <f ca="1">IFERROR(__xludf.DUMMYFUNCTION("""COMPUTED_VALUE"""),710.3)</f>
        <v>710.3</v>
      </c>
      <c r="C1029" s="6">
        <f t="shared" ca="1" si="8"/>
        <v>7.3262137563756546E-4</v>
      </c>
      <c r="D1029" s="7">
        <f t="shared" ca="1" si="7"/>
        <v>1.1480360411093906</v>
      </c>
    </row>
    <row r="1030" spans="1:4" ht="12.75" x14ac:dyDescent="0.2">
      <c r="A1030" s="8">
        <f ca="1">IFERROR(__xludf.DUMMYFUNCTION("""COMPUTED_VALUE"""),45348.6458333333)</f>
        <v>45348.645833333299</v>
      </c>
      <c r="B1030" s="7">
        <f ca="1">IFERROR(__xludf.DUMMYFUNCTION("""COMPUTED_VALUE"""),711.15)</f>
        <v>711.15</v>
      </c>
      <c r="C1030" s="6">
        <f t="shared" ca="1" si="8"/>
        <v>1.1966774602281127E-3</v>
      </c>
      <c r="D1030" s="7">
        <f t="shared" ca="1" si="7"/>
        <v>1.1602053012725868</v>
      </c>
    </row>
    <row r="1031" spans="1:4" ht="12.75" x14ac:dyDescent="0.2">
      <c r="A1031" s="8">
        <f ca="1">IFERROR(__xludf.DUMMYFUNCTION("""COMPUTED_VALUE"""),45349.6458333333)</f>
        <v>45349.645833333299</v>
      </c>
      <c r="B1031" s="7">
        <f ca="1">IFERROR(__xludf.DUMMYFUNCTION("""COMPUTED_VALUE"""),710.08)</f>
        <v>710.08</v>
      </c>
      <c r="C1031" s="6">
        <f t="shared" ca="1" si="8"/>
        <v>-1.5046052169020996E-3</v>
      </c>
      <c r="D1031" s="7">
        <f t="shared" ca="1" si="7"/>
        <v>1.1664601171698963</v>
      </c>
    </row>
    <row r="1032" spans="1:4" ht="12.75" x14ac:dyDescent="0.2">
      <c r="A1032" s="8">
        <f ca="1">IFERROR(__xludf.DUMMYFUNCTION("""COMPUTED_VALUE"""),45350.6458333333)</f>
        <v>45350.645833333299</v>
      </c>
      <c r="B1032" s="7">
        <f ca="1">IFERROR(__xludf.DUMMYFUNCTION("""COMPUTED_VALUE"""),704.7)</f>
        <v>704.7</v>
      </c>
      <c r="C1032" s="6">
        <f t="shared" ca="1" si="8"/>
        <v>-7.5766110860747693E-3</v>
      </c>
      <c r="D1032" s="7">
        <f t="shared" ca="1" si="7"/>
        <v>1.1747552149850999</v>
      </c>
    </row>
    <row r="1033" spans="1:4" ht="12.75" x14ac:dyDescent="0.2">
      <c r="A1033" s="8">
        <f ca="1">IFERROR(__xludf.DUMMYFUNCTION("""COMPUTED_VALUE"""),45351.6458333333)</f>
        <v>45351.645833333299</v>
      </c>
      <c r="B1033" s="7">
        <f ca="1">IFERROR(__xludf.DUMMYFUNCTION("""COMPUTED_VALUE"""),701.7)</f>
        <v>701.7</v>
      </c>
      <c r="C1033" s="6">
        <f t="shared" ca="1" si="8"/>
        <v>-4.2571306939123144E-3</v>
      </c>
      <c r="D1033" s="7">
        <f t="shared" ca="1" si="7"/>
        <v>1.1777825281459313</v>
      </c>
    </row>
    <row r="1034" spans="1:4" ht="12.75" x14ac:dyDescent="0.2">
      <c r="A1034" s="8">
        <f ca="1">IFERROR(__xludf.DUMMYFUNCTION("""COMPUTED_VALUE"""),45352.6458333333)</f>
        <v>45352.645833333299</v>
      </c>
      <c r="B1034" s="7">
        <f ca="1">IFERROR(__xludf.DUMMYFUNCTION("""COMPUTED_VALUE"""),715.38)</f>
        <v>715.38</v>
      </c>
      <c r="C1034" s="6">
        <f t="shared" ca="1" si="8"/>
        <v>1.9495510902094892E-2</v>
      </c>
      <c r="D1034" s="7">
        <f t="shared" ca="1" si="7"/>
        <v>1.1581257513489334</v>
      </c>
    </row>
    <row r="1035" spans="1:4" ht="12.75" x14ac:dyDescent="0.2">
      <c r="A1035" s="8">
        <f ca="1">IFERROR(__xludf.DUMMYFUNCTION("""COMPUTED_VALUE"""),45355.6458333333)</f>
        <v>45355.645833333299</v>
      </c>
      <c r="B1035" s="7">
        <f ca="1">IFERROR(__xludf.DUMMYFUNCTION("""COMPUTED_VALUE"""),716.35)</f>
        <v>716.35</v>
      </c>
      <c r="C1035" s="6">
        <f t="shared" ca="1" si="8"/>
        <v>1.3559227263832963E-3</v>
      </c>
      <c r="D1035" s="7">
        <f t="shared" ca="1" si="7"/>
        <v>1.1772876387240874</v>
      </c>
    </row>
    <row r="1036" spans="1:4" ht="12.75" x14ac:dyDescent="0.2">
      <c r="A1036" s="8">
        <f ca="1">IFERROR(__xludf.DUMMYFUNCTION("""COMPUTED_VALUE"""),45356.6458333333)</f>
        <v>45356.645833333299</v>
      </c>
      <c r="B1036" s="7">
        <f ca="1">IFERROR(__xludf.DUMMYFUNCTION("""COMPUTED_VALUE"""),720.43)</f>
        <v>720.43</v>
      </c>
      <c r="C1036" s="6">
        <f t="shared" ca="1" si="8"/>
        <v>5.6955398897187148E-3</v>
      </c>
      <c r="D1036" s="7">
        <f t="shared" ca="1" si="7"/>
        <v>1.1596268894965507</v>
      </c>
    </row>
    <row r="1037" spans="1:4" ht="12.75" x14ac:dyDescent="0.2">
      <c r="A1037" s="8">
        <f ca="1">IFERROR(__xludf.DUMMYFUNCTION("""COMPUTED_VALUE"""),45357.6458333333)</f>
        <v>45357.645833333299</v>
      </c>
      <c r="B1037" s="7">
        <f ca="1">IFERROR(__xludf.DUMMYFUNCTION("""COMPUTED_VALUE"""),721.3)</f>
        <v>721.3</v>
      </c>
      <c r="C1037" s="6">
        <f t="shared" ca="1" si="8"/>
        <v>1.2076121205391033E-3</v>
      </c>
      <c r="D1037" s="7">
        <f t="shared" ca="1" si="7"/>
        <v>1.1662692361014835</v>
      </c>
    </row>
    <row r="1038" spans="1:4" ht="12.75" x14ac:dyDescent="0.2">
      <c r="A1038" s="8">
        <f ca="1">IFERROR(__xludf.DUMMYFUNCTION("""COMPUTED_VALUE"""),45358.6458333333)</f>
        <v>45358.645833333299</v>
      </c>
      <c r="B1038" s="7">
        <f ca="1">IFERROR(__xludf.DUMMYFUNCTION("""COMPUTED_VALUE"""),723.05)</f>
        <v>723.05</v>
      </c>
      <c r="C1038" s="6">
        <f t="shared" ca="1" si="8"/>
        <v>2.4261749618743611E-3</v>
      </c>
      <c r="D1038" s="7">
        <f t="shared" ca="1" si="7"/>
        <v>1.1778576861904433</v>
      </c>
    </row>
    <row r="1039" spans="1:4" ht="12.75" x14ac:dyDescent="0.2">
      <c r="A1039" s="8">
        <f ca="1">IFERROR(__xludf.DUMMYFUNCTION("""COMPUTED_VALUE"""),45362.6458333333)</f>
        <v>45362.645833333299</v>
      </c>
      <c r="B1039" s="7">
        <f ca="1">IFERROR(__xludf.DUMMYFUNCTION("""COMPUTED_VALUE"""),713.9)</f>
        <v>713.9</v>
      </c>
      <c r="C1039" s="6">
        <f t="shared" ca="1" si="8"/>
        <v>-1.265472650577415E-2</v>
      </c>
      <c r="D1039" s="7">
        <f t="shared" ca="1" si="7"/>
        <v>1.1943269365457347</v>
      </c>
    </row>
    <row r="1040" spans="1:4" ht="12.75" x14ac:dyDescent="0.2">
      <c r="A1040" s="8">
        <f ca="1">IFERROR(__xludf.DUMMYFUNCTION("""COMPUTED_VALUE"""),45363.6458333333)</f>
        <v>45363.645833333299</v>
      </c>
      <c r="B1040" s="7">
        <f ca="1">IFERROR(__xludf.DUMMYFUNCTION("""COMPUTED_VALUE"""),729.78)</f>
        <v>729.78</v>
      </c>
      <c r="C1040" s="6">
        <f t="shared" ca="1" si="8"/>
        <v>2.2244011766353822E-2</v>
      </c>
      <c r="D1040" s="7">
        <f t="shared" ca="1" si="7"/>
        <v>1.1710789553015979</v>
      </c>
    </row>
    <row r="1041" spans="1:4" ht="12.75" x14ac:dyDescent="0.2">
      <c r="A1041" s="8">
        <f ca="1">IFERROR(__xludf.DUMMYFUNCTION("""COMPUTED_VALUE"""),45364.6458333333)</f>
        <v>45364.645833333299</v>
      </c>
      <c r="B1041" s="7">
        <f ca="1">IFERROR(__xludf.DUMMYFUNCTION("""COMPUTED_VALUE"""),730.2)</f>
        <v>730.2</v>
      </c>
      <c r="C1041" s="6">
        <f t="shared" ca="1" si="8"/>
        <v>5.7551590890425608E-4</v>
      </c>
      <c r="D1041" s="7">
        <f t="shared" ca="1" si="7"/>
        <v>1.1627636264037249</v>
      </c>
    </row>
    <row r="1042" spans="1:4" ht="12.75" x14ac:dyDescent="0.2">
      <c r="A1042" s="8">
        <f ca="1">IFERROR(__xludf.DUMMYFUNCTION("""COMPUTED_VALUE"""),45365.6458333333)</f>
        <v>45365.645833333299</v>
      </c>
      <c r="B1042" s="7">
        <f ca="1">IFERROR(__xludf.DUMMYFUNCTION("""COMPUTED_VALUE"""),727.73)</f>
        <v>727.73</v>
      </c>
      <c r="C1042" s="6">
        <f t="shared" ca="1" si="8"/>
        <v>-3.3826348945494855E-3</v>
      </c>
      <c r="D1042" s="7">
        <f t="shared" ca="1" si="7"/>
        <v>1.167397248979704</v>
      </c>
    </row>
    <row r="1043" spans="1:4" ht="12.75" x14ac:dyDescent="0.2">
      <c r="A1043" s="8">
        <f ca="1">IFERROR(__xludf.DUMMYFUNCTION("""COMPUTED_VALUE"""),45366.6458333333)</f>
        <v>45366.645833333299</v>
      </c>
      <c r="B1043" s="7">
        <f ca="1">IFERROR(__xludf.DUMMYFUNCTION("""COMPUTED_VALUE"""),726.33)</f>
        <v>726.33</v>
      </c>
      <c r="C1043" s="6">
        <f t="shared" ca="1" si="8"/>
        <v>-1.9237904167753728E-3</v>
      </c>
      <c r="D1043" s="7">
        <f t="shared" ca="1" si="7"/>
        <v>1.1516115264411493</v>
      </c>
    </row>
    <row r="1044" spans="1:4" ht="12.75" x14ac:dyDescent="0.2">
      <c r="A1044" s="8">
        <f ca="1">IFERROR(__xludf.DUMMYFUNCTION("""COMPUTED_VALUE"""),45369.6458333333)</f>
        <v>45369.645833333299</v>
      </c>
      <c r="B1044" s="7">
        <f ca="1">IFERROR(__xludf.DUMMYFUNCTION("""COMPUTED_VALUE"""),723.03)</f>
        <v>723.03</v>
      </c>
      <c r="C1044" s="6">
        <f t="shared" ca="1" si="8"/>
        <v>-4.5433893684689863E-3</v>
      </c>
      <c r="D1044" s="7">
        <f t="shared" ca="1" si="7"/>
        <v>1.1692875814281565</v>
      </c>
    </row>
    <row r="1045" spans="1:4" ht="12.75" x14ac:dyDescent="0.2">
      <c r="A1045" s="8">
        <f ca="1">IFERROR(__xludf.DUMMYFUNCTION("""COMPUTED_VALUE"""),45370.6458333333)</f>
        <v>45370.645833333299</v>
      </c>
      <c r="B1045" s="7">
        <f ca="1">IFERROR(__xludf.DUMMYFUNCTION("""COMPUTED_VALUE"""),724.68)</f>
        <v>724.68</v>
      </c>
      <c r="C1045" s="6">
        <f t="shared" ca="1" si="8"/>
        <v>2.2820629849382712E-3</v>
      </c>
      <c r="D1045" s="7">
        <f t="shared" ca="1" si="7"/>
        <v>1.1606502180272673</v>
      </c>
    </row>
    <row r="1046" spans="1:4" ht="12.75" x14ac:dyDescent="0.2">
      <c r="A1046" s="8">
        <f ca="1">IFERROR(__xludf.DUMMYFUNCTION("""COMPUTED_VALUE"""),45371.6458333333)</f>
        <v>45371.645833333299</v>
      </c>
      <c r="B1046" s="7">
        <f ca="1">IFERROR(__xludf.DUMMYFUNCTION("""COMPUTED_VALUE"""),715.53)</f>
        <v>715.53</v>
      </c>
      <c r="C1046" s="6">
        <f t="shared" ca="1" si="8"/>
        <v>-1.2626262626262541E-2</v>
      </c>
      <c r="D1046" s="7">
        <f t="shared" ca="1" si="7"/>
        <v>1.1623971042444063</v>
      </c>
    </row>
    <row r="1047" spans="1:4" ht="12.75" x14ac:dyDescent="0.2">
      <c r="A1047" s="8">
        <f ca="1">IFERROR(__xludf.DUMMYFUNCTION("""COMPUTED_VALUE"""),45372.6458333333)</f>
        <v>45372.645833333299</v>
      </c>
      <c r="B1047" s="7">
        <f ca="1">IFERROR(__xludf.DUMMYFUNCTION("""COMPUTED_VALUE"""),722.88)</f>
        <v>722.88</v>
      </c>
      <c r="C1047" s="6">
        <f t="shared" ca="1" si="8"/>
        <v>1.0272105991363079E-2</v>
      </c>
      <c r="D1047" s="7">
        <f t="shared" ca="1" si="7"/>
        <v>1.1416140991589199</v>
      </c>
    </row>
    <row r="1048" spans="1:4" ht="12.75" x14ac:dyDescent="0.2">
      <c r="A1048" s="8">
        <f ca="1">IFERROR(__xludf.DUMMYFUNCTION("""COMPUTED_VALUE"""),45373.6458333333)</f>
        <v>45373.645833333299</v>
      </c>
      <c r="B1048" s="7">
        <f ca="1">IFERROR(__xludf.DUMMYFUNCTION("""COMPUTED_VALUE"""),721.43)</f>
        <v>721.43</v>
      </c>
      <c r="C1048" s="6">
        <f t="shared" ca="1" si="8"/>
        <v>-2.0058654271801757E-3</v>
      </c>
      <c r="D1048" s="7">
        <f t="shared" ca="1" si="7"/>
        <v>1.1476927768459866</v>
      </c>
    </row>
    <row r="1049" spans="1:4" ht="12.75" x14ac:dyDescent="0.2">
      <c r="A1049" s="8">
        <f ca="1">IFERROR(__xludf.DUMMYFUNCTION("""COMPUTED_VALUE"""),45377.6458333333)</f>
        <v>45377.645833333299</v>
      </c>
      <c r="B1049" s="7">
        <f ca="1">IFERROR(__xludf.DUMMYFUNCTION("""COMPUTED_VALUE"""),712.7)</f>
        <v>712.7</v>
      </c>
      <c r="C1049" s="6">
        <f t="shared" ca="1" si="8"/>
        <v>-1.2100966136700642E-2</v>
      </c>
      <c r="D1049" s="7">
        <f t="shared" ca="1" si="7"/>
        <v>1.1568682475094709</v>
      </c>
    </row>
    <row r="1050" spans="1:4" ht="12.75" x14ac:dyDescent="0.2">
      <c r="A1050" s="8">
        <f ca="1">IFERROR(__xludf.DUMMYFUNCTION("""COMPUTED_VALUE"""),45378.6458333333)</f>
        <v>45378.645833333299</v>
      </c>
      <c r="B1050" s="7">
        <f ca="1">IFERROR(__xludf.DUMMYFUNCTION("""COMPUTED_VALUE"""),720.35)</f>
        <v>720.35</v>
      </c>
      <c r="C1050" s="6">
        <f t="shared" ca="1" si="8"/>
        <v>1.0733829100603387E-2</v>
      </c>
      <c r="D1050" s="7">
        <f t="shared" ca="1" si="7"/>
        <v>1.1391684597764975</v>
      </c>
    </row>
    <row r="1051" spans="1:4" ht="12.75" x14ac:dyDescent="0.2">
      <c r="A1051" s="8">
        <f ca="1">IFERROR(__xludf.DUMMYFUNCTION("""COMPUTED_VALUE"""),45379.6458333333)</f>
        <v>45379.645833333299</v>
      </c>
      <c r="B1051" s="7">
        <f ca="1">IFERROR(__xludf.DUMMYFUNCTION("""COMPUTED_VALUE"""),723.95)</f>
        <v>723.95</v>
      </c>
      <c r="C1051" s="6">
        <f t="shared" ca="1" si="8"/>
        <v>4.9975706253904129E-3</v>
      </c>
      <c r="D1051" s="7">
        <f t="shared" ca="1" si="7"/>
        <v>1.1553284066579184</v>
      </c>
    </row>
    <row r="1052" spans="1:4" ht="12.75" x14ac:dyDescent="0.2">
      <c r="A1052" s="8">
        <f ca="1">IFERROR(__xludf.DUMMYFUNCTION("""COMPUTED_VALUE"""),45383.6458333333)</f>
        <v>45383.645833333299</v>
      </c>
      <c r="B1052" s="7">
        <f ca="1">IFERROR(__xludf.DUMMYFUNCTION("""COMPUTED_VALUE"""),735.25)</f>
        <v>735.25</v>
      </c>
      <c r="C1052" s="6">
        <f t="shared" ca="1" si="8"/>
        <v>1.5608812763312274E-2</v>
      </c>
      <c r="D1052" s="7">
        <f t="shared" ca="1" si="7"/>
        <v>1.1418973138388304</v>
      </c>
    </row>
    <row r="1053" spans="1:4" ht="12.75" x14ac:dyDescent="0.2">
      <c r="A1053" s="8">
        <f ca="1">IFERROR(__xludf.DUMMYFUNCTION("""COMPUTED_VALUE"""),45384.6458333333)</f>
        <v>45384.645833333299</v>
      </c>
      <c r="B1053" s="7">
        <f ca="1">IFERROR(__xludf.DUMMYFUNCTION("""COMPUTED_VALUE"""),740.08)</f>
        <v>740.08</v>
      </c>
      <c r="C1053" s="6">
        <f t="shared" ca="1" si="8"/>
        <v>6.5691941516492491E-3</v>
      </c>
      <c r="D1053" s="7">
        <f t="shared" ca="1" si="7"/>
        <v>1.0387390552372715</v>
      </c>
    </row>
    <row r="1054" spans="1:4" ht="12.75" x14ac:dyDescent="0.2">
      <c r="A1054" s="8">
        <f ca="1">IFERROR(__xludf.DUMMYFUNCTION("""COMPUTED_VALUE"""),45385.6458333333)</f>
        <v>45385.645833333299</v>
      </c>
      <c r="B1054" s="7">
        <f ca="1">IFERROR(__xludf.DUMMYFUNCTION("""COMPUTED_VALUE"""),741.15)</f>
        <v>741.15</v>
      </c>
      <c r="C1054" s="6">
        <f t="shared" ca="1" si="8"/>
        <v>1.445789644362705E-3</v>
      </c>
      <c r="D1054" s="7">
        <f t="shared" ca="1" si="7"/>
        <v>1.002604061256156</v>
      </c>
    </row>
    <row r="1055" spans="1:4" ht="12.75" x14ac:dyDescent="0.2">
      <c r="A1055" s="8">
        <f ca="1">IFERROR(__xludf.DUMMYFUNCTION("""COMPUTED_VALUE"""),45386.6458333333)</f>
        <v>45386.645833333299</v>
      </c>
      <c r="B1055" s="7">
        <f ca="1">IFERROR(__xludf.DUMMYFUNCTION("""COMPUTED_VALUE"""),763.8)</f>
        <v>763.8</v>
      </c>
      <c r="C1055" s="6">
        <f t="shared" ca="1" si="8"/>
        <v>3.0560615260068813E-2</v>
      </c>
      <c r="D1055" s="7">
        <f t="shared" ca="1" si="7"/>
        <v>0.96272584446190113</v>
      </c>
    </row>
    <row r="1056" spans="1:4" ht="12.75" x14ac:dyDescent="0.2">
      <c r="A1056" s="8">
        <f ca="1">IFERROR(__xludf.DUMMYFUNCTION("""COMPUTED_VALUE"""),45387.6458333333)</f>
        <v>45387.645833333299</v>
      </c>
      <c r="B1056" s="7">
        <f ca="1">IFERROR(__xludf.DUMMYFUNCTION("""COMPUTED_VALUE"""),774.78)</f>
        <v>774.78</v>
      </c>
      <c r="C1056" s="6">
        <f t="shared" ca="1" si="8"/>
        <v>1.4375490966221482E-2</v>
      </c>
      <c r="D1056" s="7">
        <f t="shared" ca="1" si="7"/>
        <v>0.92113890394692688</v>
      </c>
    </row>
    <row r="1057" spans="1:4" ht="12.75" x14ac:dyDescent="0.2">
      <c r="A1057" s="8">
        <f ca="1">IFERROR(__xludf.DUMMYFUNCTION("""COMPUTED_VALUE"""),45390.6458333333)</f>
        <v>45390.645833333299</v>
      </c>
      <c r="B1057" s="7">
        <f ca="1">IFERROR(__xludf.DUMMYFUNCTION("""COMPUTED_VALUE"""),773.3)</f>
        <v>773.3</v>
      </c>
      <c r="C1057" s="6">
        <f t="shared" ca="1" si="8"/>
        <v>-1.9102196752627254E-3</v>
      </c>
      <c r="D1057" s="7">
        <f t="shared" ca="1" si="7"/>
        <v>0.94135523082891515</v>
      </c>
    </row>
    <row r="1058" spans="1:4" ht="12.75" x14ac:dyDescent="0.2">
      <c r="A1058" s="8">
        <f ca="1">IFERROR(__xludf.DUMMYFUNCTION("""COMPUTED_VALUE"""),45391.6458333333)</f>
        <v>45391.645833333299</v>
      </c>
      <c r="B1058" s="7">
        <f ca="1">IFERROR(__xludf.DUMMYFUNCTION("""COMPUTED_VALUE"""),774.28)</f>
        <v>774.28</v>
      </c>
      <c r="C1058" s="6">
        <f t="shared" ca="1" si="8"/>
        <v>1.2672960041382186E-3</v>
      </c>
      <c r="D1058" s="7">
        <f t="shared" ca="1" si="7"/>
        <v>0.92660277935630531</v>
      </c>
    </row>
    <row r="1059" spans="1:4" ht="12.75" x14ac:dyDescent="0.2">
      <c r="A1059" s="8">
        <f ca="1">IFERROR(__xludf.DUMMYFUNCTION("""COMPUTED_VALUE"""),45392.6458333333)</f>
        <v>45392.645833333299</v>
      </c>
      <c r="B1059" s="7">
        <f ca="1">IFERROR(__xludf.DUMMYFUNCTION("""COMPUTED_VALUE"""),768.18)</f>
        <v>768.18</v>
      </c>
      <c r="C1059" s="6">
        <f t="shared" ca="1" si="8"/>
        <v>-7.8782869246267762E-3</v>
      </c>
      <c r="D1059" s="7">
        <f t="shared" ca="1" si="7"/>
        <v>0.94682235934286252</v>
      </c>
    </row>
    <row r="1060" spans="1:4" ht="12.75" x14ac:dyDescent="0.2">
      <c r="A1060" s="8">
        <f ca="1">IFERROR(__xludf.DUMMYFUNCTION("""COMPUTED_VALUE"""),45394.6458333333)</f>
        <v>45394.645833333299</v>
      </c>
      <c r="B1060" s="7">
        <f ca="1">IFERROR(__xludf.DUMMYFUNCTION("""COMPUTED_VALUE"""),759.48)</f>
        <v>759.48</v>
      </c>
      <c r="C1060" s="6">
        <f t="shared" ca="1" si="8"/>
        <v>-1.1325470592829734E-2</v>
      </c>
      <c r="D1060" s="7">
        <f t="shared" ca="1" si="7"/>
        <v>0.95084794859640798</v>
      </c>
    </row>
    <row r="1061" spans="1:4" ht="12.75" x14ac:dyDescent="0.2">
      <c r="A1061" s="8">
        <f ca="1">IFERROR(__xludf.DUMMYFUNCTION("""COMPUTED_VALUE"""),45397.6458333333)</f>
        <v>45397.645833333299</v>
      </c>
      <c r="B1061" s="7">
        <f ca="1">IFERROR(__xludf.DUMMYFUNCTION("""COMPUTED_VALUE"""),747.35)</f>
        <v>747.35</v>
      </c>
      <c r="C1061" s="6">
        <f t="shared" ca="1" si="8"/>
        <v>-1.5971454152841402E-2</v>
      </c>
      <c r="D1061" s="7">
        <f t="shared" ca="1" si="7"/>
        <v>0.97849735732922993</v>
      </c>
    </row>
    <row r="1062" spans="1:4" ht="12.75" x14ac:dyDescent="0.2">
      <c r="A1062" s="8">
        <f ca="1">IFERROR(__xludf.DUMMYFUNCTION("""COMPUTED_VALUE"""),45398.6458333333)</f>
        <v>45398.645833333299</v>
      </c>
      <c r="B1062" s="7">
        <f ca="1">IFERROR(__xludf.DUMMYFUNCTION("""COMPUTED_VALUE"""),754.63)</f>
        <v>754.63</v>
      </c>
      <c r="C1062" s="6">
        <f t="shared" ca="1" si="8"/>
        <v>9.7410851675920895E-3</v>
      </c>
      <c r="D1062" s="7">
        <f t="shared" ca="1" si="7"/>
        <v>0.97157547407338685</v>
      </c>
    </row>
    <row r="1063" spans="1:4" ht="12.75" x14ac:dyDescent="0.2">
      <c r="A1063" s="8">
        <f ca="1">IFERROR(__xludf.DUMMYFUNCTION("""COMPUTED_VALUE"""),45400.6458333333)</f>
        <v>45400.645833333299</v>
      </c>
      <c r="B1063" s="7">
        <f ca="1">IFERROR(__xludf.DUMMYFUNCTION("""COMPUTED_VALUE"""),747.35)</f>
        <v>747.35</v>
      </c>
      <c r="C1063" s="6">
        <f t="shared" ca="1" si="8"/>
        <v>-9.6471118296382885E-3</v>
      </c>
      <c r="D1063" s="7">
        <f t="shared" ca="1" si="7"/>
        <v>0.9675252559041948</v>
      </c>
    </row>
    <row r="1064" spans="1:4" ht="12.75" x14ac:dyDescent="0.2">
      <c r="A1064" s="8">
        <f ca="1">IFERROR(__xludf.DUMMYFUNCTION("""COMPUTED_VALUE"""),45401.6458333333)</f>
        <v>45401.645833333299</v>
      </c>
      <c r="B1064" s="7">
        <f ca="1">IFERROR(__xludf.DUMMYFUNCTION("""COMPUTED_VALUE"""),765.65)</f>
        <v>765.65</v>
      </c>
      <c r="C1064" s="6">
        <f t="shared" ca="1" si="8"/>
        <v>2.4486519033919851E-2</v>
      </c>
      <c r="D1064" s="7">
        <f t="shared" ca="1" si="7"/>
        <v>0.94355123098021287</v>
      </c>
    </row>
    <row r="1065" spans="1:4" ht="12.75" x14ac:dyDescent="0.2">
      <c r="A1065" s="8">
        <f ca="1">IFERROR(__xludf.DUMMYFUNCTION("""COMPUTED_VALUE"""),45404.6458333333)</f>
        <v>45404.645833333299</v>
      </c>
      <c r="B1065" s="7">
        <f ca="1">IFERROR(__xludf.DUMMYFUNCTION("""COMPUTED_VALUE"""),756.1)</f>
        <v>756.1</v>
      </c>
      <c r="C1065" s="6">
        <f t="shared" ca="1" si="8"/>
        <v>-1.247306210409449E-2</v>
      </c>
      <c r="D1065" s="7">
        <f t="shared" ca="1" si="7"/>
        <v>0.95496627430234082</v>
      </c>
    </row>
    <row r="1066" spans="1:4" ht="12.75" x14ac:dyDescent="0.2">
      <c r="A1066" s="8">
        <f ca="1">IFERROR(__xludf.DUMMYFUNCTION("""COMPUTED_VALUE"""),45405.6458333333)</f>
        <v>45405.645833333299</v>
      </c>
      <c r="B1066" s="7">
        <f ca="1">IFERROR(__xludf.DUMMYFUNCTION("""COMPUTED_VALUE"""),753.8)</f>
        <v>753.8</v>
      </c>
      <c r="C1066" s="6">
        <f t="shared" ca="1" si="8"/>
        <v>-3.0419256712076459E-3</v>
      </c>
      <c r="D1066" s="7">
        <f t="shared" ca="1" si="7"/>
        <v>0.94850092862828339</v>
      </c>
    </row>
    <row r="1067" spans="1:4" ht="12.75" x14ac:dyDescent="0.2">
      <c r="A1067" s="8">
        <f ca="1">IFERROR(__xludf.DUMMYFUNCTION("""COMPUTED_VALUE"""),45406.6458333333)</f>
        <v>45406.645833333299</v>
      </c>
      <c r="B1067" s="7">
        <f ca="1">IFERROR(__xludf.DUMMYFUNCTION("""COMPUTED_VALUE"""),755.85)</f>
        <v>755.85</v>
      </c>
      <c r="C1067" s="6">
        <f t="shared" ca="1" si="8"/>
        <v>2.7195542584241839E-3</v>
      </c>
      <c r="D1067" s="7">
        <f t="shared" ca="1" si="7"/>
        <v>0.92813388899913996</v>
      </c>
    </row>
    <row r="1068" spans="1:4" ht="12.75" x14ac:dyDescent="0.2">
      <c r="A1068" s="8">
        <f ca="1">IFERROR(__xludf.DUMMYFUNCTION("""COMPUTED_VALUE"""),45407.6458333333)</f>
        <v>45407.645833333299</v>
      </c>
      <c r="B1068" s="7">
        <f ca="1">IFERROR(__xludf.DUMMYFUNCTION("""COMPUTED_VALUE"""),755.38)</f>
        <v>755.38</v>
      </c>
      <c r="C1068" s="6">
        <f t="shared" ca="1" si="8"/>
        <v>-6.2181649798243033E-4</v>
      </c>
      <c r="D1068" s="7">
        <f t="shared" ca="1" si="7"/>
        <v>0.92906881304773747</v>
      </c>
    </row>
    <row r="1069" spans="1:4" ht="12.75" x14ac:dyDescent="0.2">
      <c r="A1069" s="8">
        <f ca="1">IFERROR(__xludf.DUMMYFUNCTION("""COMPUTED_VALUE"""),45408.6458333333)</f>
        <v>45408.645833333299</v>
      </c>
      <c r="B1069" s="7">
        <f ca="1">IFERROR(__xludf.DUMMYFUNCTION("""COMPUTED_VALUE"""),754.9)</f>
        <v>754.9</v>
      </c>
      <c r="C1069" s="6">
        <f t="shared" ca="1" si="8"/>
        <v>-6.3544176440999411E-4</v>
      </c>
      <c r="D1069" s="7">
        <f t="shared" ca="1" si="7"/>
        <v>0.92065174195257649</v>
      </c>
    </row>
    <row r="1070" spans="1:4" ht="12.75" x14ac:dyDescent="0.2">
      <c r="A1070" s="8">
        <f ca="1">IFERROR(__xludf.DUMMYFUNCTION("""COMPUTED_VALUE"""),45411.6458333333)</f>
        <v>45411.645833333299</v>
      </c>
      <c r="B1070" s="7">
        <f ca="1">IFERROR(__xludf.DUMMYFUNCTION("""COMPUTED_VALUE"""),764.75)</f>
        <v>764.75</v>
      </c>
      <c r="C1070" s="6">
        <f t="shared" ca="1" si="8"/>
        <v>1.3048085839183932E-2</v>
      </c>
      <c r="D1070" s="7">
        <f t="shared" ca="1" si="7"/>
        <v>0.91170970905524684</v>
      </c>
    </row>
    <row r="1071" spans="1:4" ht="12.75" x14ac:dyDescent="0.2">
      <c r="A1071" s="8">
        <f ca="1">IFERROR(__xludf.DUMMYFUNCTION("""COMPUTED_VALUE"""),45412.6458333333)</f>
        <v>45412.645833333299</v>
      </c>
      <c r="B1071" s="7">
        <f ca="1">IFERROR(__xludf.DUMMYFUNCTION("""COMPUTED_VALUE"""),760.05)</f>
        <v>760.05</v>
      </c>
      <c r="C1071" s="6">
        <f t="shared" ca="1" si="8"/>
        <v>-6.1457992808108264E-3</v>
      </c>
      <c r="D1071" s="7">
        <f t="shared" ref="D1071:D1325" ca="1" si="9">AVERAGE(B1022/B1071)</f>
        <v>0.91050588777054142</v>
      </c>
    </row>
    <row r="1072" spans="1:4" ht="12.75" x14ac:dyDescent="0.2">
      <c r="A1072" s="8">
        <f ca="1">IFERROR(__xludf.DUMMYFUNCTION("""COMPUTED_VALUE"""),45414.6458333333)</f>
        <v>45414.645833333299</v>
      </c>
      <c r="B1072" s="7">
        <f ca="1">IFERROR(__xludf.DUMMYFUNCTION("""COMPUTED_VALUE"""),766.13)</f>
        <v>766.13</v>
      </c>
      <c r="C1072" s="6">
        <f t="shared" ca="1" si="8"/>
        <v>7.9994737188342491E-3</v>
      </c>
      <c r="D1072" s="7">
        <f t="shared" ca="1" si="9"/>
        <v>0.92285904480962755</v>
      </c>
    </row>
    <row r="1073" spans="1:4" ht="12.75" x14ac:dyDescent="0.2">
      <c r="A1073" s="8">
        <f ca="1">IFERROR(__xludf.DUMMYFUNCTION("""COMPUTED_VALUE"""),45415.6458333333)</f>
        <v>45415.645833333299</v>
      </c>
      <c r="B1073" s="7">
        <f ca="1">IFERROR(__xludf.DUMMYFUNCTION("""COMPUTED_VALUE"""),759.8)</f>
        <v>759.8</v>
      </c>
      <c r="C1073" s="6">
        <f t="shared" ca="1" si="8"/>
        <v>-8.2623053528775303E-3</v>
      </c>
      <c r="D1073" s="7">
        <f t="shared" ca="1" si="9"/>
        <v>0.93439062911292459</v>
      </c>
    </row>
    <row r="1074" spans="1:4" ht="12.75" x14ac:dyDescent="0.2">
      <c r="A1074" s="8">
        <f ca="1">IFERROR(__xludf.DUMMYFUNCTION("""COMPUTED_VALUE"""),45418.6458333333)</f>
        <v>45418.645833333299</v>
      </c>
      <c r="B1074" s="7">
        <f ca="1">IFERROR(__xludf.DUMMYFUNCTION("""COMPUTED_VALUE"""),761.33)</f>
        <v>761.33</v>
      </c>
      <c r="C1074" s="6">
        <f t="shared" ca="1" si="8"/>
        <v>2.0136878125822655E-3</v>
      </c>
      <c r="D1074" s="7">
        <f t="shared" ca="1" si="9"/>
        <v>0.93067395216266258</v>
      </c>
    </row>
    <row r="1075" spans="1:4" ht="12.75" x14ac:dyDescent="0.2">
      <c r="A1075" s="8">
        <f ca="1">IFERROR(__xludf.DUMMYFUNCTION("""COMPUTED_VALUE"""),45419.6458333333)</f>
        <v>45419.645833333299</v>
      </c>
      <c r="B1075" s="7">
        <f ca="1">IFERROR(__xludf.DUMMYFUNCTION("""COMPUTED_VALUE"""),753.08)</f>
        <v>753.08</v>
      </c>
      <c r="C1075" s="6">
        <f t="shared" ca="1" si="8"/>
        <v>-1.0836299633536051E-2</v>
      </c>
      <c r="D1075" s="7">
        <f t="shared" ca="1" si="9"/>
        <v>0.96556806713762144</v>
      </c>
    </row>
    <row r="1076" spans="1:4" ht="12.75" x14ac:dyDescent="0.2">
      <c r="A1076" s="8">
        <f ca="1">IFERROR(__xludf.DUMMYFUNCTION("""COMPUTED_VALUE"""),45420.6458333333)</f>
        <v>45420.645833333299</v>
      </c>
      <c r="B1076" s="7">
        <f ca="1">IFERROR(__xludf.DUMMYFUNCTION("""COMPUTED_VALUE"""),741.33)</f>
        <v>741.33</v>
      </c>
      <c r="C1076" s="6">
        <f t="shared" ca="1" si="8"/>
        <v>-1.5602592022095907E-2</v>
      </c>
      <c r="D1076" s="7">
        <f t="shared" ca="1" si="9"/>
        <v>0.97066083930233504</v>
      </c>
    </row>
    <row r="1077" spans="1:4" ht="12.75" x14ac:dyDescent="0.2">
      <c r="A1077" s="8">
        <f ca="1">IFERROR(__xludf.DUMMYFUNCTION("""COMPUTED_VALUE"""),45421.6458333333)</f>
        <v>45421.645833333299</v>
      </c>
      <c r="B1077" s="7">
        <f ca="1">IFERROR(__xludf.DUMMYFUNCTION("""COMPUTED_VALUE"""),723.75)</f>
        <v>723.75</v>
      </c>
      <c r="C1077" s="6">
        <f t="shared" ca="1" si="8"/>
        <v>-2.3714135405285108E-2</v>
      </c>
      <c r="D1077" s="7">
        <f t="shared" ca="1" si="9"/>
        <v>0.98069775474956822</v>
      </c>
    </row>
    <row r="1078" spans="1:4" ht="12.75" x14ac:dyDescent="0.2">
      <c r="A1078" s="8">
        <f ca="1">IFERROR(__xludf.DUMMYFUNCTION("""COMPUTED_VALUE"""),45422.6458333333)</f>
        <v>45422.645833333299</v>
      </c>
      <c r="B1078" s="7">
        <f ca="1">IFERROR(__xludf.DUMMYFUNCTION("""COMPUTED_VALUE"""),718.95)</f>
        <v>718.95</v>
      </c>
      <c r="C1078" s="6">
        <f t="shared" ca="1" si="8"/>
        <v>-6.6321243523315143E-3</v>
      </c>
      <c r="D1078" s="7">
        <f t="shared" ca="1" si="9"/>
        <v>0.98796856526879462</v>
      </c>
    </row>
    <row r="1079" spans="1:4" ht="12.75" x14ac:dyDescent="0.2">
      <c r="A1079" s="8">
        <f ca="1">IFERROR(__xludf.DUMMYFUNCTION("""COMPUTED_VALUE"""),45425.6458333333)</f>
        <v>45425.645833333299</v>
      </c>
      <c r="B1079" s="7">
        <f ca="1">IFERROR(__xludf.DUMMYFUNCTION("""COMPUTED_VALUE"""),727.63)</f>
        <v>727.63</v>
      </c>
      <c r="C1079" s="6">
        <f t="shared" ca="1" si="8"/>
        <v>1.2073162250504144E-2</v>
      </c>
      <c r="D1079" s="7">
        <f t="shared" ca="1" si="9"/>
        <v>0.97735112625922516</v>
      </c>
    </row>
    <row r="1080" spans="1:4" ht="12.75" x14ac:dyDescent="0.2">
      <c r="A1080" s="8">
        <f ca="1">IFERROR(__xludf.DUMMYFUNCTION("""COMPUTED_VALUE"""),45426.6458333333)</f>
        <v>45426.645833333299</v>
      </c>
      <c r="B1080" s="7">
        <f ca="1">IFERROR(__xludf.DUMMYFUNCTION("""COMPUTED_VALUE"""),730.48)</f>
        <v>730.48</v>
      </c>
      <c r="C1080" s="6">
        <f t="shared" ca="1" si="8"/>
        <v>3.9168258592967575E-3</v>
      </c>
      <c r="D1080" s="7">
        <f t="shared" ca="1" si="9"/>
        <v>0.972073157375972</v>
      </c>
    </row>
    <row r="1081" spans="1:4" ht="12.75" x14ac:dyDescent="0.2">
      <c r="A1081" s="8">
        <f ca="1">IFERROR(__xludf.DUMMYFUNCTION("""COMPUTED_VALUE"""),45427.6458333333)</f>
        <v>45427.645833333299</v>
      </c>
      <c r="B1081" s="7">
        <f ca="1">IFERROR(__xludf.DUMMYFUNCTION("""COMPUTED_VALUE"""),719.25)</f>
        <v>719.25</v>
      </c>
      <c r="C1081" s="6">
        <f t="shared" ca="1" si="8"/>
        <v>-1.5373453071952703E-2</v>
      </c>
      <c r="D1081" s="7">
        <f t="shared" ca="1" si="9"/>
        <v>0.97977059436913461</v>
      </c>
    </row>
    <row r="1082" spans="1:4" ht="12.75" x14ac:dyDescent="0.2">
      <c r="A1082" s="8">
        <f ca="1">IFERROR(__xludf.DUMMYFUNCTION("""COMPUTED_VALUE"""),45428.6458333333)</f>
        <v>45428.645833333299</v>
      </c>
      <c r="B1082" s="7">
        <f ca="1">IFERROR(__xludf.DUMMYFUNCTION("""COMPUTED_VALUE"""),730.13)</f>
        <v>730.13</v>
      </c>
      <c r="C1082" s="6">
        <f t="shared" ca="1" si="8"/>
        <v>1.5126868265554316E-2</v>
      </c>
      <c r="D1082" s="7">
        <f t="shared" ca="1" si="9"/>
        <v>0.96106172873323936</v>
      </c>
    </row>
    <row r="1083" spans="1:4" ht="12.75" x14ac:dyDescent="0.2">
      <c r="A1083" s="8">
        <f ca="1">IFERROR(__xludf.DUMMYFUNCTION("""COMPUTED_VALUE"""),45429.6458333333)</f>
        <v>45429.645833333299</v>
      </c>
      <c r="B1083" s="7">
        <f ca="1">IFERROR(__xludf.DUMMYFUNCTION("""COMPUTED_VALUE"""),732.05)</f>
        <v>732.05</v>
      </c>
      <c r="C1083" s="6">
        <f t="shared" ca="1" si="8"/>
        <v>2.6296686891373877E-3</v>
      </c>
      <c r="D1083" s="7">
        <f t="shared" ca="1" si="9"/>
        <v>0.97722833139812859</v>
      </c>
    </row>
    <row r="1084" spans="1:4" ht="12.75" x14ac:dyDescent="0.2">
      <c r="A1084" s="8">
        <f ca="1">IFERROR(__xludf.DUMMYFUNCTION("""COMPUTED_VALUE"""),45433.6458333333)</f>
        <v>45433.645833333299</v>
      </c>
      <c r="B1084" s="7">
        <f ca="1">IFERROR(__xludf.DUMMYFUNCTION("""COMPUTED_VALUE"""),729.4)</f>
        <v>729.4</v>
      </c>
      <c r="C1084" s="6">
        <f t="shared" ca="1" si="8"/>
        <v>-3.6199713134348332E-3</v>
      </c>
      <c r="D1084" s="7">
        <f t="shared" ca="1" si="9"/>
        <v>0.98210858239649035</v>
      </c>
    </row>
    <row r="1085" spans="1:4" ht="12.75" x14ac:dyDescent="0.2">
      <c r="A1085" s="8">
        <f ca="1">IFERROR(__xludf.DUMMYFUNCTION("""COMPUTED_VALUE"""),45434.6458333333)</f>
        <v>45434.645833333299</v>
      </c>
      <c r="B1085" s="7">
        <f ca="1">IFERROR(__xludf.DUMMYFUNCTION("""COMPUTED_VALUE"""),729.6)</f>
        <v>729.6</v>
      </c>
      <c r="C1085" s="6">
        <f t="shared" ca="1" si="8"/>
        <v>2.7419797093508613E-4</v>
      </c>
      <c r="D1085" s="7">
        <f t="shared" ca="1" si="9"/>
        <v>0.98743146929824555</v>
      </c>
    </row>
    <row r="1086" spans="1:4" ht="12.75" x14ac:dyDescent="0.2">
      <c r="A1086" s="8">
        <f ca="1">IFERROR(__xludf.DUMMYFUNCTION("""COMPUTED_VALUE"""),45435.6458333333)</f>
        <v>45435.645833333299</v>
      </c>
      <c r="B1086" s="7">
        <f ca="1">IFERROR(__xludf.DUMMYFUNCTION("""COMPUTED_VALUE"""),746.3)</f>
        <v>746.3</v>
      </c>
      <c r="C1086" s="6">
        <f t="shared" ca="1" si="8"/>
        <v>2.2889254385964897E-2</v>
      </c>
      <c r="D1086" s="7">
        <f t="shared" ca="1" si="9"/>
        <v>0.96650140694090847</v>
      </c>
    </row>
    <row r="1087" spans="1:4" ht="12.75" x14ac:dyDescent="0.2">
      <c r="A1087" s="8">
        <f ca="1">IFERROR(__xludf.DUMMYFUNCTION("""COMPUTED_VALUE"""),45436.6458333333)</f>
        <v>45436.645833333299</v>
      </c>
      <c r="B1087" s="7">
        <f ca="1">IFERROR(__xludf.DUMMYFUNCTION("""COMPUTED_VALUE"""),758.6)</f>
        <v>758.6</v>
      </c>
      <c r="C1087" s="6">
        <f t="shared" ca="1" si="8"/>
        <v>1.6481307785073174E-2</v>
      </c>
      <c r="D1087" s="7">
        <f t="shared" ca="1" si="9"/>
        <v>0.95313735829158963</v>
      </c>
    </row>
    <row r="1088" spans="1:4" ht="12.75" x14ac:dyDescent="0.2">
      <c r="A1088" s="8">
        <f ca="1">IFERROR(__xludf.DUMMYFUNCTION("""COMPUTED_VALUE"""),45439.6458333333)</f>
        <v>45439.645833333299</v>
      </c>
      <c r="B1088" s="7">
        <f ca="1">IFERROR(__xludf.DUMMYFUNCTION("""COMPUTED_VALUE"""),763.85)</f>
        <v>763.85</v>
      </c>
      <c r="C1088" s="6">
        <f t="shared" ca="1" si="8"/>
        <v>6.9206432902715331E-3</v>
      </c>
      <c r="D1088" s="7">
        <f t="shared" ca="1" si="9"/>
        <v>0.93460758002225564</v>
      </c>
    </row>
    <row r="1089" spans="1:4" ht="12.75" x14ac:dyDescent="0.2">
      <c r="A1089" s="8">
        <f ca="1">IFERROR(__xludf.DUMMYFUNCTION("""COMPUTED_VALUE"""),45440.6458333333)</f>
        <v>45440.645833333299</v>
      </c>
      <c r="B1089" s="7">
        <f ca="1">IFERROR(__xludf.DUMMYFUNCTION("""COMPUTED_VALUE"""),765.25)</f>
        <v>765.25</v>
      </c>
      <c r="C1089" s="6">
        <f t="shared" ca="1" si="8"/>
        <v>1.8328205799567066E-3</v>
      </c>
      <c r="D1089" s="7">
        <f t="shared" ca="1" si="9"/>
        <v>0.95364913426984643</v>
      </c>
    </row>
    <row r="1090" spans="1:4" ht="12.75" x14ac:dyDescent="0.2">
      <c r="A1090" s="8">
        <f ca="1">IFERROR(__xludf.DUMMYFUNCTION("""COMPUTED_VALUE"""),45441.6458333333)</f>
        <v>45441.645833333299</v>
      </c>
      <c r="B1090" s="7">
        <f ca="1">IFERROR(__xludf.DUMMYFUNCTION("""COMPUTED_VALUE"""),754.15)</f>
        <v>754.15</v>
      </c>
      <c r="C1090" s="6">
        <f t="shared" ca="1" si="8"/>
        <v>-1.450506370467175E-2</v>
      </c>
      <c r="D1090" s="7">
        <f t="shared" ca="1" si="9"/>
        <v>0.96824239209706298</v>
      </c>
    </row>
    <row r="1091" spans="1:4" ht="12.75" x14ac:dyDescent="0.2">
      <c r="A1091" s="8">
        <f ca="1">IFERROR(__xludf.DUMMYFUNCTION("""COMPUTED_VALUE"""),45442.6458333333)</f>
        <v>45442.645833333299</v>
      </c>
      <c r="B1091" s="7">
        <f ca="1">IFERROR(__xludf.DUMMYFUNCTION("""COMPUTED_VALUE"""),757.43)</f>
        <v>757.43</v>
      </c>
      <c r="C1091" s="6">
        <f t="shared" ca="1" si="8"/>
        <v>4.3492673871246001E-3</v>
      </c>
      <c r="D1091" s="7">
        <f t="shared" ca="1" si="9"/>
        <v>0.9607884556988765</v>
      </c>
    </row>
    <row r="1092" spans="1:4" ht="12.75" x14ac:dyDescent="0.2">
      <c r="A1092" s="8">
        <f ca="1">IFERROR(__xludf.DUMMYFUNCTION("""COMPUTED_VALUE"""),45443.6458333333)</f>
        <v>45443.645833333299</v>
      </c>
      <c r="B1092" s="7">
        <f ca="1">IFERROR(__xludf.DUMMYFUNCTION("""COMPUTED_VALUE"""),765.78)</f>
        <v>765.78</v>
      </c>
      <c r="C1092" s="6">
        <f t="shared" ca="1" si="8"/>
        <v>1.1024121040888346E-2</v>
      </c>
      <c r="D1092" s="7">
        <f t="shared" ca="1" si="9"/>
        <v>0.94848389876988182</v>
      </c>
    </row>
    <row r="1093" spans="1:4" ht="12.75" x14ac:dyDescent="0.2">
      <c r="A1093" s="8">
        <f ca="1">IFERROR(__xludf.DUMMYFUNCTION("""COMPUTED_VALUE"""),45446.6458333333)</f>
        <v>45446.645833333299</v>
      </c>
      <c r="B1093" s="7">
        <f ca="1">IFERROR(__xludf.DUMMYFUNCTION("""COMPUTED_VALUE"""),786.1)</f>
        <v>786.1</v>
      </c>
      <c r="C1093" s="6">
        <f t="shared" ca="1" si="8"/>
        <v>2.6535036172268933E-2</v>
      </c>
      <c r="D1093" s="7">
        <f t="shared" ca="1" si="9"/>
        <v>0.91976847729296518</v>
      </c>
    </row>
    <row r="1094" spans="1:4" ht="12.75" x14ac:dyDescent="0.2">
      <c r="A1094" s="8">
        <f ca="1">IFERROR(__xludf.DUMMYFUNCTION("""COMPUTED_VALUE"""),45447.6458333333)</f>
        <v>45447.645833333299</v>
      </c>
      <c r="B1094" s="7">
        <f ca="1">IFERROR(__xludf.DUMMYFUNCTION("""COMPUTED_VALUE"""),741.58)</f>
        <v>741.58</v>
      </c>
      <c r="C1094" s="6">
        <f t="shared" ca="1" si="8"/>
        <v>-5.6634016028495049E-2</v>
      </c>
      <c r="D1094" s="7">
        <f t="shared" ca="1" si="9"/>
        <v>0.97721082014078042</v>
      </c>
    </row>
    <row r="1095" spans="1:4" ht="12.75" x14ac:dyDescent="0.2">
      <c r="A1095" s="8">
        <f ca="1">IFERROR(__xludf.DUMMYFUNCTION("""COMPUTED_VALUE"""),45448.6458333333)</f>
        <v>45448.645833333299</v>
      </c>
      <c r="B1095" s="7">
        <f ca="1">IFERROR(__xludf.DUMMYFUNCTION("""COMPUTED_VALUE"""),775.9)</f>
        <v>775.9</v>
      </c>
      <c r="C1095" s="6">
        <f t="shared" ca="1" si="8"/>
        <v>4.6279565252568711E-2</v>
      </c>
      <c r="D1095" s="7">
        <f t="shared" ca="1" si="9"/>
        <v>0.92219358164711951</v>
      </c>
    </row>
    <row r="1096" spans="1:4" ht="12.75" x14ac:dyDescent="0.2">
      <c r="A1096" s="8">
        <f ca="1">IFERROR(__xludf.DUMMYFUNCTION("""COMPUTED_VALUE"""),45449.6458333333)</f>
        <v>45449.645833333299</v>
      </c>
      <c r="B1096" s="7">
        <f ca="1">IFERROR(__xludf.DUMMYFUNCTION("""COMPUTED_VALUE"""),779.85)</f>
        <v>779.85</v>
      </c>
      <c r="C1096" s="6">
        <f t="shared" ca="1" si="8"/>
        <v>5.0908622245136037E-3</v>
      </c>
      <c r="D1096" s="7">
        <f t="shared" ca="1" si="9"/>
        <v>0.92694748990190423</v>
      </c>
    </row>
    <row r="1097" spans="1:4" ht="12.75" x14ac:dyDescent="0.2">
      <c r="A1097" s="8">
        <f ca="1">IFERROR(__xludf.DUMMYFUNCTION("""COMPUTED_VALUE"""),45450.6458333333)</f>
        <v>45450.645833333299</v>
      </c>
      <c r="B1097" s="7">
        <f ca="1">IFERROR(__xludf.DUMMYFUNCTION("""COMPUTED_VALUE"""),786.68)</f>
        <v>786.68</v>
      </c>
      <c r="C1097" s="6">
        <f t="shared" ca="1" si="8"/>
        <v>8.7580945053535864E-3</v>
      </c>
      <c r="D1097" s="7">
        <f t="shared" ca="1" si="9"/>
        <v>0.91705649056795646</v>
      </c>
    </row>
    <row r="1098" spans="1:4" ht="12.75" x14ac:dyDescent="0.2">
      <c r="A1098" s="8">
        <f ca="1">IFERROR(__xludf.DUMMYFUNCTION("""COMPUTED_VALUE"""),45453.6458333333)</f>
        <v>45453.645833333299</v>
      </c>
      <c r="B1098" s="7">
        <f ca="1">IFERROR(__xludf.DUMMYFUNCTION("""COMPUTED_VALUE"""),780.65)</f>
        <v>780.65</v>
      </c>
      <c r="C1098" s="6">
        <f t="shared" ca="1" si="8"/>
        <v>-7.6651243199267194E-3</v>
      </c>
      <c r="D1098" s="7">
        <f t="shared" ca="1" si="9"/>
        <v>0.91295715109203879</v>
      </c>
    </row>
    <row r="1099" spans="1:4" ht="12.75" x14ac:dyDescent="0.2">
      <c r="A1099" s="8">
        <f ca="1">IFERROR(__xludf.DUMMYFUNCTION("""COMPUTED_VALUE"""),45454.6458333333)</f>
        <v>45454.645833333299</v>
      </c>
      <c r="B1099" s="7">
        <f ca="1">IFERROR(__xludf.DUMMYFUNCTION("""COMPUTED_VALUE"""),782.4)</f>
        <v>782.4</v>
      </c>
      <c r="C1099" s="6">
        <f t="shared" ca="1" si="8"/>
        <v>2.2417216422212505E-3</v>
      </c>
      <c r="D1099" s="7">
        <f t="shared" ca="1" si="9"/>
        <v>0.92069274028629866</v>
      </c>
    </row>
    <row r="1100" spans="1:4" ht="12.75" x14ac:dyDescent="0.2">
      <c r="A1100" s="8">
        <f ca="1">IFERROR(__xludf.DUMMYFUNCTION("""COMPUTED_VALUE"""),45455.6458333333)</f>
        <v>45455.645833333299</v>
      </c>
      <c r="B1100" s="7">
        <f ca="1">IFERROR(__xludf.DUMMYFUNCTION("""COMPUTED_VALUE"""),787.08)</f>
        <v>787.08</v>
      </c>
      <c r="C1100" s="6">
        <f t="shared" ca="1" si="8"/>
        <v>5.9815950920245609E-3</v>
      </c>
      <c r="D1100" s="7">
        <f t="shared" ca="1" si="9"/>
        <v>0.91979214311124669</v>
      </c>
    </row>
    <row r="1101" spans="1:4" ht="12.75" x14ac:dyDescent="0.2">
      <c r="A1101" s="8">
        <f ca="1">IFERROR(__xludf.DUMMYFUNCTION("""COMPUTED_VALUE"""),45456.6458333333)</f>
        <v>45456.645833333299</v>
      </c>
      <c r="B1101" s="7">
        <f ca="1">IFERROR(__xludf.DUMMYFUNCTION("""COMPUTED_VALUE"""),790.38)</f>
        <v>790.38</v>
      </c>
      <c r="C1101" s="6">
        <f t="shared" ca="1" si="8"/>
        <v>4.1927123037048819E-3</v>
      </c>
      <c r="D1101" s="7">
        <f t="shared" ca="1" si="9"/>
        <v>0.93024874111187028</v>
      </c>
    </row>
    <row r="1102" spans="1:4" ht="12.75" x14ac:dyDescent="0.2">
      <c r="A1102" s="8">
        <f ca="1">IFERROR(__xludf.DUMMYFUNCTION("""COMPUTED_VALUE"""),45457.6458333333)</f>
        <v>45457.645833333299</v>
      </c>
      <c r="B1102" s="7">
        <f ca="1">IFERROR(__xludf.DUMMYFUNCTION("""COMPUTED_VALUE"""),798.45)</f>
        <v>798.45</v>
      </c>
      <c r="C1102" s="6">
        <f t="shared" ca="1" si="8"/>
        <v>1.0210278600166989E-2</v>
      </c>
      <c r="D1102" s="7">
        <f t="shared" ca="1" si="9"/>
        <v>0.92689586073016472</v>
      </c>
    </row>
    <row r="1103" spans="1:4" ht="12.75" x14ac:dyDescent="0.2">
      <c r="A1103" s="8">
        <f ca="1">IFERROR(__xludf.DUMMYFUNCTION("""COMPUTED_VALUE"""),45461.6458333333)</f>
        <v>45461.645833333299</v>
      </c>
      <c r="B1103" s="7">
        <f ca="1">IFERROR(__xludf.DUMMYFUNCTION("""COMPUTED_VALUE"""),803.9)</f>
        <v>803.9</v>
      </c>
      <c r="C1103" s="6">
        <f t="shared" ca="1" si="8"/>
        <v>6.8257248418810423E-3</v>
      </c>
      <c r="D1103" s="7">
        <f t="shared" ca="1" si="9"/>
        <v>0.92194302773976866</v>
      </c>
    </row>
    <row r="1104" spans="1:4" ht="12.75" x14ac:dyDescent="0.2">
      <c r="A1104" s="8">
        <f ca="1">IFERROR(__xludf.DUMMYFUNCTION("""COMPUTED_VALUE"""),45462.6458333333)</f>
        <v>45462.645833333299</v>
      </c>
      <c r="B1104" s="7">
        <f ca="1">IFERROR(__xludf.DUMMYFUNCTION("""COMPUTED_VALUE"""),828.93)</f>
        <v>828.93</v>
      </c>
      <c r="C1104" s="6">
        <f t="shared" ca="1" si="8"/>
        <v>3.1135713397188569E-2</v>
      </c>
      <c r="D1104" s="7">
        <f t="shared" ca="1" si="9"/>
        <v>0.92142882993738917</v>
      </c>
    </row>
    <row r="1105" spans="1:4" ht="12.75" x14ac:dyDescent="0.2">
      <c r="A1105" s="8">
        <f ca="1">IFERROR(__xludf.DUMMYFUNCTION("""COMPUTED_VALUE"""),45463.6458333333)</f>
        <v>45463.645833333299</v>
      </c>
      <c r="B1105" s="7">
        <f ca="1">IFERROR(__xludf.DUMMYFUNCTION("""COMPUTED_VALUE"""),834.68)</f>
        <v>834.68</v>
      </c>
      <c r="C1105" s="6">
        <f t="shared" ca="1" si="8"/>
        <v>6.9366532759098654E-3</v>
      </c>
      <c r="D1105" s="7">
        <f t="shared" ca="1" si="9"/>
        <v>0.92823597067139507</v>
      </c>
    </row>
    <row r="1106" spans="1:4" ht="12.75" x14ac:dyDescent="0.2">
      <c r="A1106" s="8">
        <f ca="1">IFERROR(__xludf.DUMMYFUNCTION("""COMPUTED_VALUE"""),45464.6458333333)</f>
        <v>45464.645833333299</v>
      </c>
      <c r="B1106" s="7">
        <f ca="1">IFERROR(__xludf.DUMMYFUNCTION("""COMPUTED_VALUE"""),832.88)</f>
        <v>832.88</v>
      </c>
      <c r="C1106" s="6">
        <f t="shared" ca="1" si="8"/>
        <v>-2.1565150716441606E-3</v>
      </c>
      <c r="D1106" s="7">
        <f t="shared" ca="1" si="9"/>
        <v>0.92846508500624336</v>
      </c>
    </row>
    <row r="1107" spans="1:4" ht="12.75" x14ac:dyDescent="0.2">
      <c r="A1107" s="8">
        <f ca="1">IFERROR(__xludf.DUMMYFUNCTION("""COMPUTED_VALUE"""),45467.6458333333)</f>
        <v>45467.645833333299</v>
      </c>
      <c r="B1107" s="7">
        <f ca="1">IFERROR(__xludf.DUMMYFUNCTION("""COMPUTED_VALUE"""),836.2)</f>
        <v>836.2</v>
      </c>
      <c r="C1107" s="6">
        <f t="shared" ca="1" si="8"/>
        <v>3.9861684756508087E-3</v>
      </c>
      <c r="D1107" s="7">
        <f t="shared" ca="1" si="9"/>
        <v>0.92595072949055246</v>
      </c>
    </row>
    <row r="1108" spans="1:4" ht="12.75" x14ac:dyDescent="0.2">
      <c r="A1108" s="8">
        <f ca="1">IFERROR(__xludf.DUMMYFUNCTION("""COMPUTED_VALUE"""),45468.6458333333)</f>
        <v>45468.645833333299</v>
      </c>
      <c r="B1108" s="7">
        <f ca="1">IFERROR(__xludf.DUMMYFUNCTION("""COMPUTED_VALUE"""),855.68)</f>
        <v>855.68</v>
      </c>
      <c r="C1108" s="6">
        <f t="shared" ca="1" si="8"/>
        <v>2.3295862233915221E-2</v>
      </c>
      <c r="D1108" s="7">
        <f t="shared" ca="1" si="9"/>
        <v>0.89774214659685858</v>
      </c>
    </row>
    <row r="1109" spans="1:4" ht="12.75" x14ac:dyDescent="0.2">
      <c r="A1109" s="8">
        <f ca="1">IFERROR(__xludf.DUMMYFUNCTION("""COMPUTED_VALUE"""),45469.6458333333)</f>
        <v>45469.645833333299</v>
      </c>
      <c r="B1109" s="7">
        <f ca="1">IFERROR(__xludf.DUMMYFUNCTION("""COMPUTED_VALUE"""),850.75)</f>
        <v>850.75</v>
      </c>
      <c r="C1109" s="6">
        <f t="shared" ca="1" si="8"/>
        <v>-5.7614996260283435E-3</v>
      </c>
      <c r="D1109" s="7">
        <f t="shared" ca="1" si="9"/>
        <v>0.89271818983250073</v>
      </c>
    </row>
    <row r="1110" spans="1:4" ht="12.75" x14ac:dyDescent="0.2">
      <c r="A1110" s="8">
        <f ca="1">IFERROR(__xludf.DUMMYFUNCTION("""COMPUTED_VALUE"""),45470.6458333333)</f>
        <v>45470.645833333299</v>
      </c>
      <c r="B1110" s="7">
        <f ca="1">IFERROR(__xludf.DUMMYFUNCTION("""COMPUTED_VALUE"""),848.08)</f>
        <v>848.08</v>
      </c>
      <c r="C1110" s="6">
        <f t="shared" ca="1" si="8"/>
        <v>-3.1384072876873281E-3</v>
      </c>
      <c r="D1110" s="7">
        <f t="shared" ca="1" si="9"/>
        <v>0.88122582775209879</v>
      </c>
    </row>
    <row r="1111" spans="1:4" ht="12.75" x14ac:dyDescent="0.2">
      <c r="A1111" s="8">
        <f ca="1">IFERROR(__xludf.DUMMYFUNCTION("""COMPUTED_VALUE"""),45471.6458333333)</f>
        <v>45471.645833333299</v>
      </c>
      <c r="B1111" s="7">
        <f ca="1">IFERROR(__xludf.DUMMYFUNCTION("""COMPUTED_VALUE"""),841.9)</f>
        <v>841.9</v>
      </c>
      <c r="C1111" s="6">
        <f t="shared" ca="1" si="8"/>
        <v>-7.2870483916612772E-3</v>
      </c>
      <c r="D1111" s="7">
        <f t="shared" ca="1" si="9"/>
        <v>0.89634160826701514</v>
      </c>
    </row>
    <row r="1112" spans="1:4" ht="12.75" x14ac:dyDescent="0.2">
      <c r="A1112" s="8">
        <f ca="1">IFERROR(__xludf.DUMMYFUNCTION("""COMPUTED_VALUE"""),45474.6458333333)</f>
        <v>45474.645833333299</v>
      </c>
      <c r="B1112" s="7">
        <f ca="1">IFERROR(__xludf.DUMMYFUNCTION("""COMPUTED_VALUE"""),852.6)</f>
        <v>852.6</v>
      </c>
      <c r="C1112" s="6">
        <f t="shared" ca="1" si="8"/>
        <v>1.2709347903551604E-2</v>
      </c>
      <c r="D1112" s="7">
        <f t="shared" ca="1" si="9"/>
        <v>0.87655406990382356</v>
      </c>
    </row>
    <row r="1113" spans="1:4" ht="12.75" x14ac:dyDescent="0.2">
      <c r="A1113" s="8">
        <f ca="1">IFERROR(__xludf.DUMMYFUNCTION("""COMPUTED_VALUE"""),45475.6458333333)</f>
        <v>45475.645833333299</v>
      </c>
      <c r="B1113" s="7">
        <f ca="1">IFERROR(__xludf.DUMMYFUNCTION("""COMPUTED_VALUE"""),865.3)</f>
        <v>865.3</v>
      </c>
      <c r="C1113" s="6">
        <f t="shared" ca="1" si="8"/>
        <v>1.4895613417780895E-2</v>
      </c>
      <c r="D1113" s="7">
        <f t="shared" ca="1" si="9"/>
        <v>0.88483762856812664</v>
      </c>
    </row>
    <row r="1114" spans="1:4" ht="12.75" x14ac:dyDescent="0.2">
      <c r="A1114" s="8">
        <f ca="1">IFERROR(__xludf.DUMMYFUNCTION("""COMPUTED_VALUE"""),45476.6458333333)</f>
        <v>45476.645833333299</v>
      </c>
      <c r="B1114" s="7">
        <f ca="1">IFERROR(__xludf.DUMMYFUNCTION("""COMPUTED_VALUE"""),884.33)</f>
        <v>884.33</v>
      </c>
      <c r="C1114" s="6">
        <f t="shared" ca="1" si="8"/>
        <v>2.1992372587541942E-2</v>
      </c>
      <c r="D1114" s="7">
        <f t="shared" ca="1" si="9"/>
        <v>0.85499756878088495</v>
      </c>
    </row>
    <row r="1115" spans="1:4" ht="12.75" x14ac:dyDescent="0.2">
      <c r="A1115" s="8">
        <f ca="1">IFERROR(__xludf.DUMMYFUNCTION("""COMPUTED_VALUE"""),45477.6458333333)</f>
        <v>45477.645833333299</v>
      </c>
      <c r="B1115" s="7">
        <f ca="1">IFERROR(__xludf.DUMMYFUNCTION("""COMPUTED_VALUE"""),863.58)</f>
        <v>863.58</v>
      </c>
      <c r="C1115" s="6">
        <f t="shared" ca="1" si="8"/>
        <v>-2.3464091459070691E-2</v>
      </c>
      <c r="D1115" s="7">
        <f t="shared" ca="1" si="9"/>
        <v>0.87287801940758225</v>
      </c>
    </row>
    <row r="1116" spans="1:4" ht="12.75" x14ac:dyDescent="0.2">
      <c r="A1116" s="8">
        <f ca="1">IFERROR(__xludf.DUMMYFUNCTION("""COMPUTED_VALUE"""),45478.6458333333)</f>
        <v>45478.645833333299</v>
      </c>
      <c r="B1116" s="7">
        <f ca="1">IFERROR(__xludf.DUMMYFUNCTION("""COMPUTED_VALUE"""),824.05)</f>
        <v>824.05</v>
      </c>
      <c r="C1116" s="6">
        <f t="shared" ca="1" si="8"/>
        <v>-4.5774566340119116E-2</v>
      </c>
      <c r="D1116" s="7">
        <f t="shared" ca="1" si="9"/>
        <v>0.91723803167283546</v>
      </c>
    </row>
    <row r="1117" spans="1:4" ht="12.75" x14ac:dyDescent="0.2">
      <c r="A1117" s="8">
        <f ca="1">IFERROR(__xludf.DUMMYFUNCTION("""COMPUTED_VALUE"""),45481.6458333333)</f>
        <v>45481.645833333299</v>
      </c>
      <c r="B1117" s="7">
        <f ca="1">IFERROR(__xludf.DUMMYFUNCTION("""COMPUTED_VALUE"""),817.68)</f>
        <v>817.68</v>
      </c>
      <c r="C1117" s="6">
        <f t="shared" ca="1" si="8"/>
        <v>-7.7301134639888858E-3</v>
      </c>
      <c r="D1117" s="7">
        <f t="shared" ca="1" si="9"/>
        <v>0.92380882496820282</v>
      </c>
    </row>
    <row r="1118" spans="1:4" ht="12.75" x14ac:dyDescent="0.2">
      <c r="A1118" s="8">
        <f ca="1">IFERROR(__xludf.DUMMYFUNCTION("""COMPUTED_VALUE"""),45482.6458333333)</f>
        <v>45482.645833333299</v>
      </c>
      <c r="B1118" s="7">
        <f ca="1">IFERROR(__xludf.DUMMYFUNCTION("""COMPUTED_VALUE"""),818.25)</f>
        <v>818.25</v>
      </c>
      <c r="C1118" s="6">
        <f t="shared" ca="1" si="8"/>
        <v>6.9709421778707537E-4</v>
      </c>
      <c r="D1118" s="7">
        <f t="shared" ca="1" si="9"/>
        <v>0.92257867399938887</v>
      </c>
    </row>
    <row r="1119" spans="1:4" ht="12.75" x14ac:dyDescent="0.2">
      <c r="A1119" s="8">
        <f ca="1">IFERROR(__xludf.DUMMYFUNCTION("""COMPUTED_VALUE"""),45483.6458333333)</f>
        <v>45483.645833333299</v>
      </c>
      <c r="B1119" s="7">
        <f ca="1">IFERROR(__xludf.DUMMYFUNCTION("""COMPUTED_VALUE"""),813.05)</f>
        <v>813.05</v>
      </c>
      <c r="C1119" s="6">
        <f t="shared" ca="1" si="8"/>
        <v>-6.3550259700581035E-3</v>
      </c>
      <c r="D1119" s="7">
        <f t="shared" ca="1" si="9"/>
        <v>0.94059405940594065</v>
      </c>
    </row>
    <row r="1120" spans="1:4" ht="12.75" x14ac:dyDescent="0.2">
      <c r="A1120" s="8">
        <f ca="1">IFERROR(__xludf.DUMMYFUNCTION("""COMPUTED_VALUE"""),45484.6458333333)</f>
        <v>45484.645833333299</v>
      </c>
      <c r="B1120" s="7">
        <f ca="1">IFERROR(__xludf.DUMMYFUNCTION("""COMPUTED_VALUE"""),810.95)</f>
        <v>810.95</v>
      </c>
      <c r="C1120" s="6">
        <f t="shared" ca="1" si="8"/>
        <v>-2.5828669823503292E-3</v>
      </c>
      <c r="D1120" s="7">
        <f t="shared" ca="1" si="9"/>
        <v>0.93723410814476837</v>
      </c>
    </row>
    <row r="1121" spans="1:4" ht="12.75" x14ac:dyDescent="0.2">
      <c r="A1121" s="8">
        <f ca="1">IFERROR(__xludf.DUMMYFUNCTION("""COMPUTED_VALUE"""),45485.6458333333)</f>
        <v>45485.645833333299</v>
      </c>
      <c r="B1121" s="7">
        <f ca="1">IFERROR(__xludf.DUMMYFUNCTION("""COMPUTED_VALUE"""),811.35)</f>
        <v>811.35</v>
      </c>
      <c r="C1121" s="6">
        <f t="shared" ca="1" si="8"/>
        <v>4.9324865898014991E-4</v>
      </c>
      <c r="D1121" s="7">
        <f t="shared" ca="1" si="9"/>
        <v>0.94426572995624569</v>
      </c>
    </row>
    <row r="1122" spans="1:4" ht="12.75" x14ac:dyDescent="0.2">
      <c r="A1122" s="8">
        <f ca="1">IFERROR(__xludf.DUMMYFUNCTION("""COMPUTED_VALUE"""),45488.6458333333)</f>
        <v>45488.645833333299</v>
      </c>
      <c r="B1122" s="7">
        <f ca="1">IFERROR(__xludf.DUMMYFUNCTION("""COMPUTED_VALUE"""),811.05)</f>
        <v>811.05</v>
      </c>
      <c r="C1122" s="6">
        <f t="shared" ca="1" si="8"/>
        <v>-3.6975411351458654E-4</v>
      </c>
      <c r="D1122" s="7">
        <f t="shared" ca="1" si="9"/>
        <v>0.93681030762591699</v>
      </c>
    </row>
    <row r="1123" spans="1:4" ht="12.75" x14ac:dyDescent="0.2">
      <c r="A1123" s="8">
        <f ca="1">IFERROR(__xludf.DUMMYFUNCTION("""COMPUTED_VALUE"""),45489.6458333333)</f>
        <v>45489.645833333299</v>
      </c>
      <c r="B1123" s="7">
        <f ca="1">IFERROR(__xludf.DUMMYFUNCTION("""COMPUTED_VALUE"""),809.88)</f>
        <v>809.88</v>
      </c>
      <c r="C1123" s="6">
        <f t="shared" ca="1" si="8"/>
        <v>-1.4425744405399676E-3</v>
      </c>
      <c r="D1123" s="7">
        <f t="shared" ca="1" si="9"/>
        <v>0.94005284733540773</v>
      </c>
    </row>
    <row r="1124" spans="1:4" ht="12.75" x14ac:dyDescent="0.2">
      <c r="A1124" s="8">
        <f ca="1">IFERROR(__xludf.DUMMYFUNCTION("""COMPUTED_VALUE"""),45491.6458333333)</f>
        <v>45491.645833333299</v>
      </c>
      <c r="B1124" s="7">
        <f ca="1">IFERROR(__xludf.DUMMYFUNCTION("""COMPUTED_VALUE"""),807.4)</f>
        <v>807.4</v>
      </c>
      <c r="C1124" s="6">
        <f t="shared" ca="1" si="8"/>
        <v>-3.0621820516619769E-3</v>
      </c>
      <c r="D1124" s="7">
        <f t="shared" ca="1" si="9"/>
        <v>0.93272231855338128</v>
      </c>
    </row>
    <row r="1125" spans="1:4" ht="12.75" x14ac:dyDescent="0.2">
      <c r="A1125" s="8">
        <f ca="1">IFERROR(__xludf.DUMMYFUNCTION("""COMPUTED_VALUE"""),45492.6458333333)</f>
        <v>45492.645833333299</v>
      </c>
      <c r="B1125" s="7">
        <f ca="1">IFERROR(__xludf.DUMMYFUNCTION("""COMPUTED_VALUE"""),803.65)</f>
        <v>803.65</v>
      </c>
      <c r="C1125" s="6">
        <f t="shared" ca="1" si="8"/>
        <v>-4.6445380232845723E-3</v>
      </c>
      <c r="D1125" s="7">
        <f t="shared" ca="1" si="9"/>
        <v>0.92245380451689174</v>
      </c>
    </row>
    <row r="1126" spans="1:4" ht="12.75" x14ac:dyDescent="0.2">
      <c r="A1126" s="8">
        <f ca="1">IFERROR(__xludf.DUMMYFUNCTION("""COMPUTED_VALUE"""),45495.6458333333)</f>
        <v>45495.645833333299</v>
      </c>
      <c r="B1126" s="7">
        <f ca="1">IFERROR(__xludf.DUMMYFUNCTION("""COMPUTED_VALUE"""),821.28)</f>
        <v>821.28</v>
      </c>
      <c r="C1126" s="6">
        <f t="shared" ca="1" si="8"/>
        <v>2.193741056430043E-2</v>
      </c>
      <c r="D1126" s="7">
        <f t="shared" ca="1" si="9"/>
        <v>0.8812463471654004</v>
      </c>
    </row>
    <row r="1127" spans="1:4" ht="12.75" x14ac:dyDescent="0.2">
      <c r="A1127" s="8">
        <f ca="1">IFERROR(__xludf.DUMMYFUNCTION("""COMPUTED_VALUE"""),45496.6458333333)</f>
        <v>45496.645833333299</v>
      </c>
      <c r="B1127" s="7">
        <f ca="1">IFERROR(__xludf.DUMMYFUNCTION("""COMPUTED_VALUE"""),809.2)</f>
        <v>809.2</v>
      </c>
      <c r="C1127" s="6">
        <f t="shared" ca="1" si="8"/>
        <v>-1.4708747321254489E-2</v>
      </c>
      <c r="D1127" s="7">
        <f t="shared" ca="1" si="9"/>
        <v>0.88847009391992093</v>
      </c>
    </row>
    <row r="1128" spans="1:4" ht="12.75" x14ac:dyDescent="0.2">
      <c r="A1128" s="8">
        <f ca="1">IFERROR(__xludf.DUMMYFUNCTION("""COMPUTED_VALUE"""),45497.6458333333)</f>
        <v>45497.645833333299</v>
      </c>
      <c r="B1128" s="7">
        <f ca="1">IFERROR(__xludf.DUMMYFUNCTION("""COMPUTED_VALUE"""),802.03)</f>
        <v>802.03</v>
      </c>
      <c r="C1128" s="6">
        <f t="shared" ca="1" si="8"/>
        <v>-8.8606030647554457E-3</v>
      </c>
      <c r="D1128" s="7">
        <f t="shared" ca="1" si="9"/>
        <v>0.9072353901973742</v>
      </c>
    </row>
    <row r="1129" spans="1:4" ht="12.75" x14ac:dyDescent="0.2">
      <c r="A1129" s="8">
        <f ca="1">IFERROR(__xludf.DUMMYFUNCTION("""COMPUTED_VALUE"""),45498.6458333333)</f>
        <v>45498.645833333299</v>
      </c>
      <c r="B1129" s="7">
        <f ca="1">IFERROR(__xludf.DUMMYFUNCTION("""COMPUTED_VALUE"""),808.3)</f>
        <v>808.3</v>
      </c>
      <c r="C1129" s="6">
        <f t="shared" ca="1" si="8"/>
        <v>7.8176626809469685E-3</v>
      </c>
      <c r="D1129" s="7">
        <f t="shared" ca="1" si="9"/>
        <v>0.90372386490164547</v>
      </c>
    </row>
    <row r="1130" spans="1:4" ht="12.75" x14ac:dyDescent="0.2">
      <c r="A1130" s="8">
        <f ca="1">IFERROR(__xludf.DUMMYFUNCTION("""COMPUTED_VALUE"""),45499.6458333333)</f>
        <v>45499.645833333299</v>
      </c>
      <c r="B1130" s="7">
        <f ca="1">IFERROR(__xludf.DUMMYFUNCTION("""COMPUTED_VALUE"""),809.08)</f>
        <v>809.08</v>
      </c>
      <c r="C1130" s="6">
        <f t="shared" ca="1" si="8"/>
        <v>9.6498824693802554E-4</v>
      </c>
      <c r="D1130" s="7">
        <f t="shared" ca="1" si="9"/>
        <v>0.88897266030553213</v>
      </c>
    </row>
    <row r="1131" spans="1:4" ht="12.75" x14ac:dyDescent="0.2">
      <c r="A1131" s="8">
        <f ca="1">IFERROR(__xludf.DUMMYFUNCTION("""COMPUTED_VALUE"""),45502.6458333333)</f>
        <v>45502.645833333299</v>
      </c>
      <c r="B1131" s="7">
        <f ca="1">IFERROR(__xludf.DUMMYFUNCTION("""COMPUTED_VALUE"""),802.53)</f>
        <v>802.53</v>
      </c>
      <c r="C1131" s="6">
        <f t="shared" ca="1" si="8"/>
        <v>-8.0956147723341143E-3</v>
      </c>
      <c r="D1131" s="7">
        <f t="shared" ca="1" si="9"/>
        <v>0.90978530397617541</v>
      </c>
    </row>
    <row r="1132" spans="1:4" ht="12.75" x14ac:dyDescent="0.2">
      <c r="A1132" s="8">
        <f ca="1">IFERROR(__xludf.DUMMYFUNCTION("""COMPUTED_VALUE"""),45503.6458333333)</f>
        <v>45503.645833333299</v>
      </c>
      <c r="B1132" s="7">
        <f ca="1">IFERROR(__xludf.DUMMYFUNCTION("""COMPUTED_VALUE"""),807.78)</f>
        <v>807.78</v>
      </c>
      <c r="C1132" s="6">
        <f t="shared" ca="1" si="8"/>
        <v>6.5418115210646999E-3</v>
      </c>
      <c r="D1132" s="7">
        <f t="shared" ca="1" si="9"/>
        <v>0.90624922627448068</v>
      </c>
    </row>
    <row r="1133" spans="1:4" ht="12.75" x14ac:dyDescent="0.2">
      <c r="A1133" s="8">
        <f ca="1">IFERROR(__xludf.DUMMYFUNCTION("""COMPUTED_VALUE"""),45504.6458333333)</f>
        <v>45504.645833333299</v>
      </c>
      <c r="B1133" s="7">
        <f ca="1">IFERROR(__xludf.DUMMYFUNCTION("""COMPUTED_VALUE"""),807.88)</f>
        <v>807.88</v>
      </c>
      <c r="C1133" s="6">
        <f t="shared" ca="1" si="8"/>
        <v>1.2379608309198709E-4</v>
      </c>
      <c r="D1133" s="7">
        <f t="shared" ca="1" si="9"/>
        <v>0.90285685992969256</v>
      </c>
    </row>
    <row r="1134" spans="1:4" ht="12.75" x14ac:dyDescent="0.2">
      <c r="A1134" s="8">
        <f ca="1">IFERROR(__xludf.DUMMYFUNCTION("""COMPUTED_VALUE"""),45505.6458333333)</f>
        <v>45505.645833333299</v>
      </c>
      <c r="B1134" s="7">
        <f ca="1">IFERROR(__xludf.DUMMYFUNCTION("""COMPUTED_VALUE"""),819.4)</f>
        <v>819.4</v>
      </c>
      <c r="C1134" s="6">
        <f t="shared" ca="1" si="8"/>
        <v>1.4259543496558891E-2</v>
      </c>
      <c r="D1134" s="7">
        <f t="shared" ca="1" si="9"/>
        <v>0.89040761532828905</v>
      </c>
    </row>
    <row r="1135" spans="1:4" ht="12.75" x14ac:dyDescent="0.2">
      <c r="A1135" s="8">
        <f ca="1">IFERROR(__xludf.DUMMYFUNCTION("""COMPUTED_VALUE"""),45506.6458333333)</f>
        <v>45506.645833333299</v>
      </c>
      <c r="B1135" s="7">
        <f ca="1">IFERROR(__xludf.DUMMYFUNCTION("""COMPUTED_VALUE"""),829.58)</f>
        <v>829.58</v>
      </c>
      <c r="C1135" s="6">
        <f t="shared" ca="1" si="8"/>
        <v>1.2423724676592807E-2</v>
      </c>
      <c r="D1135" s="7">
        <f t="shared" ca="1" si="9"/>
        <v>0.89961185178041891</v>
      </c>
    </row>
    <row r="1136" spans="1:4" ht="12.75" x14ac:dyDescent="0.2">
      <c r="A1136" s="8">
        <f ca="1">IFERROR(__xludf.DUMMYFUNCTION("""COMPUTED_VALUE"""),45509.6458333333)</f>
        <v>45509.645833333299</v>
      </c>
      <c r="B1136" s="7">
        <f ca="1">IFERROR(__xludf.DUMMYFUNCTION("""COMPUTED_VALUE"""),807.88)</f>
        <v>807.88</v>
      </c>
      <c r="C1136" s="6">
        <f t="shared" ca="1" si="8"/>
        <v>-2.6157814797849621E-2</v>
      </c>
      <c r="D1136" s="7">
        <f t="shared" ca="1" si="9"/>
        <v>0.93900084170916476</v>
      </c>
    </row>
    <row r="1137" spans="1:4" ht="12.75" x14ac:dyDescent="0.2">
      <c r="A1137" s="8">
        <f ca="1">IFERROR(__xludf.DUMMYFUNCTION("""COMPUTED_VALUE"""),45510.6458333333)</f>
        <v>45510.645833333299</v>
      </c>
      <c r="B1137" s="7">
        <f ca="1">IFERROR(__xludf.DUMMYFUNCTION("""COMPUTED_VALUE"""),800.6)</f>
        <v>800.6</v>
      </c>
      <c r="C1137" s="6">
        <f t="shared" ca="1" si="8"/>
        <v>-9.0112392929642127E-3</v>
      </c>
      <c r="D1137" s="7">
        <f t="shared" ca="1" si="9"/>
        <v>0.95409692730452156</v>
      </c>
    </row>
    <row r="1138" spans="1:4" ht="12.75" x14ac:dyDescent="0.2">
      <c r="A1138" s="8">
        <f ca="1">IFERROR(__xludf.DUMMYFUNCTION("""COMPUTED_VALUE"""),45511.6458333333)</f>
        <v>45511.645833333299</v>
      </c>
      <c r="B1138" s="7">
        <f ca="1">IFERROR(__xludf.DUMMYFUNCTION("""COMPUTED_VALUE"""),811.75)</f>
        <v>811.75</v>
      </c>
      <c r="C1138" s="6">
        <f t="shared" ca="1" si="8"/>
        <v>1.3927054708968267E-2</v>
      </c>
      <c r="D1138" s="7">
        <f t="shared" ca="1" si="9"/>
        <v>0.94271635355712968</v>
      </c>
    </row>
    <row r="1139" spans="1:4" ht="12.75" x14ac:dyDescent="0.2">
      <c r="A1139" s="8">
        <f ca="1">IFERROR(__xludf.DUMMYFUNCTION("""COMPUTED_VALUE"""),45512.6458333333)</f>
        <v>45512.645833333299</v>
      </c>
      <c r="B1139" s="7">
        <f ca="1">IFERROR(__xludf.DUMMYFUNCTION("""COMPUTED_VALUE"""),821.35)</f>
        <v>821.35</v>
      </c>
      <c r="C1139" s="6">
        <f t="shared" ca="1" si="8"/>
        <v>1.1826301201108835E-2</v>
      </c>
      <c r="D1139" s="7">
        <f t="shared" ca="1" si="9"/>
        <v>0.91818347841967485</v>
      </c>
    </row>
    <row r="1140" spans="1:4" ht="12.75" x14ac:dyDescent="0.2">
      <c r="A1140" s="8">
        <f ca="1">IFERROR(__xludf.DUMMYFUNCTION("""COMPUTED_VALUE"""),45513.6458333333)</f>
        <v>45513.645833333299</v>
      </c>
      <c r="B1140" s="7">
        <f ca="1">IFERROR(__xludf.DUMMYFUNCTION("""COMPUTED_VALUE"""),825.1)</f>
        <v>825.1</v>
      </c>
      <c r="C1140" s="6">
        <f t="shared" ca="1" si="8"/>
        <v>4.5656541060450362E-3</v>
      </c>
      <c r="D1140" s="7">
        <f t="shared" ca="1" si="9"/>
        <v>0.91798569870318736</v>
      </c>
    </row>
    <row r="1141" spans="1:4" ht="12.75" x14ac:dyDescent="0.2">
      <c r="A1141" s="8">
        <f ca="1">IFERROR(__xludf.DUMMYFUNCTION("""COMPUTED_VALUE"""),45516.6458333333)</f>
        <v>45516.645833333299</v>
      </c>
      <c r="B1141" s="7">
        <f ca="1">IFERROR(__xludf.DUMMYFUNCTION("""COMPUTED_VALUE"""),830.05)</f>
        <v>830.05</v>
      </c>
      <c r="C1141" s="6">
        <f t="shared" ca="1" si="8"/>
        <v>5.9992728154161234E-3</v>
      </c>
      <c r="D1141" s="7">
        <f t="shared" ca="1" si="9"/>
        <v>0.92257092946208064</v>
      </c>
    </row>
    <row r="1142" spans="1:4" ht="12.75" x14ac:dyDescent="0.2">
      <c r="A1142" s="8">
        <f ca="1">IFERROR(__xludf.DUMMYFUNCTION("""COMPUTED_VALUE"""),45517.6458333333)</f>
        <v>45517.645833333299</v>
      </c>
      <c r="B1142" s="7">
        <f ca="1">IFERROR(__xludf.DUMMYFUNCTION("""COMPUTED_VALUE"""),801.6)</f>
        <v>801.6</v>
      </c>
      <c r="C1142" s="6">
        <f t="shared" ca="1" si="8"/>
        <v>-3.4275043672067906E-2</v>
      </c>
      <c r="D1142" s="7">
        <f t="shared" ca="1" si="9"/>
        <v>0.98066367265469057</v>
      </c>
    </row>
    <row r="1143" spans="1:4" ht="12.75" x14ac:dyDescent="0.2">
      <c r="A1143" s="8">
        <f ca="1">IFERROR(__xludf.DUMMYFUNCTION("""COMPUTED_VALUE"""),45518.6458333333)</f>
        <v>45518.645833333299</v>
      </c>
      <c r="B1143" s="7">
        <f ca="1">IFERROR(__xludf.DUMMYFUNCTION("""COMPUTED_VALUE"""),803.9)</f>
        <v>803.9</v>
      </c>
      <c r="C1143" s="6">
        <f t="shared" ca="1" si="8"/>
        <v>2.8692614770458036E-3</v>
      </c>
      <c r="D1143" s="7">
        <f t="shared" ca="1" si="9"/>
        <v>0.92247792013932084</v>
      </c>
    </row>
    <row r="1144" spans="1:4" ht="12.75" x14ac:dyDescent="0.2">
      <c r="A1144" s="8">
        <f ca="1">IFERROR(__xludf.DUMMYFUNCTION("""COMPUTED_VALUE"""),45520.6458333333)</f>
        <v>45520.645833333299</v>
      </c>
      <c r="B1144" s="7">
        <f ca="1">IFERROR(__xludf.DUMMYFUNCTION("""COMPUTED_VALUE"""),816.05)</f>
        <v>816.05</v>
      </c>
      <c r="C1144" s="6">
        <f t="shared" ca="1" si="8"/>
        <v>1.511382012688145E-2</v>
      </c>
      <c r="D1144" s="7">
        <f t="shared" ca="1" si="9"/>
        <v>0.95079958335886283</v>
      </c>
    </row>
    <row r="1145" spans="1:4" ht="12.75" x14ac:dyDescent="0.2">
      <c r="A1145" s="8">
        <f ca="1">IFERROR(__xludf.DUMMYFUNCTION("""COMPUTED_VALUE"""),45523.6458333333)</f>
        <v>45523.645833333299</v>
      </c>
      <c r="B1145" s="7">
        <f ca="1">IFERROR(__xludf.DUMMYFUNCTION("""COMPUTED_VALUE"""),815.78)</f>
        <v>815.78</v>
      </c>
      <c r="C1145" s="6">
        <f t="shared" ca="1" si="8"/>
        <v>-3.3086207952937041E-4</v>
      </c>
      <c r="D1145" s="7">
        <f t="shared" ca="1" si="9"/>
        <v>0.95595626271788969</v>
      </c>
    </row>
    <row r="1146" spans="1:4" ht="12.75" x14ac:dyDescent="0.2">
      <c r="A1146" s="8">
        <f ca="1">IFERROR(__xludf.DUMMYFUNCTION("""COMPUTED_VALUE"""),45524.6458333333)</f>
        <v>45524.645833333299</v>
      </c>
      <c r="B1146" s="7">
        <f ca="1">IFERROR(__xludf.DUMMYFUNCTION("""COMPUTED_VALUE"""),818.85)</f>
        <v>818.85</v>
      </c>
      <c r="C1146" s="6">
        <f t="shared" ca="1" si="8"/>
        <v>3.76326950893624E-3</v>
      </c>
      <c r="D1146" s="7">
        <f t="shared" ca="1" si="9"/>
        <v>0.96071319533492083</v>
      </c>
    </row>
    <row r="1147" spans="1:4" ht="12.75" x14ac:dyDescent="0.2">
      <c r="A1147" s="8">
        <f ca="1">IFERROR(__xludf.DUMMYFUNCTION("""COMPUTED_VALUE"""),45525.6458333333)</f>
        <v>45525.645833333299</v>
      </c>
      <c r="B1147" s="7">
        <f ca="1">IFERROR(__xludf.DUMMYFUNCTION("""COMPUTED_VALUE"""),812.9)</f>
        <v>812.9</v>
      </c>
      <c r="C1147" s="6">
        <f t="shared" ca="1" si="8"/>
        <v>-7.2662880869512891E-3</v>
      </c>
      <c r="D1147" s="7">
        <f t="shared" ca="1" si="9"/>
        <v>0.9603272235207283</v>
      </c>
    </row>
    <row r="1148" spans="1:4" ht="12.75" x14ac:dyDescent="0.2">
      <c r="A1148" s="8">
        <f ca="1">IFERROR(__xludf.DUMMYFUNCTION("""COMPUTED_VALUE"""),45526.6458333333)</f>
        <v>45526.645833333299</v>
      </c>
      <c r="B1148" s="7">
        <f ca="1">IFERROR(__xludf.DUMMYFUNCTION("""COMPUTED_VALUE"""),815.65)</f>
        <v>815.65</v>
      </c>
      <c r="C1148" s="6">
        <f t="shared" ca="1" si="8"/>
        <v>3.3829499323410062E-3</v>
      </c>
      <c r="D1148" s="7">
        <f t="shared" ca="1" si="9"/>
        <v>0.95923496597805435</v>
      </c>
    </row>
    <row r="1149" spans="1:4" ht="12.75" x14ac:dyDescent="0.2">
      <c r="A1149" s="8">
        <f ca="1">IFERROR(__xludf.DUMMYFUNCTION("""COMPUTED_VALUE"""),45527.6458333333)</f>
        <v>45527.645833333299</v>
      </c>
      <c r="B1149" s="7">
        <f ca="1">IFERROR(__xludf.DUMMYFUNCTION("""COMPUTED_VALUE"""),812.53)</f>
        <v>812.53</v>
      </c>
      <c r="C1149" s="6">
        <f t="shared" ca="1" si="8"/>
        <v>-3.8251701097284929E-3</v>
      </c>
      <c r="D1149" s="7">
        <f t="shared" ca="1" si="9"/>
        <v>0.9686780795786003</v>
      </c>
    </row>
    <row r="1150" spans="1:4" ht="12.75" x14ac:dyDescent="0.2">
      <c r="A1150" s="8">
        <f ca="1">IFERROR(__xludf.DUMMYFUNCTION("""COMPUTED_VALUE"""),45530.6458333333)</f>
        <v>45530.645833333299</v>
      </c>
      <c r="B1150" s="7">
        <f ca="1">IFERROR(__xludf.DUMMYFUNCTION("""COMPUTED_VALUE"""),819.98)</f>
        <v>819.98</v>
      </c>
      <c r="C1150" s="6">
        <f t="shared" ca="1" si="8"/>
        <v>9.1688922255179772E-3</v>
      </c>
      <c r="D1150" s="7">
        <f t="shared" ca="1" si="9"/>
        <v>0.96390155857459936</v>
      </c>
    </row>
    <row r="1151" spans="1:4" ht="12.75" x14ac:dyDescent="0.2">
      <c r="A1151" s="8">
        <f ca="1">IFERROR(__xludf.DUMMYFUNCTION("""COMPUTED_VALUE"""),45531.6458333333)</f>
        <v>45531.645833333299</v>
      </c>
      <c r="B1151" s="7">
        <f ca="1">IFERROR(__xludf.DUMMYFUNCTION("""COMPUTED_VALUE"""),818.88)</f>
        <v>818.88</v>
      </c>
      <c r="C1151" s="6">
        <f t="shared" ca="1" si="8"/>
        <v>-1.3414961340521003E-3</v>
      </c>
      <c r="D1151" s="7">
        <f t="shared" ca="1" si="9"/>
        <v>0.97505128956623688</v>
      </c>
    </row>
    <row r="1152" spans="1:4" ht="12.75" x14ac:dyDescent="0.2">
      <c r="A1152" s="8">
        <f ca="1">IFERROR(__xludf.DUMMYFUNCTION("""COMPUTED_VALUE"""),45532.6458333333)</f>
        <v>45532.645833333299</v>
      </c>
      <c r="B1152" s="7">
        <f ca="1">IFERROR(__xludf.DUMMYFUNCTION("""COMPUTED_VALUE"""),818.55)</f>
        <v>818.55</v>
      </c>
      <c r="C1152" s="6">
        <f t="shared" ca="1" si="8"/>
        <v>-4.0298944900352129E-4</v>
      </c>
      <c r="D1152" s="7">
        <f t="shared" ca="1" si="9"/>
        <v>0.98210249832020036</v>
      </c>
    </row>
    <row r="1153" spans="1:4" ht="12.75" x14ac:dyDescent="0.2">
      <c r="A1153" s="8">
        <f ca="1">IFERROR(__xludf.DUMMYFUNCTION("""COMPUTED_VALUE"""),45533.6458333333)</f>
        <v>45533.645833333299</v>
      </c>
      <c r="B1153" s="7">
        <f ca="1">IFERROR(__xludf.DUMMYFUNCTION("""COMPUTED_VALUE"""),819.28)</f>
        <v>819.28</v>
      </c>
      <c r="C1153" s="6">
        <f t="shared" ca="1" si="8"/>
        <v>8.9182090281592075E-4</v>
      </c>
      <c r="D1153" s="7">
        <f t="shared" ca="1" si="9"/>
        <v>1.0117786348989357</v>
      </c>
    </row>
    <row r="1154" spans="1:4" ht="12.75" x14ac:dyDescent="0.2">
      <c r="A1154" s="8">
        <f ca="1">IFERROR(__xludf.DUMMYFUNCTION("""COMPUTED_VALUE"""),45534.6458333333)</f>
        <v>45534.645833333299</v>
      </c>
      <c r="B1154" s="7">
        <f ca="1">IFERROR(__xludf.DUMMYFUNCTION("""COMPUTED_VALUE"""),818.45)</f>
        <v>818.45</v>
      </c>
      <c r="C1154" s="6">
        <f t="shared" ca="1" si="8"/>
        <v>-1.013084659701069E-3</v>
      </c>
      <c r="D1154" s="7">
        <f t="shared" ca="1" si="9"/>
        <v>1.0198301667786669</v>
      </c>
    </row>
    <row r="1155" spans="1:4" ht="12.75" x14ac:dyDescent="0.2">
      <c r="A1155" s="8">
        <f ca="1">IFERROR(__xludf.DUMMYFUNCTION("""COMPUTED_VALUE"""),45537.6458333333)</f>
        <v>45537.645833333299</v>
      </c>
      <c r="B1155" s="7">
        <f ca="1">IFERROR(__xludf.DUMMYFUNCTION("""COMPUTED_VALUE"""),813.48)</f>
        <v>813.48</v>
      </c>
      <c r="C1155" s="6">
        <f t="shared" ca="1" si="8"/>
        <v>-6.0724540289571749E-3</v>
      </c>
      <c r="D1155" s="7">
        <f t="shared" ca="1" si="9"/>
        <v>1.02384815852879</v>
      </c>
    </row>
    <row r="1156" spans="1:4" ht="12.75" x14ac:dyDescent="0.2">
      <c r="A1156" s="8">
        <f ca="1">IFERROR(__xludf.DUMMYFUNCTION("""COMPUTED_VALUE"""),45538.6458333333)</f>
        <v>45538.645833333299</v>
      </c>
      <c r="B1156" s="7">
        <f ca="1">IFERROR(__xludf.DUMMYFUNCTION("""COMPUTED_VALUE"""),818.68)</f>
        <v>818.68</v>
      </c>
      <c r="C1156" s="6">
        <f t="shared" ca="1" si="8"/>
        <v>6.3922899149333468E-3</v>
      </c>
      <c r="D1156" s="7">
        <f t="shared" ca="1" si="9"/>
        <v>1.0214003029266625</v>
      </c>
    </row>
    <row r="1157" spans="1:4" ht="12.75" x14ac:dyDescent="0.2">
      <c r="A1157" s="8">
        <f ca="1">IFERROR(__xludf.DUMMYFUNCTION("""COMPUTED_VALUE"""),45539.6458333333)</f>
        <v>45539.645833333299</v>
      </c>
      <c r="B1157" s="7">
        <f ca="1">IFERROR(__xludf.DUMMYFUNCTION("""COMPUTED_VALUE"""),820.9)</f>
        <v>820.9</v>
      </c>
      <c r="C1157" s="6">
        <f t="shared" ca="1" si="8"/>
        <v>2.7116822201593838E-3</v>
      </c>
      <c r="D1157" s="7">
        <f t="shared" ca="1" si="9"/>
        <v>1.0423681325374587</v>
      </c>
    </row>
    <row r="1158" spans="1:4" ht="12.75" x14ac:dyDescent="0.2">
      <c r="A1158" s="8">
        <f ca="1">IFERROR(__xludf.DUMMYFUNCTION("""COMPUTED_VALUE"""),45540.6458333333)</f>
        <v>45540.645833333299</v>
      </c>
      <c r="B1158" s="7">
        <f ca="1">IFERROR(__xludf.DUMMYFUNCTION("""COMPUTED_VALUE"""),822.73)</f>
        <v>822.73</v>
      </c>
      <c r="C1158" s="6">
        <f t="shared" ca="1" si="8"/>
        <v>2.2292605676696997E-3</v>
      </c>
      <c r="D1158" s="7">
        <f t="shared" ca="1" si="9"/>
        <v>1.0340573456662574</v>
      </c>
    </row>
    <row r="1159" spans="1:4" ht="12.75" x14ac:dyDescent="0.2">
      <c r="A1159" s="8">
        <f ca="1">IFERROR(__xludf.DUMMYFUNCTION("""COMPUTED_VALUE"""),45541.6458333333)</f>
        <v>45541.645833333299</v>
      </c>
      <c r="B1159" s="7">
        <f ca="1">IFERROR(__xludf.DUMMYFUNCTION("""COMPUTED_VALUE"""),818.48)</f>
        <v>818.48</v>
      </c>
      <c r="C1159" s="6">
        <f t="shared" ca="1" si="8"/>
        <v>-5.1657287323909618E-3</v>
      </c>
      <c r="D1159" s="7">
        <f t="shared" ca="1" si="9"/>
        <v>1.0361645977910272</v>
      </c>
    </row>
    <row r="1160" spans="1:4" ht="12.75" x14ac:dyDescent="0.2">
      <c r="A1160" s="8">
        <f ca="1">IFERROR(__xludf.DUMMYFUNCTION("""COMPUTED_VALUE"""),45544.6458333333)</f>
        <v>45544.645833333299</v>
      </c>
      <c r="B1160" s="7">
        <f ca="1">IFERROR(__xludf.DUMMYFUNCTION("""COMPUTED_VALUE"""),823.25)</f>
        <v>823.25</v>
      </c>
      <c r="C1160" s="6">
        <f t="shared" ca="1" si="8"/>
        <v>5.8278760629459914E-3</v>
      </c>
      <c r="D1160" s="7">
        <f t="shared" ca="1" si="9"/>
        <v>1.0226541147889463</v>
      </c>
    </row>
    <row r="1161" spans="1:4" ht="12.75" x14ac:dyDescent="0.2">
      <c r="A1161" s="8">
        <f ca="1">IFERROR(__xludf.DUMMYFUNCTION("""COMPUTED_VALUE"""),45545.6458333333)</f>
        <v>45545.645833333299</v>
      </c>
      <c r="B1161" s="7">
        <f ca="1">IFERROR(__xludf.DUMMYFUNCTION("""COMPUTED_VALUE"""),825.18)</f>
        <v>825.18</v>
      </c>
      <c r="C1161" s="6">
        <f t="shared" ca="1" si="8"/>
        <v>2.3443668387488348E-3</v>
      </c>
      <c r="D1161" s="7">
        <f t="shared" ca="1" si="9"/>
        <v>1.0332291136479315</v>
      </c>
    </row>
    <row r="1162" spans="1:4" ht="12.75" x14ac:dyDescent="0.2">
      <c r="A1162" s="8">
        <f ca="1">IFERROR(__xludf.DUMMYFUNCTION("""COMPUTED_VALUE"""),45546.6458333333)</f>
        <v>45546.645833333299</v>
      </c>
      <c r="B1162" s="7">
        <f ca="1">IFERROR(__xludf.DUMMYFUNCTION("""COMPUTED_VALUE"""),821.95)</f>
        <v>821.95</v>
      </c>
      <c r="C1162" s="6">
        <f t="shared" ca="1" si="8"/>
        <v>-3.9142974866088753E-3</v>
      </c>
      <c r="D1162" s="7">
        <f t="shared" ca="1" si="9"/>
        <v>1.0527404343329885</v>
      </c>
    </row>
    <row r="1163" spans="1:4" ht="12.75" x14ac:dyDescent="0.2">
      <c r="A1163" s="8">
        <f ca="1">IFERROR(__xludf.DUMMYFUNCTION("""COMPUTED_VALUE"""),45547.6458333333)</f>
        <v>45547.645833333299</v>
      </c>
      <c r="B1163" s="7">
        <f ca="1">IFERROR(__xludf.DUMMYFUNCTION("""COMPUTED_VALUE"""),833.3)</f>
        <v>833.3</v>
      </c>
      <c r="C1163" s="6">
        <f t="shared" ca="1" si="8"/>
        <v>1.3808625828821697E-2</v>
      </c>
      <c r="D1163" s="7">
        <f t="shared" ca="1" si="9"/>
        <v>1.0612384495379816</v>
      </c>
    </row>
    <row r="1164" spans="1:4" ht="12.75" x14ac:dyDescent="0.2">
      <c r="A1164" s="8">
        <f ca="1">IFERROR(__xludf.DUMMYFUNCTION("""COMPUTED_VALUE"""),45548.6458333333)</f>
        <v>45548.645833333299</v>
      </c>
      <c r="B1164" s="7">
        <f ca="1">IFERROR(__xludf.DUMMYFUNCTION("""COMPUTED_VALUE"""),832.98)</f>
        <v>832.98</v>
      </c>
      <c r="C1164" s="6">
        <f t="shared" ca="1" si="8"/>
        <v>-3.8401536061438701E-4</v>
      </c>
      <c r="D1164" s="7">
        <f t="shared" ca="1" si="9"/>
        <v>1.036735575884175</v>
      </c>
    </row>
    <row r="1165" spans="1:4" ht="12.75" x14ac:dyDescent="0.2">
      <c r="A1165" s="8">
        <f ca="1">IFERROR(__xludf.DUMMYFUNCTION("""COMPUTED_VALUE"""),45551.6458333333)</f>
        <v>45551.645833333299</v>
      </c>
      <c r="B1165" s="7">
        <f ca="1">IFERROR(__xludf.DUMMYFUNCTION("""COMPUTED_VALUE"""),835.48)</f>
        <v>835.48</v>
      </c>
      <c r="C1165" s="6">
        <f t="shared" ca="1" si="8"/>
        <v>3.0012725395567319E-3</v>
      </c>
      <c r="D1165" s="7">
        <f t="shared" ca="1" si="9"/>
        <v>0.98631924163355189</v>
      </c>
    </row>
    <row r="1166" spans="1:4" ht="12.75" x14ac:dyDescent="0.2">
      <c r="A1166" s="8">
        <f ca="1">IFERROR(__xludf.DUMMYFUNCTION("""COMPUTED_VALUE"""),45552.6458333333)</f>
        <v>45552.645833333299</v>
      </c>
      <c r="B1166" s="7">
        <f ca="1">IFERROR(__xludf.DUMMYFUNCTION("""COMPUTED_VALUE"""),834.4)</f>
        <v>834.4</v>
      </c>
      <c r="C1166" s="6">
        <f t="shared" ca="1" si="8"/>
        <v>-1.2926700818691739E-3</v>
      </c>
      <c r="D1166" s="7">
        <f t="shared" ca="1" si="9"/>
        <v>0.97996164908916583</v>
      </c>
    </row>
    <row r="1167" spans="1:4" ht="12.75" x14ac:dyDescent="0.2">
      <c r="A1167" s="8">
        <f ca="1">IFERROR(__xludf.DUMMYFUNCTION("""COMPUTED_VALUE"""),45553.6458333333)</f>
        <v>45553.645833333299</v>
      </c>
      <c r="B1167" s="7">
        <f ca="1">IFERROR(__xludf.DUMMYFUNCTION("""COMPUTED_VALUE"""),847.4)</f>
        <v>847.4</v>
      </c>
      <c r="C1167" s="6">
        <f t="shared" ca="1" si="8"/>
        <v>1.5580057526366264E-2</v>
      </c>
      <c r="D1167" s="7">
        <f t="shared" ca="1" si="9"/>
        <v>0.96560066084493745</v>
      </c>
    </row>
    <row r="1168" spans="1:4" ht="12.75" x14ac:dyDescent="0.2">
      <c r="A1168" s="8">
        <f ca="1">IFERROR(__xludf.DUMMYFUNCTION("""COMPUTED_VALUE"""),45554.6458333333)</f>
        <v>45554.645833333299</v>
      </c>
      <c r="B1168" s="7">
        <f ca="1">IFERROR(__xludf.DUMMYFUNCTION("""COMPUTED_VALUE"""),854.25)</f>
        <v>854.25</v>
      </c>
      <c r="C1168" s="6">
        <f t="shared" ca="1" si="8"/>
        <v>8.0835496813782548E-3</v>
      </c>
      <c r="D1168" s="7">
        <f t="shared" ca="1" si="9"/>
        <v>0.95177055896985652</v>
      </c>
    </row>
    <row r="1169" spans="1:4" ht="12.75" x14ac:dyDescent="0.2">
      <c r="A1169" s="8">
        <f ca="1">IFERROR(__xludf.DUMMYFUNCTION("""COMPUTED_VALUE"""),45555.6458333333)</f>
        <v>45555.645833333299</v>
      </c>
      <c r="B1169" s="7">
        <f ca="1">IFERROR(__xludf.DUMMYFUNCTION("""COMPUTED_VALUE"""),870.6)</f>
        <v>870.6</v>
      </c>
      <c r="C1169" s="6">
        <f t="shared" ca="1" si="8"/>
        <v>1.9139596136962256E-2</v>
      </c>
      <c r="D1169" s="7">
        <f t="shared" ca="1" si="9"/>
        <v>0.93148403399954061</v>
      </c>
    </row>
    <row r="1170" spans="1:4" ht="12.75" x14ac:dyDescent="0.2">
      <c r="A1170" s="8">
        <f ca="1">IFERROR(__xludf.DUMMYFUNCTION("""COMPUTED_VALUE"""),45558.6458333333)</f>
        <v>45558.645833333299</v>
      </c>
      <c r="B1170" s="7">
        <f ca="1">IFERROR(__xludf.DUMMYFUNCTION("""COMPUTED_VALUE"""),879.9)</f>
        <v>879.9</v>
      </c>
      <c r="C1170" s="6">
        <f t="shared" ca="1" si="8"/>
        <v>1.0682288077188185E-2</v>
      </c>
      <c r="D1170" s="7">
        <f t="shared" ca="1" si="9"/>
        <v>0.92209341970678493</v>
      </c>
    </row>
    <row r="1171" spans="1:4" ht="12.75" x14ac:dyDescent="0.2">
      <c r="A1171" s="8">
        <f ca="1">IFERROR(__xludf.DUMMYFUNCTION("""COMPUTED_VALUE"""),45559.6458333333)</f>
        <v>45559.645833333299</v>
      </c>
      <c r="B1171" s="7">
        <f ca="1">IFERROR(__xludf.DUMMYFUNCTION("""COMPUTED_VALUE"""),884.03)</f>
        <v>884.03</v>
      </c>
      <c r="C1171" s="6">
        <f t="shared" ca="1" si="8"/>
        <v>4.6937151949084654E-3</v>
      </c>
      <c r="D1171" s="7">
        <f t="shared" ca="1" si="9"/>
        <v>0.91744624051219981</v>
      </c>
    </row>
    <row r="1172" spans="1:4" ht="12.75" x14ac:dyDescent="0.2">
      <c r="A1172" s="8">
        <f ca="1">IFERROR(__xludf.DUMMYFUNCTION("""COMPUTED_VALUE"""),45560.6458333333)</f>
        <v>45560.645833333299</v>
      </c>
      <c r="B1172" s="7">
        <f ca="1">IFERROR(__xludf.DUMMYFUNCTION("""COMPUTED_VALUE"""),889.55)</f>
        <v>889.55</v>
      </c>
      <c r="C1172" s="6">
        <f t="shared" ca="1" si="8"/>
        <v>6.2441319864710021E-3</v>
      </c>
      <c r="D1172" s="7">
        <f t="shared" ca="1" si="9"/>
        <v>0.91043786184025632</v>
      </c>
    </row>
    <row r="1173" spans="1:4" ht="12.75" x14ac:dyDescent="0.2">
      <c r="A1173" s="8">
        <f ca="1">IFERROR(__xludf.DUMMYFUNCTION("""COMPUTED_VALUE"""),45561.6458333333)</f>
        <v>45561.645833333299</v>
      </c>
      <c r="B1173" s="7">
        <f ca="1">IFERROR(__xludf.DUMMYFUNCTION("""COMPUTED_VALUE"""),891.73)</f>
        <v>891.73</v>
      </c>
      <c r="C1173" s="6">
        <f t="shared" ca="1" si="8"/>
        <v>2.4506773087515921E-3</v>
      </c>
      <c r="D1173" s="7">
        <f t="shared" ca="1" si="9"/>
        <v>0.90543101611474319</v>
      </c>
    </row>
    <row r="1174" spans="1:4" ht="12.75" x14ac:dyDescent="0.2">
      <c r="A1174" s="8">
        <f ca="1">IFERROR(__xludf.DUMMYFUNCTION("""COMPUTED_VALUE"""),45562.6458333333)</f>
        <v>45562.645833333299</v>
      </c>
      <c r="B1174" s="7">
        <f ca="1">IFERROR(__xludf.DUMMYFUNCTION("""COMPUTED_VALUE"""),876.33)</f>
        <v>876.33</v>
      </c>
      <c r="C1174" s="6">
        <f t="shared" ca="1" si="8"/>
        <v>-1.7269801397283957E-2</v>
      </c>
      <c r="D1174" s="7">
        <f t="shared" ca="1" si="9"/>
        <v>0.91706320678283293</v>
      </c>
    </row>
    <row r="1175" spans="1:4" ht="12.75" x14ac:dyDescent="0.2">
      <c r="A1175" s="8">
        <f ca="1">IFERROR(__xludf.DUMMYFUNCTION("""COMPUTED_VALUE"""),45565.6458333333)</f>
        <v>45565.645833333299</v>
      </c>
      <c r="B1175" s="7">
        <f ca="1">IFERROR(__xludf.DUMMYFUNCTION("""COMPUTED_VALUE"""),866.03)</f>
        <v>866.03</v>
      </c>
      <c r="C1175" s="6">
        <f t="shared" ca="1" si="8"/>
        <v>-1.1753563155432412E-2</v>
      </c>
      <c r="D1175" s="7">
        <f t="shared" ca="1" si="9"/>
        <v>0.94832742514693491</v>
      </c>
    </row>
    <row r="1176" spans="1:4" ht="12.75" x14ac:dyDescent="0.2">
      <c r="A1176" s="8">
        <f ca="1">IFERROR(__xludf.DUMMYFUNCTION("""COMPUTED_VALUE"""),45566.6458333333)</f>
        <v>45566.645833333299</v>
      </c>
      <c r="B1176" s="7">
        <f ca="1">IFERROR(__xludf.DUMMYFUNCTION("""COMPUTED_VALUE"""),863.1)</f>
        <v>863.1</v>
      </c>
      <c r="C1176" s="6">
        <f t="shared" ca="1" si="8"/>
        <v>-3.3832546216643333E-3</v>
      </c>
      <c r="D1176" s="7">
        <f t="shared" ca="1" si="9"/>
        <v>0.9375506893755069</v>
      </c>
    </row>
    <row r="1177" spans="1:4" ht="12.75" x14ac:dyDescent="0.2">
      <c r="A1177" s="8">
        <f ca="1">IFERROR(__xludf.DUMMYFUNCTION("""COMPUTED_VALUE"""),45568.6458333333)</f>
        <v>45568.645833333299</v>
      </c>
      <c r="B1177" s="7">
        <f ca="1">IFERROR(__xludf.DUMMYFUNCTION("""COMPUTED_VALUE"""),841)</f>
        <v>841</v>
      </c>
      <c r="C1177" s="6">
        <f t="shared" ca="1" si="8"/>
        <v>-2.5605375970339517E-2</v>
      </c>
      <c r="D1177" s="7">
        <f t="shared" ca="1" si="9"/>
        <v>0.95366230677764563</v>
      </c>
    </row>
    <row r="1178" spans="1:4" ht="12.75" x14ac:dyDescent="0.2">
      <c r="A1178" s="8">
        <f ca="1">IFERROR(__xludf.DUMMYFUNCTION("""COMPUTED_VALUE"""),45569.6458333333)</f>
        <v>45569.645833333299</v>
      </c>
      <c r="B1178" s="7">
        <f ca="1">IFERROR(__xludf.DUMMYFUNCTION("""COMPUTED_VALUE"""),828.83)</f>
        <v>828.83</v>
      </c>
      <c r="C1178" s="6">
        <f t="shared" ca="1" si="8"/>
        <v>-1.4470868014268667E-2</v>
      </c>
      <c r="D1178" s="7">
        <f t="shared" ca="1" si="9"/>
        <v>0.97523014369653593</v>
      </c>
    </row>
    <row r="1179" spans="1:4" ht="12.75" x14ac:dyDescent="0.2">
      <c r="A1179" s="8">
        <f ca="1">IFERROR(__xludf.DUMMYFUNCTION("""COMPUTED_VALUE"""),45572.6458333333)</f>
        <v>45572.645833333299</v>
      </c>
      <c r="B1179" s="7">
        <f ca="1">IFERROR(__xludf.DUMMYFUNCTION("""COMPUTED_VALUE"""),808.9)</f>
        <v>808.9</v>
      </c>
      <c r="C1179" s="6">
        <f t="shared" ca="1" si="8"/>
        <v>-2.4045944282904852E-2</v>
      </c>
      <c r="D1179" s="7">
        <f t="shared" ca="1" si="9"/>
        <v>1.0002225244158736</v>
      </c>
    </row>
    <row r="1180" spans="1:4" ht="12.75" x14ac:dyDescent="0.2">
      <c r="A1180" s="8">
        <f ca="1">IFERROR(__xludf.DUMMYFUNCTION("""COMPUTED_VALUE"""),45573.6458333333)</f>
        <v>45573.645833333299</v>
      </c>
      <c r="B1180" s="7">
        <f ca="1">IFERROR(__xludf.DUMMYFUNCTION("""COMPUTED_VALUE"""),825.53)</f>
        <v>825.53</v>
      </c>
      <c r="C1180" s="6">
        <f t="shared" ca="1" si="8"/>
        <v>2.0558783533193292E-2</v>
      </c>
      <c r="D1180" s="7">
        <f t="shared" ca="1" si="9"/>
        <v>0.97213911063195768</v>
      </c>
    </row>
    <row r="1181" spans="1:4" ht="12.75" x14ac:dyDescent="0.2">
      <c r="A1181" s="8">
        <f ca="1">IFERROR(__xludf.DUMMYFUNCTION("""COMPUTED_VALUE"""),45574.6458333333)</f>
        <v>45574.645833333299</v>
      </c>
      <c r="B1181" s="7">
        <f ca="1">IFERROR(__xludf.DUMMYFUNCTION("""COMPUTED_VALUE"""),816.58)</f>
        <v>816.58</v>
      </c>
      <c r="C1181" s="6">
        <f t="shared" ca="1" si="8"/>
        <v>-1.0841519993216364E-2</v>
      </c>
      <c r="D1181" s="7">
        <f t="shared" ca="1" si="9"/>
        <v>0.98922334615102003</v>
      </c>
    </row>
    <row r="1182" spans="1:4" ht="12.75" x14ac:dyDescent="0.2">
      <c r="A1182" s="8">
        <f ca="1">IFERROR(__xludf.DUMMYFUNCTION("""COMPUTED_VALUE"""),45575.6458333333)</f>
        <v>45575.645833333299</v>
      </c>
      <c r="B1182" s="7">
        <f ca="1">IFERROR(__xludf.DUMMYFUNCTION("""COMPUTED_VALUE"""),831.2)</f>
        <v>831.2</v>
      </c>
      <c r="C1182" s="6">
        <f t="shared" ca="1" si="8"/>
        <v>1.7903940826373477E-2</v>
      </c>
      <c r="D1182" s="7">
        <f t="shared" ca="1" si="9"/>
        <v>0.9719441770933589</v>
      </c>
    </row>
    <row r="1183" spans="1:4" ht="12.75" x14ac:dyDescent="0.2">
      <c r="A1183" s="8">
        <f ca="1">IFERROR(__xludf.DUMMYFUNCTION("""COMPUTED_VALUE"""),45576.6458333333)</f>
        <v>45576.645833333299</v>
      </c>
      <c r="B1183" s="7">
        <f ca="1">IFERROR(__xludf.DUMMYFUNCTION("""COMPUTED_VALUE"""),825.5)</f>
        <v>825.5</v>
      </c>
      <c r="C1183" s="6">
        <f t="shared" ca="1" si="8"/>
        <v>-6.8575553416747592E-3</v>
      </c>
      <c r="D1183" s="7">
        <f t="shared" ca="1" si="9"/>
        <v>0.99261053906723196</v>
      </c>
    </row>
    <row r="1184" spans="1:4" ht="12.75" x14ac:dyDescent="0.2">
      <c r="A1184" s="8">
        <f ca="1">IFERROR(__xludf.DUMMYFUNCTION("""COMPUTED_VALUE"""),45579.6458333333)</f>
        <v>45579.645833333299</v>
      </c>
      <c r="B1184" s="7">
        <f ca="1">IFERROR(__xludf.DUMMYFUNCTION("""COMPUTED_VALUE"""),844.05)</f>
        <v>844.05</v>
      </c>
      <c r="C1184" s="6">
        <f t="shared" ca="1" si="8"/>
        <v>2.2471229557843753E-2</v>
      </c>
      <c r="D1184" s="7">
        <f t="shared" ca="1" si="9"/>
        <v>0.98285646584917963</v>
      </c>
    </row>
    <row r="1185" spans="1:4" ht="12.75" x14ac:dyDescent="0.2">
      <c r="A1185" s="8">
        <f ca="1">IFERROR(__xludf.DUMMYFUNCTION("""COMPUTED_VALUE"""),45580.6458333333)</f>
        <v>45580.645833333299</v>
      </c>
      <c r="B1185" s="7">
        <f ca="1">IFERROR(__xludf.DUMMYFUNCTION("""COMPUTED_VALUE"""),842.05)</f>
        <v>842.05</v>
      </c>
      <c r="C1185" s="6">
        <f t="shared" ca="1" si="8"/>
        <v>-2.3695278715716306E-3</v>
      </c>
      <c r="D1185" s="7">
        <f t="shared" ca="1" si="9"/>
        <v>0.95942046196781672</v>
      </c>
    </row>
    <row r="1186" spans="1:4" ht="12.75" x14ac:dyDescent="0.2">
      <c r="A1186" s="8">
        <f ca="1">IFERROR(__xludf.DUMMYFUNCTION("""COMPUTED_VALUE"""),45581.6458333333)</f>
        <v>45581.645833333299</v>
      </c>
      <c r="B1186" s="7">
        <f ca="1">IFERROR(__xludf.DUMMYFUNCTION("""COMPUTED_VALUE"""),849.9)</f>
        <v>849.9</v>
      </c>
      <c r="C1186" s="6">
        <f t="shared" ca="1" si="8"/>
        <v>9.3224867881955831E-3</v>
      </c>
      <c r="D1186" s="7">
        <f t="shared" ca="1" si="9"/>
        <v>0.94199317566772567</v>
      </c>
    </row>
    <row r="1187" spans="1:4" ht="12.75" x14ac:dyDescent="0.2">
      <c r="A1187" s="8">
        <f ca="1">IFERROR(__xludf.DUMMYFUNCTION("""COMPUTED_VALUE"""),45582.6458333333)</f>
        <v>45582.645833333299</v>
      </c>
      <c r="B1187" s="7">
        <f ca="1">IFERROR(__xludf.DUMMYFUNCTION("""COMPUTED_VALUE"""),836.58)</f>
        <v>836.58</v>
      </c>
      <c r="C1187" s="6">
        <f t="shared" ca="1" si="8"/>
        <v>-1.5672432050829466E-2</v>
      </c>
      <c r="D1187" s="7">
        <f t="shared" ca="1" si="9"/>
        <v>0.97031963470319627</v>
      </c>
    </row>
    <row r="1188" spans="1:4" ht="12.75" x14ac:dyDescent="0.2">
      <c r="A1188" s="8">
        <f ca="1">IFERROR(__xludf.DUMMYFUNCTION("""COMPUTED_VALUE"""),45583.6458333333)</f>
        <v>45583.645833333299</v>
      </c>
      <c r="B1188" s="7">
        <f ca="1">IFERROR(__xludf.DUMMYFUNCTION("""COMPUTED_VALUE"""),840.93)</f>
        <v>840.93</v>
      </c>
      <c r="C1188" s="6">
        <f t="shared" ca="1" si="8"/>
        <v>5.1997418059239742E-3</v>
      </c>
      <c r="D1188" s="7">
        <f t="shared" ca="1" si="9"/>
        <v>0.97671625462285816</v>
      </c>
    </row>
    <row r="1189" spans="1:4" ht="12.75" x14ac:dyDescent="0.2">
      <c r="A1189" s="8">
        <f ca="1">IFERROR(__xludf.DUMMYFUNCTION("""COMPUTED_VALUE"""),45586.6458333333)</f>
        <v>45586.645833333299</v>
      </c>
      <c r="B1189" s="7">
        <f ca="1">IFERROR(__xludf.DUMMYFUNCTION("""COMPUTED_VALUE"""),864.35)</f>
        <v>864.35</v>
      </c>
      <c r="C1189" s="6">
        <f t="shared" ca="1" si="8"/>
        <v>2.78501183213824E-2</v>
      </c>
      <c r="D1189" s="7">
        <f t="shared" ca="1" si="9"/>
        <v>0.95459015445132178</v>
      </c>
    </row>
    <row r="1190" spans="1:4" ht="12.75" x14ac:dyDescent="0.2">
      <c r="A1190" s="8">
        <f ca="1">IFERROR(__xludf.DUMMYFUNCTION("""COMPUTED_VALUE"""),45587.6458333333)</f>
        <v>45587.645833333299</v>
      </c>
      <c r="B1190" s="7">
        <f ca="1">IFERROR(__xludf.DUMMYFUNCTION("""COMPUTED_VALUE"""),857.28)</f>
        <v>857.28</v>
      </c>
      <c r="C1190" s="6">
        <f t="shared" ca="1" si="8"/>
        <v>-8.1795568924626361E-3</v>
      </c>
      <c r="D1190" s="7">
        <f t="shared" ca="1" si="9"/>
        <v>0.96823674878686072</v>
      </c>
    </row>
    <row r="1191" spans="1:4" ht="12.75" x14ac:dyDescent="0.2">
      <c r="A1191" s="8">
        <f ca="1">IFERROR(__xludf.DUMMYFUNCTION("""COMPUTED_VALUE"""),45588.6458333333)</f>
        <v>45588.645833333299</v>
      </c>
      <c r="B1191" s="7">
        <f ca="1">IFERROR(__xludf.DUMMYFUNCTION("""COMPUTED_VALUE"""),867.9)</f>
        <v>867.9</v>
      </c>
      <c r="C1191" s="6">
        <f t="shared" ca="1" si="8"/>
        <v>1.2388017917133176E-2</v>
      </c>
      <c r="D1191" s="7">
        <f t="shared" ca="1" si="9"/>
        <v>0.92360871068095407</v>
      </c>
    </row>
    <row r="1192" spans="1:4" ht="12.75" x14ac:dyDescent="0.2">
      <c r="A1192" s="8">
        <f ca="1">IFERROR(__xludf.DUMMYFUNCTION("""COMPUTED_VALUE"""),45589.6458333333)</f>
        <v>45589.645833333299</v>
      </c>
      <c r="B1192" s="7">
        <f ca="1">IFERROR(__xludf.DUMMYFUNCTION("""COMPUTED_VALUE"""),874.83)</f>
        <v>874.83</v>
      </c>
      <c r="C1192" s="6">
        <f t="shared" ca="1" si="8"/>
        <v>7.9847908745247498E-3</v>
      </c>
      <c r="D1192" s="7">
        <f t="shared" ca="1" si="9"/>
        <v>0.9189213904415714</v>
      </c>
    </row>
    <row r="1193" spans="1:4" ht="12.75" x14ac:dyDescent="0.2">
      <c r="A1193" s="8">
        <f ca="1">IFERROR(__xludf.DUMMYFUNCTION("""COMPUTED_VALUE"""),45590.6458333333)</f>
        <v>45590.645833333299</v>
      </c>
      <c r="B1193" s="7">
        <f ca="1">IFERROR(__xludf.DUMMYFUNCTION("""COMPUTED_VALUE"""),871.7)</f>
        <v>871.7</v>
      </c>
      <c r="C1193" s="6">
        <f t="shared" ca="1" si="8"/>
        <v>-3.5778379799503712E-3</v>
      </c>
      <c r="D1193" s="7">
        <f t="shared" ca="1" si="9"/>
        <v>0.93615922909257765</v>
      </c>
    </row>
    <row r="1194" spans="1:4" ht="12.75" x14ac:dyDescent="0.2">
      <c r="A1194" s="8">
        <f ca="1">IFERROR(__xludf.DUMMYFUNCTION("""COMPUTED_VALUE"""),45593.6458333333)</f>
        <v>45593.645833333299</v>
      </c>
      <c r="B1194" s="7">
        <f ca="1">IFERROR(__xludf.DUMMYFUNCTION("""COMPUTED_VALUE"""),867.1)</f>
        <v>867.1</v>
      </c>
      <c r="C1194" s="6">
        <f t="shared" ca="1" si="8"/>
        <v>-5.2770448548813409E-3</v>
      </c>
      <c r="D1194" s="7">
        <f t="shared" ca="1" si="9"/>
        <v>0.94081420828047513</v>
      </c>
    </row>
    <row r="1195" spans="1:4" ht="12.75" x14ac:dyDescent="0.2">
      <c r="A1195" s="8">
        <f ca="1">IFERROR(__xludf.DUMMYFUNCTION("""COMPUTED_VALUE"""),45594.6458333333)</f>
        <v>45594.645833333299</v>
      </c>
      <c r="B1195" s="7">
        <f ca="1">IFERROR(__xludf.DUMMYFUNCTION("""COMPUTED_VALUE"""),875.93)</f>
        <v>875.93</v>
      </c>
      <c r="C1195" s="6">
        <f t="shared" ca="1" si="8"/>
        <v>1.0183369853534741E-2</v>
      </c>
      <c r="D1195" s="7">
        <f t="shared" ca="1" si="9"/>
        <v>0.93483497539757754</v>
      </c>
    </row>
    <row r="1196" spans="1:4" ht="12.75" x14ac:dyDescent="0.2">
      <c r="A1196" s="8">
        <f ca="1">IFERROR(__xludf.DUMMYFUNCTION("""COMPUTED_VALUE"""),45595.6458333333)</f>
        <v>45595.645833333299</v>
      </c>
      <c r="B1196" s="7">
        <f ca="1">IFERROR(__xludf.DUMMYFUNCTION("""COMPUTED_VALUE"""),867.3)</f>
        <v>867.3</v>
      </c>
      <c r="C1196" s="6">
        <f t="shared" ca="1" si="8"/>
        <v>-9.852385464591884E-3</v>
      </c>
      <c r="D1196" s="7">
        <f t="shared" ca="1" si="9"/>
        <v>0.93727660555747727</v>
      </c>
    </row>
    <row r="1197" spans="1:4" ht="12.75" x14ac:dyDescent="0.2">
      <c r="A1197" s="8">
        <f ca="1">IFERROR(__xludf.DUMMYFUNCTION("""COMPUTED_VALUE"""),45596.6458333333)</f>
        <v>45596.645833333299</v>
      </c>
      <c r="B1197" s="7">
        <f ca="1">IFERROR(__xludf.DUMMYFUNCTION("""COMPUTED_VALUE"""),867.85)</f>
        <v>867.85</v>
      </c>
      <c r="C1197" s="6">
        <f t="shared" ca="1" si="8"/>
        <v>6.3415196587124356E-4</v>
      </c>
      <c r="D1197" s="7">
        <f t="shared" ca="1" si="9"/>
        <v>0.93985135680129051</v>
      </c>
    </row>
    <row r="1198" spans="1:4" ht="12.75" x14ac:dyDescent="0.2">
      <c r="A1198" s="8">
        <f ca="1">IFERROR(__xludf.DUMMYFUNCTION("""COMPUTED_VALUE"""),45600.6458333333)</f>
        <v>45600.645833333299</v>
      </c>
      <c r="B1198" s="7">
        <f ca="1">IFERROR(__xludf.DUMMYFUNCTION("""COMPUTED_VALUE"""),857.05)</f>
        <v>857.05</v>
      </c>
      <c r="C1198" s="6">
        <f t="shared" ca="1" si="8"/>
        <v>-1.2444546868698558E-2</v>
      </c>
      <c r="D1198" s="7">
        <f t="shared" ca="1" si="9"/>
        <v>0.94805437255702707</v>
      </c>
    </row>
    <row r="1199" spans="1:4" ht="12.75" x14ac:dyDescent="0.2">
      <c r="A1199" s="8">
        <f ca="1">IFERROR(__xludf.DUMMYFUNCTION("""COMPUTED_VALUE"""),45601.6458333333)</f>
        <v>45601.645833333299</v>
      </c>
      <c r="B1199" s="7">
        <f ca="1">IFERROR(__xludf.DUMMYFUNCTION("""COMPUTED_VALUE"""),878.93)</f>
        <v>878.93</v>
      </c>
      <c r="C1199" s="6">
        <f t="shared" ca="1" si="8"/>
        <v>2.5529432355171799E-2</v>
      </c>
      <c r="D1199" s="7">
        <f t="shared" ca="1" si="9"/>
        <v>0.93292981238551431</v>
      </c>
    </row>
    <row r="1200" spans="1:4" ht="12.75" x14ac:dyDescent="0.2">
      <c r="A1200" s="8">
        <f ca="1">IFERROR(__xludf.DUMMYFUNCTION("""COMPUTED_VALUE"""),45602.6458333333)</f>
        <v>45602.645833333299</v>
      </c>
      <c r="B1200" s="7">
        <f ca="1">IFERROR(__xludf.DUMMYFUNCTION("""COMPUTED_VALUE"""),877.63)</f>
        <v>877.63</v>
      </c>
      <c r="C1200" s="6">
        <f t="shared" ca="1" si="8"/>
        <v>-1.4790711433219084E-3</v>
      </c>
      <c r="D1200" s="7">
        <f t="shared" ca="1" si="9"/>
        <v>0.93305835032986562</v>
      </c>
    </row>
    <row r="1201" spans="1:4" ht="12.75" x14ac:dyDescent="0.2">
      <c r="A1201" s="8">
        <f ca="1">IFERROR(__xludf.DUMMYFUNCTION("""COMPUTED_VALUE"""),45603.6458333333)</f>
        <v>45603.645833333299</v>
      </c>
      <c r="B1201" s="7">
        <f ca="1">IFERROR(__xludf.DUMMYFUNCTION("""COMPUTED_VALUE"""),873.28)</f>
        <v>873.28</v>
      </c>
      <c r="C1201" s="6">
        <f t="shared" ca="1" si="8"/>
        <v>-4.9565306564269829E-3</v>
      </c>
      <c r="D1201" s="7">
        <f t="shared" ca="1" si="9"/>
        <v>0.9373282337852693</v>
      </c>
    </row>
    <row r="1202" spans="1:4" ht="12.75" x14ac:dyDescent="0.2">
      <c r="A1202" s="8">
        <f ca="1">IFERROR(__xludf.DUMMYFUNCTION("""COMPUTED_VALUE"""),45604.6458333333)</f>
        <v>45604.645833333299</v>
      </c>
      <c r="B1202" s="7">
        <f ca="1">IFERROR(__xludf.DUMMYFUNCTION("""COMPUTED_VALUE"""),877.23)</f>
        <v>877.23</v>
      </c>
      <c r="C1202" s="6">
        <f t="shared" ca="1" si="8"/>
        <v>4.5231769879077177E-3</v>
      </c>
      <c r="D1202" s="7">
        <f t="shared" ca="1" si="9"/>
        <v>0.93393978774095732</v>
      </c>
    </row>
    <row r="1203" spans="1:4" ht="12.75" x14ac:dyDescent="0.2">
      <c r="A1203" s="8">
        <f ca="1">IFERROR(__xludf.DUMMYFUNCTION("""COMPUTED_VALUE"""),45607.6458333333)</f>
        <v>45607.645833333299</v>
      </c>
      <c r="B1203" s="7">
        <f ca="1">IFERROR(__xludf.DUMMYFUNCTION("""COMPUTED_VALUE"""),883.15)</f>
        <v>883.15</v>
      </c>
      <c r="C1203" s="6">
        <f t="shared" ca="1" si="8"/>
        <v>6.7485152126580683E-3</v>
      </c>
      <c r="D1203" s="7">
        <f t="shared" ca="1" si="9"/>
        <v>0.92673951197418336</v>
      </c>
    </row>
    <row r="1204" spans="1:4" ht="12.75" x14ac:dyDescent="0.2">
      <c r="A1204" s="8">
        <f ca="1">IFERROR(__xludf.DUMMYFUNCTION("""COMPUTED_VALUE"""),45608.6458333333)</f>
        <v>45608.645833333299</v>
      </c>
      <c r="B1204" s="7">
        <f ca="1">IFERROR(__xludf.DUMMYFUNCTION("""COMPUTED_VALUE"""),859.1)</f>
        <v>859.1</v>
      </c>
      <c r="C1204" s="6">
        <f t="shared" ca="1" si="8"/>
        <v>-2.723206703278036E-2</v>
      </c>
      <c r="D1204" s="7">
        <f t="shared" ca="1" si="9"/>
        <v>0.94689791642416477</v>
      </c>
    </row>
    <row r="1205" spans="1:4" ht="12.75" x14ac:dyDescent="0.2">
      <c r="A1205" s="8">
        <f ca="1">IFERROR(__xludf.DUMMYFUNCTION("""COMPUTED_VALUE"""),45609.6458333333)</f>
        <v>45609.645833333299</v>
      </c>
      <c r="B1205" s="7">
        <f ca="1">IFERROR(__xludf.DUMMYFUNCTION("""COMPUTED_VALUE"""),840.68)</f>
        <v>840.68</v>
      </c>
      <c r="C1205" s="6">
        <f t="shared" ca="1" si="8"/>
        <v>-2.1441042951926503E-2</v>
      </c>
      <c r="D1205" s="7">
        <f t="shared" ca="1" si="9"/>
        <v>0.97383070847409237</v>
      </c>
    </row>
    <row r="1206" spans="1:4" ht="12.75" x14ac:dyDescent="0.2">
      <c r="A1206" s="8">
        <f ca="1">IFERROR(__xludf.DUMMYFUNCTION("""COMPUTED_VALUE"""),45610.6458333333)</f>
        <v>45610.645833333299</v>
      </c>
      <c r="B1206" s="7">
        <f ca="1">IFERROR(__xludf.DUMMYFUNCTION("""COMPUTED_VALUE"""),846.38)</f>
        <v>846.38</v>
      </c>
      <c r="C1206" s="6">
        <f t="shared" ca="1" si="8"/>
        <v>6.7802255317124249E-3</v>
      </c>
      <c r="D1206" s="7">
        <f t="shared" ca="1" si="9"/>
        <v>0.96989531888749736</v>
      </c>
    </row>
    <row r="1207" spans="1:4" ht="12.75" x14ac:dyDescent="0.2">
      <c r="A1207" s="8">
        <f ca="1">IFERROR(__xludf.DUMMYFUNCTION("""COMPUTED_VALUE"""),45614.6458333333)</f>
        <v>45614.645833333299</v>
      </c>
      <c r="B1207" s="7">
        <f ca="1">IFERROR(__xludf.DUMMYFUNCTION("""COMPUTED_VALUE"""),852.55)</f>
        <v>852.55</v>
      </c>
      <c r="C1207" s="6">
        <f t="shared" ca="1" si="8"/>
        <v>7.2898697984355998E-3</v>
      </c>
      <c r="D1207" s="7">
        <f t="shared" ca="1" si="9"/>
        <v>0.965022579320861</v>
      </c>
    </row>
    <row r="1208" spans="1:4" ht="12.75" x14ac:dyDescent="0.2">
      <c r="A1208" s="8">
        <f ca="1">IFERROR(__xludf.DUMMYFUNCTION("""COMPUTED_VALUE"""),45615.6458333333)</f>
        <v>45615.645833333299</v>
      </c>
      <c r="B1208" s="7">
        <f ca="1">IFERROR(__xludf.DUMMYFUNCTION("""COMPUTED_VALUE"""),871.13)</f>
        <v>871.13</v>
      </c>
      <c r="C1208" s="6">
        <f t="shared" ca="1" si="8"/>
        <v>2.1793443199812357E-2</v>
      </c>
      <c r="D1208" s="7">
        <f t="shared" ca="1" si="9"/>
        <v>0.93956125951350544</v>
      </c>
    </row>
    <row r="1209" spans="1:4" ht="12.75" x14ac:dyDescent="0.2">
      <c r="A1209" s="8">
        <f ca="1">IFERROR(__xludf.DUMMYFUNCTION("""COMPUTED_VALUE"""),45617.6458333333)</f>
        <v>45617.645833333299</v>
      </c>
      <c r="B1209" s="7">
        <f ca="1">IFERROR(__xludf.DUMMYFUNCTION("""COMPUTED_VALUE"""),870.6)</f>
        <v>870.6</v>
      </c>
      <c r="C1209" s="6">
        <f t="shared" ca="1" si="8"/>
        <v>-6.0840517488780499E-4</v>
      </c>
      <c r="D1209" s="7">
        <f t="shared" ca="1" si="9"/>
        <v>0.94561222145646673</v>
      </c>
    </row>
    <row r="1210" spans="1:4" ht="12.75" x14ac:dyDescent="0.2">
      <c r="A1210" s="8">
        <f ca="1">IFERROR(__xludf.DUMMYFUNCTION("""COMPUTED_VALUE"""),45618.6458333333)</f>
        <v>45618.645833333299</v>
      </c>
      <c r="B1210" s="7">
        <f ca="1">IFERROR(__xludf.DUMMYFUNCTION("""COMPUTED_VALUE"""),872.8)</f>
        <v>872.8</v>
      </c>
      <c r="C1210" s="6">
        <f t="shared" ca="1" si="8"/>
        <v>2.5269928784745765E-3</v>
      </c>
      <c r="D1210" s="7">
        <f t="shared" ca="1" si="9"/>
        <v>0.94543996333638858</v>
      </c>
    </row>
    <row r="1211" spans="1:4" ht="12.75" x14ac:dyDescent="0.2">
      <c r="A1211" s="8">
        <f ca="1">IFERROR(__xludf.DUMMYFUNCTION("""COMPUTED_VALUE"""),45621.6458333333)</f>
        <v>45621.645833333299</v>
      </c>
      <c r="B1211" s="7">
        <f ca="1">IFERROR(__xludf.DUMMYFUNCTION("""COMPUTED_VALUE"""),892.8)</f>
        <v>892.8</v>
      </c>
      <c r="C1211" s="6">
        <f t="shared" ca="1" si="8"/>
        <v>2.2914757103574601E-2</v>
      </c>
      <c r="D1211" s="7">
        <f t="shared" ca="1" si="9"/>
        <v>0.92064292114695345</v>
      </c>
    </row>
    <row r="1212" spans="1:4" ht="12.75" x14ac:dyDescent="0.2">
      <c r="A1212" s="8">
        <f ca="1">IFERROR(__xludf.DUMMYFUNCTION("""COMPUTED_VALUE"""),45622.6458333333)</f>
        <v>45622.645833333299</v>
      </c>
      <c r="B1212" s="7">
        <f ca="1">IFERROR(__xludf.DUMMYFUNCTION("""COMPUTED_VALUE"""),892.78)</f>
        <v>892.78</v>
      </c>
      <c r="C1212" s="6">
        <f t="shared" ca="1" si="8"/>
        <v>-2.2401433691698891E-5</v>
      </c>
      <c r="D1212" s="7">
        <f t="shared" ca="1" si="9"/>
        <v>0.93337664374201934</v>
      </c>
    </row>
    <row r="1213" spans="1:4" ht="12.75" x14ac:dyDescent="0.2">
      <c r="A1213" s="8">
        <f ca="1">IFERROR(__xludf.DUMMYFUNCTION("""COMPUTED_VALUE"""),45623.6458333333)</f>
        <v>45623.645833333299</v>
      </c>
      <c r="B1213" s="7">
        <f ca="1">IFERROR(__xludf.DUMMYFUNCTION("""COMPUTED_VALUE"""),906.15)</f>
        <v>906.15</v>
      </c>
      <c r="C1213" s="6">
        <f t="shared" ca="1" si="8"/>
        <v>1.4975693899953013E-2</v>
      </c>
      <c r="D1213" s="7">
        <f t="shared" ca="1" si="9"/>
        <v>0.91925177950670423</v>
      </c>
    </row>
    <row r="1214" spans="1:4" ht="12.75" x14ac:dyDescent="0.2">
      <c r="A1214" s="8">
        <f ca="1">IFERROR(__xludf.DUMMYFUNCTION("""COMPUTED_VALUE"""),45624.6458333333)</f>
        <v>45624.645833333299</v>
      </c>
      <c r="B1214" s="7">
        <f ca="1">IFERROR(__xludf.DUMMYFUNCTION("""COMPUTED_VALUE"""),896.58)</f>
        <v>896.58</v>
      </c>
      <c r="C1214" s="6">
        <f t="shared" ca="1" si="8"/>
        <v>-1.0561165369971759E-2</v>
      </c>
      <c r="D1214" s="7">
        <f t="shared" ca="1" si="9"/>
        <v>0.9318521492783689</v>
      </c>
    </row>
    <row r="1215" spans="1:4" ht="12.75" x14ac:dyDescent="0.2">
      <c r="A1215" s="8">
        <f ca="1">IFERROR(__xludf.DUMMYFUNCTION("""COMPUTED_VALUE"""),45625.6458333333)</f>
        <v>45625.645833333299</v>
      </c>
      <c r="B1215" s="7">
        <f ca="1">IFERROR(__xludf.DUMMYFUNCTION("""COMPUTED_VALUE"""),898.03)</f>
        <v>898.03</v>
      </c>
      <c r="C1215" s="6">
        <f t="shared" ca="1" si="8"/>
        <v>1.6172566865197968E-3</v>
      </c>
      <c r="D1215" s="7">
        <f t="shared" ca="1" si="9"/>
        <v>0.92914490607218025</v>
      </c>
    </row>
    <row r="1216" spans="1:4" ht="12.75" x14ac:dyDescent="0.2">
      <c r="A1216" s="8">
        <f ca="1">IFERROR(__xludf.DUMMYFUNCTION("""COMPUTED_VALUE"""),45628.6458333333)</f>
        <v>45628.645833333299</v>
      </c>
      <c r="B1216" s="7">
        <f ca="1">IFERROR(__xludf.DUMMYFUNCTION("""COMPUTED_VALUE"""),902.35)</f>
        <v>902.35</v>
      </c>
      <c r="C1216" s="6">
        <f t="shared" ca="1" si="8"/>
        <v>4.8105297150429216E-3</v>
      </c>
      <c r="D1216" s="7">
        <f t="shared" ca="1" si="9"/>
        <v>0.93910345209730139</v>
      </c>
    </row>
    <row r="1217" spans="1:4" ht="12.75" x14ac:dyDescent="0.2">
      <c r="A1217" s="8">
        <f ca="1">IFERROR(__xludf.DUMMYFUNCTION("""COMPUTED_VALUE"""),45629.6458333333)</f>
        <v>45629.645833333299</v>
      </c>
      <c r="B1217" s="7">
        <f ca="1">IFERROR(__xludf.DUMMYFUNCTION("""COMPUTED_VALUE"""),913.15)</f>
        <v>913.15</v>
      </c>
      <c r="C1217" s="6">
        <f t="shared" ca="1" si="8"/>
        <v>1.1968748268410101E-2</v>
      </c>
      <c r="D1217" s="7">
        <f t="shared" ca="1" si="9"/>
        <v>0.93549800142364348</v>
      </c>
    </row>
    <row r="1218" spans="1:4" ht="12.75" x14ac:dyDescent="0.2">
      <c r="A1218" s="8">
        <f ca="1">IFERROR(__xludf.DUMMYFUNCTION("""COMPUTED_VALUE"""),45630.6458333333)</f>
        <v>45630.645833333299</v>
      </c>
      <c r="B1218" s="7">
        <f ca="1">IFERROR(__xludf.DUMMYFUNCTION("""COMPUTED_VALUE"""),930.05)</f>
        <v>930.05</v>
      </c>
      <c r="C1218" s="6">
        <f t="shared" ca="1" si="8"/>
        <v>1.85073646169851E-2</v>
      </c>
      <c r="D1218" s="7">
        <f t="shared" ca="1" si="9"/>
        <v>0.93607870544594385</v>
      </c>
    </row>
    <row r="1219" spans="1:4" ht="12.75" x14ac:dyDescent="0.2">
      <c r="A1219" s="8">
        <f ca="1">IFERROR(__xludf.DUMMYFUNCTION("""COMPUTED_VALUE"""),45631.6458333333)</f>
        <v>45631.645833333299</v>
      </c>
      <c r="B1219" s="7">
        <f ca="1">IFERROR(__xludf.DUMMYFUNCTION("""COMPUTED_VALUE"""),932.88)</f>
        <v>932.88</v>
      </c>
      <c r="C1219" s="6">
        <f t="shared" ca="1" si="8"/>
        <v>3.0428471587549133E-3</v>
      </c>
      <c r="D1219" s="7">
        <f t="shared" ca="1" si="9"/>
        <v>0.94320812966297918</v>
      </c>
    </row>
    <row r="1220" spans="1:4" ht="12.75" x14ac:dyDescent="0.2">
      <c r="A1220" s="8">
        <f ca="1">IFERROR(__xludf.DUMMYFUNCTION("""COMPUTED_VALUE"""),45632.6458333333)</f>
        <v>45632.645833333299</v>
      </c>
      <c r="B1220" s="7">
        <f ca="1">IFERROR(__xludf.DUMMYFUNCTION("""COMPUTED_VALUE"""),927.93)</f>
        <v>927.93</v>
      </c>
      <c r="C1220" s="6">
        <f t="shared" ca="1" si="8"/>
        <v>-5.3061487007975972E-3</v>
      </c>
      <c r="D1220" s="7">
        <f t="shared" ca="1" si="9"/>
        <v>0.95269039690493895</v>
      </c>
    </row>
    <row r="1221" spans="1:4" ht="12.75" x14ac:dyDescent="0.2">
      <c r="A1221" s="8">
        <f ca="1">IFERROR(__xludf.DUMMYFUNCTION("""COMPUTED_VALUE"""),45635.6458333333)</f>
        <v>45635.645833333299</v>
      </c>
      <c r="B1221" s="7">
        <f ca="1">IFERROR(__xludf.DUMMYFUNCTION("""COMPUTED_VALUE"""),935)</f>
        <v>935</v>
      </c>
      <c r="C1221" s="6">
        <f t="shared" ca="1" si="8"/>
        <v>7.6191092000474914E-3</v>
      </c>
      <c r="D1221" s="7">
        <f t="shared" ca="1" si="9"/>
        <v>0.95139037433155071</v>
      </c>
    </row>
    <row r="1222" spans="1:4" ht="12.75" x14ac:dyDescent="0.2">
      <c r="A1222" s="8">
        <f ca="1">IFERROR(__xludf.DUMMYFUNCTION("""COMPUTED_VALUE"""),45636.6458333333)</f>
        <v>45636.645833333299</v>
      </c>
      <c r="B1222" s="7">
        <f ca="1">IFERROR(__xludf.DUMMYFUNCTION("""COMPUTED_VALUE"""),934.05)</f>
        <v>934.05</v>
      </c>
      <c r="C1222" s="6">
        <f t="shared" ca="1" si="8"/>
        <v>-1.0160427807487382E-3</v>
      </c>
      <c r="D1222" s="7">
        <f t="shared" ca="1" si="9"/>
        <v>0.9546919329800333</v>
      </c>
    </row>
    <row r="1223" spans="1:4" ht="12.75" x14ac:dyDescent="0.2">
      <c r="A1223" s="8">
        <f ca="1">IFERROR(__xludf.DUMMYFUNCTION("""COMPUTED_VALUE"""),45637.6458333333)</f>
        <v>45637.645833333299</v>
      </c>
      <c r="B1223" s="7">
        <f ca="1">IFERROR(__xludf.DUMMYFUNCTION("""COMPUTED_VALUE"""),931.55)</f>
        <v>931.55</v>
      </c>
      <c r="C1223" s="6">
        <f t="shared" ca="1" si="8"/>
        <v>-2.6765162464535974E-3</v>
      </c>
      <c r="D1223" s="7">
        <f t="shared" ca="1" si="9"/>
        <v>0.94072245182759928</v>
      </c>
    </row>
    <row r="1224" spans="1:4" ht="12.75" x14ac:dyDescent="0.2">
      <c r="A1224" s="8">
        <f ca="1">IFERROR(__xludf.DUMMYFUNCTION("""COMPUTED_VALUE"""),45638.6458333333)</f>
        <v>45638.645833333299</v>
      </c>
      <c r="B1224" s="7">
        <f ca="1">IFERROR(__xludf.DUMMYFUNCTION("""COMPUTED_VALUE"""),929.63)</f>
        <v>929.63</v>
      </c>
      <c r="C1224" s="6">
        <f t="shared" ca="1" si="8"/>
        <v>-2.0610809940421193E-3</v>
      </c>
      <c r="D1224" s="7">
        <f t="shared" ca="1" si="9"/>
        <v>0.93158568462721725</v>
      </c>
    </row>
    <row r="1225" spans="1:4" ht="12.75" x14ac:dyDescent="0.2">
      <c r="A1225" s="8">
        <f ca="1">IFERROR(__xludf.DUMMYFUNCTION("""COMPUTED_VALUE"""),45639.6458333333)</f>
        <v>45639.645833333299</v>
      </c>
      <c r="B1225" s="7">
        <f ca="1">IFERROR(__xludf.DUMMYFUNCTION("""COMPUTED_VALUE"""),935.88)</f>
        <v>935.88</v>
      </c>
      <c r="C1225" s="6">
        <f t="shared" ca="1" si="8"/>
        <v>6.7231048911933211E-3</v>
      </c>
      <c r="D1225" s="7">
        <f t="shared" ca="1" si="9"/>
        <v>0.92223361969483275</v>
      </c>
    </row>
    <row r="1226" spans="1:4" ht="12.75" x14ac:dyDescent="0.2">
      <c r="A1226" s="8">
        <f ca="1">IFERROR(__xludf.DUMMYFUNCTION("""COMPUTED_VALUE"""),45642.6458333333)</f>
        <v>45642.645833333299</v>
      </c>
      <c r="B1226" s="7">
        <f ca="1">IFERROR(__xludf.DUMMYFUNCTION("""COMPUTED_VALUE"""),932.6)</f>
        <v>932.6</v>
      </c>
      <c r="C1226" s="6">
        <f t="shared" ca="1" si="8"/>
        <v>-3.5047228277129694E-3</v>
      </c>
      <c r="D1226" s="7">
        <f t="shared" ca="1" si="9"/>
        <v>0.90177996997640997</v>
      </c>
    </row>
    <row r="1227" spans="1:4" ht="12.75" x14ac:dyDescent="0.2">
      <c r="A1227" s="8">
        <f ca="1">IFERROR(__xludf.DUMMYFUNCTION("""COMPUTED_VALUE"""),45643.6458333333)</f>
        <v>45643.645833333299</v>
      </c>
      <c r="B1227" s="7">
        <f ca="1">IFERROR(__xludf.DUMMYFUNCTION("""COMPUTED_VALUE"""),916.63)</f>
        <v>916.63</v>
      </c>
      <c r="C1227" s="6">
        <f t="shared" ca="1" si="8"/>
        <v>-1.7124168989920641E-2</v>
      </c>
      <c r="D1227" s="7">
        <f t="shared" ca="1" si="9"/>
        <v>0.90421435039219755</v>
      </c>
    </row>
    <row r="1228" spans="1:4" ht="12.75" x14ac:dyDescent="0.2">
      <c r="A1228" s="8">
        <f ca="1">IFERROR(__xludf.DUMMYFUNCTION("""COMPUTED_VALUE"""),45644.6458333333)</f>
        <v>45644.645833333299</v>
      </c>
      <c r="B1228" s="7">
        <f ca="1">IFERROR(__xludf.DUMMYFUNCTION("""COMPUTED_VALUE"""),905.35)</f>
        <v>905.35</v>
      </c>
      <c r="C1228" s="6">
        <f t="shared" ca="1" si="8"/>
        <v>-1.2305946783325861E-2</v>
      </c>
      <c r="D1228" s="7">
        <f t="shared" ca="1" si="9"/>
        <v>0.89346661512122383</v>
      </c>
    </row>
    <row r="1229" spans="1:4" ht="12.75" x14ac:dyDescent="0.2">
      <c r="A1229" s="8">
        <f ca="1">IFERROR(__xludf.DUMMYFUNCTION("""COMPUTED_VALUE"""),45645.6458333333)</f>
        <v>45645.645833333299</v>
      </c>
      <c r="B1229" s="7">
        <f ca="1">IFERROR(__xludf.DUMMYFUNCTION("""COMPUTED_VALUE"""),896.75)</f>
        <v>896.75</v>
      </c>
      <c r="C1229" s="6">
        <f t="shared" ca="1" si="8"/>
        <v>-9.4990887502071075E-3</v>
      </c>
      <c r="D1229" s="7">
        <f t="shared" ca="1" si="9"/>
        <v>0.92057987175913014</v>
      </c>
    </row>
    <row r="1230" spans="1:4" ht="12.75" x14ac:dyDescent="0.2">
      <c r="A1230" s="8">
        <f ca="1">IFERROR(__xludf.DUMMYFUNCTION("""COMPUTED_VALUE"""),45646.6458333333)</f>
        <v>45646.645833333299</v>
      </c>
      <c r="B1230" s="7">
        <f ca="1">IFERROR(__xludf.DUMMYFUNCTION("""COMPUTED_VALUE"""),885.75)</f>
        <v>885.75</v>
      </c>
      <c r="C1230" s="6">
        <f t="shared" ca="1" si="8"/>
        <v>-1.2266517981600278E-2</v>
      </c>
      <c r="D1230" s="7">
        <f t="shared" ca="1" si="9"/>
        <v>0.921907987581146</v>
      </c>
    </row>
    <row r="1231" spans="1:4" ht="12.75" x14ac:dyDescent="0.2">
      <c r="A1231" s="8">
        <f ca="1">IFERROR(__xludf.DUMMYFUNCTION("""COMPUTED_VALUE"""),45649.6458333333)</f>
        <v>45649.645833333299</v>
      </c>
      <c r="B1231" s="7">
        <f ca="1">IFERROR(__xludf.DUMMYFUNCTION("""COMPUTED_VALUE"""),900.5)</f>
        <v>900.5</v>
      </c>
      <c r="C1231" s="6">
        <f t="shared" ca="1" si="8"/>
        <v>1.6652554332486691E-2</v>
      </c>
      <c r="D1231" s="7">
        <f t="shared" ca="1" si="9"/>
        <v>0.92304275402554137</v>
      </c>
    </row>
    <row r="1232" spans="1:4" ht="12.75" x14ac:dyDescent="0.2">
      <c r="A1232" s="8">
        <f ca="1">IFERROR(__xludf.DUMMYFUNCTION("""COMPUTED_VALUE"""),45650.6458333333)</f>
        <v>45650.645833333299</v>
      </c>
      <c r="B1232" s="7">
        <f ca="1">IFERROR(__xludf.DUMMYFUNCTION("""COMPUTED_VALUE"""),899.05)</f>
        <v>899.05</v>
      </c>
      <c r="C1232" s="6">
        <f t="shared" ca="1" si="8"/>
        <v>-1.6102165463631746E-3</v>
      </c>
      <c r="D1232" s="7">
        <f t="shared" ca="1" si="9"/>
        <v>0.91819142428118572</v>
      </c>
    </row>
    <row r="1233" spans="1:4" ht="12.75" x14ac:dyDescent="0.2">
      <c r="A1233" s="8">
        <f ca="1">IFERROR(__xludf.DUMMYFUNCTION("""COMPUTED_VALUE"""),45652.6458333333)</f>
        <v>45652.645833333299</v>
      </c>
      <c r="B1233" s="7">
        <f ca="1">IFERROR(__xludf.DUMMYFUNCTION("""COMPUTED_VALUE"""),895.38)</f>
        <v>895.38</v>
      </c>
      <c r="C1233" s="6">
        <f t="shared" ca="1" si="8"/>
        <v>-4.0820866470162587E-3</v>
      </c>
      <c r="D1233" s="7">
        <f t="shared" ca="1" si="9"/>
        <v>0.94267238490920047</v>
      </c>
    </row>
    <row r="1234" spans="1:4" ht="12.75" x14ac:dyDescent="0.2">
      <c r="A1234" s="8">
        <f ca="1">IFERROR(__xludf.DUMMYFUNCTION("""COMPUTED_VALUE"""),45653.6458333333)</f>
        <v>45653.645833333299</v>
      </c>
      <c r="B1234" s="7">
        <f ca="1">IFERROR(__xludf.DUMMYFUNCTION("""COMPUTED_VALUE"""),899.13)</f>
        <v>899.13</v>
      </c>
      <c r="C1234" s="6">
        <f t="shared" ca="1" si="8"/>
        <v>4.1881659183811148E-3</v>
      </c>
      <c r="D1234" s="7">
        <f t="shared" ca="1" si="9"/>
        <v>0.93651641030774191</v>
      </c>
    </row>
    <row r="1235" spans="1:4" ht="12.75" x14ac:dyDescent="0.2">
      <c r="A1235" s="8">
        <f ca="1">IFERROR(__xludf.DUMMYFUNCTION("""COMPUTED_VALUE"""),45656.6458333333)</f>
        <v>45656.645833333299</v>
      </c>
      <c r="B1235" s="7">
        <f ca="1">IFERROR(__xludf.DUMMYFUNCTION("""COMPUTED_VALUE"""),888.95)</f>
        <v>888.95</v>
      </c>
      <c r="C1235" s="6">
        <f t="shared" ca="1" si="8"/>
        <v>-1.1322055765017214E-2</v>
      </c>
      <c r="D1235" s="7">
        <f t="shared" ca="1" si="9"/>
        <v>0.9560717700658079</v>
      </c>
    </row>
    <row r="1236" spans="1:4" ht="12.75" x14ac:dyDescent="0.2">
      <c r="A1236" s="8">
        <f ca="1">IFERROR(__xludf.DUMMYFUNCTION("""COMPUTED_VALUE"""),45657.6458333333)</f>
        <v>45657.645833333299</v>
      </c>
      <c r="B1236" s="7">
        <f ca="1">IFERROR(__xludf.DUMMYFUNCTION("""COMPUTED_VALUE"""),886.43)</f>
        <v>886.43</v>
      </c>
      <c r="C1236" s="6">
        <f t="shared" ca="1" si="8"/>
        <v>-2.8348051071489522E-3</v>
      </c>
      <c r="D1236" s="7">
        <f t="shared" ca="1" si="9"/>
        <v>0.94376318491025812</v>
      </c>
    </row>
    <row r="1237" spans="1:4" ht="12.75" x14ac:dyDescent="0.2">
      <c r="A1237" s="8">
        <f ca="1">IFERROR(__xludf.DUMMYFUNCTION("""COMPUTED_VALUE"""),45658.6458333333)</f>
        <v>45658.645833333299</v>
      </c>
      <c r="B1237" s="7">
        <f ca="1">IFERROR(__xludf.DUMMYFUNCTION("""COMPUTED_VALUE"""),891.38)</f>
        <v>891.38</v>
      </c>
      <c r="C1237" s="6">
        <f t="shared" ca="1" si="8"/>
        <v>5.5841972857417765E-3</v>
      </c>
      <c r="D1237" s="7">
        <f t="shared" ca="1" si="9"/>
        <v>0.94340236487244489</v>
      </c>
    </row>
    <row r="1238" spans="1:4" ht="12.75" x14ac:dyDescent="0.2">
      <c r="A1238" s="8">
        <f ca="1">IFERROR(__xludf.DUMMYFUNCTION("""COMPUTED_VALUE"""),45659.6458333333)</f>
        <v>45659.645833333299</v>
      </c>
      <c r="B1238" s="7">
        <f ca="1">IFERROR(__xludf.DUMMYFUNCTION("""COMPUTED_VALUE"""),896.88)</f>
        <v>896.88</v>
      </c>
      <c r="C1238" s="6">
        <f t="shared" ca="1" si="8"/>
        <v>6.1702079921022168E-3</v>
      </c>
      <c r="D1238" s="7">
        <f t="shared" ca="1" si="9"/>
        <v>0.96372981892783871</v>
      </c>
    </row>
    <row r="1239" spans="1:4" ht="12.75" x14ac:dyDescent="0.2">
      <c r="A1239" s="8">
        <f ca="1">IFERROR(__xludf.DUMMYFUNCTION("""COMPUTED_VALUE"""),45660.6458333333)</f>
        <v>45660.645833333299</v>
      </c>
      <c r="B1239" s="7">
        <f ca="1">IFERROR(__xludf.DUMMYFUNCTION("""COMPUTED_VALUE"""),874.6)</f>
        <v>874.6</v>
      </c>
      <c r="C1239" s="6">
        <f t="shared" ca="1" si="8"/>
        <v>-2.4841673356524763E-2</v>
      </c>
      <c r="D1239" s="7">
        <f t="shared" ca="1" si="9"/>
        <v>0.98019666133089411</v>
      </c>
    </row>
    <row r="1240" spans="1:4" ht="12.75" x14ac:dyDescent="0.2">
      <c r="A1240" s="8">
        <f ca="1">IFERROR(__xludf.DUMMYFUNCTION("""COMPUTED_VALUE"""),45663.6458333333)</f>
        <v>45663.645833333299</v>
      </c>
      <c r="B1240" s="7">
        <f ca="1">IFERROR(__xludf.DUMMYFUNCTION("""COMPUTED_VALUE"""),855.25)</f>
        <v>855.25</v>
      </c>
      <c r="C1240" s="6">
        <f t="shared" ca="1" si="8"/>
        <v>-2.2124399725588884E-2</v>
      </c>
      <c r="D1240" s="7">
        <f t="shared" ca="1" si="9"/>
        <v>1.0147909967845659</v>
      </c>
    </row>
    <row r="1241" spans="1:4" ht="12.75" x14ac:dyDescent="0.2">
      <c r="A1241" s="8">
        <f ca="1">IFERROR(__xludf.DUMMYFUNCTION("""COMPUTED_VALUE"""),45664.6458333333)</f>
        <v>45664.645833333299</v>
      </c>
      <c r="B1241" s="7">
        <f ca="1">IFERROR(__xludf.DUMMYFUNCTION("""COMPUTED_VALUE"""),856.7)</f>
        <v>856.7</v>
      </c>
      <c r="C1241" s="6">
        <f t="shared" ca="1" si="8"/>
        <v>1.6954106986262207E-3</v>
      </c>
      <c r="D1241" s="7">
        <f t="shared" ca="1" si="9"/>
        <v>1.0211626006770165</v>
      </c>
    </row>
    <row r="1242" spans="1:4" ht="12.75" x14ac:dyDescent="0.2">
      <c r="A1242" s="8">
        <f ca="1">IFERROR(__xludf.DUMMYFUNCTION("""COMPUTED_VALUE"""),45665.6458333333)</f>
        <v>45665.645833333299</v>
      </c>
      <c r="B1242" s="7">
        <f ca="1">IFERROR(__xludf.DUMMYFUNCTION("""COMPUTED_VALUE"""),847.15)</f>
        <v>847.15</v>
      </c>
      <c r="C1242" s="6">
        <f t="shared" ca="1" si="8"/>
        <v>-1.1147426170188046E-2</v>
      </c>
      <c r="D1242" s="7">
        <f t="shared" ca="1" si="9"/>
        <v>1.0289795195656024</v>
      </c>
    </row>
    <row r="1243" spans="1:4" ht="12.75" x14ac:dyDescent="0.2">
      <c r="A1243" s="8">
        <f ca="1">IFERROR(__xludf.DUMMYFUNCTION("""COMPUTED_VALUE"""),45666.6458333333)</f>
        <v>45666.645833333299</v>
      </c>
      <c r="B1243" s="7">
        <f ca="1">IFERROR(__xludf.DUMMYFUNCTION("""COMPUTED_VALUE"""),833.9)</f>
        <v>833.9</v>
      </c>
      <c r="C1243" s="6">
        <f t="shared" ca="1" si="8"/>
        <v>-1.564067756595644E-2</v>
      </c>
      <c r="D1243" s="7">
        <f t="shared" ca="1" si="9"/>
        <v>1.0398129272094976</v>
      </c>
    </row>
    <row r="1244" spans="1:4" ht="12.75" x14ac:dyDescent="0.2">
      <c r="A1244" s="8">
        <f ca="1">IFERROR(__xludf.DUMMYFUNCTION("""COMPUTED_VALUE"""),45667.6458333333)</f>
        <v>45667.645833333299</v>
      </c>
      <c r="B1244" s="7">
        <f ca="1">IFERROR(__xludf.DUMMYFUNCTION("""COMPUTED_VALUE"""),828.38)</f>
        <v>828.38</v>
      </c>
      <c r="C1244" s="6">
        <f t="shared" ca="1" si="8"/>
        <v>-6.6194987408562111E-3</v>
      </c>
      <c r="D1244" s="7">
        <f t="shared" ca="1" si="9"/>
        <v>1.0574011926893454</v>
      </c>
    </row>
    <row r="1245" spans="1:4" ht="12.75" x14ac:dyDescent="0.2">
      <c r="A1245" s="8">
        <f ca="1">IFERROR(__xludf.DUMMYFUNCTION("""COMPUTED_VALUE"""),45670.6458333333)</f>
        <v>45670.645833333299</v>
      </c>
      <c r="B1245" s="7">
        <f ca="1">IFERROR(__xludf.DUMMYFUNCTION("""COMPUTED_VALUE"""),815.43)</f>
        <v>815.43</v>
      </c>
      <c r="C1245" s="6">
        <f t="shared" ca="1" si="8"/>
        <v>-1.5632922088896439E-2</v>
      </c>
      <c r="D1245" s="7">
        <f t="shared" ca="1" si="9"/>
        <v>1.06361061035282</v>
      </c>
    </row>
    <row r="1246" spans="1:4" ht="12.75" x14ac:dyDescent="0.2">
      <c r="A1246" s="8">
        <f ca="1">IFERROR(__xludf.DUMMYFUNCTION("""COMPUTED_VALUE"""),45671.6458333333)</f>
        <v>45671.645833333299</v>
      </c>
      <c r="B1246" s="7">
        <f ca="1">IFERROR(__xludf.DUMMYFUNCTION("""COMPUTED_VALUE"""),823.3)</f>
        <v>823.3</v>
      </c>
      <c r="C1246" s="6">
        <f t="shared" ca="1" si="8"/>
        <v>9.6513495946923822E-3</v>
      </c>
      <c r="D1246" s="7">
        <f t="shared" ca="1" si="9"/>
        <v>1.0541115024899794</v>
      </c>
    </row>
    <row r="1247" spans="1:4" ht="12.75" x14ac:dyDescent="0.2">
      <c r="A1247" s="8">
        <f ca="1">IFERROR(__xludf.DUMMYFUNCTION("""COMPUTED_VALUE"""),45672.6458333333)</f>
        <v>45672.645833333299</v>
      </c>
      <c r="B1247" s="7">
        <f ca="1">IFERROR(__xludf.DUMMYFUNCTION("""COMPUTED_VALUE"""),821.53)</f>
        <v>821.53</v>
      </c>
      <c r="C1247" s="6">
        <f t="shared" ca="1" si="8"/>
        <v>-2.149884610712971E-3</v>
      </c>
      <c r="D1247" s="7">
        <f t="shared" ca="1" si="9"/>
        <v>1.0432364003749102</v>
      </c>
    </row>
    <row r="1248" spans="1:4" ht="12.75" x14ac:dyDescent="0.2">
      <c r="A1248" s="8">
        <f ca="1">IFERROR(__xludf.DUMMYFUNCTION("""COMPUTED_VALUE"""),45673.6458333333)</f>
        <v>45673.645833333299</v>
      </c>
      <c r="B1248" s="7">
        <f ca="1">IFERROR(__xludf.DUMMYFUNCTION("""COMPUTED_VALUE"""),826.03)</f>
        <v>826.03</v>
      </c>
      <c r="C1248" s="6">
        <f t="shared" ca="1" si="8"/>
        <v>5.4775845069565676E-3</v>
      </c>
      <c r="D1248" s="7">
        <f t="shared" ca="1" si="9"/>
        <v>1.0640412575814437</v>
      </c>
    </row>
    <row r="1249" spans="1:4" ht="12.75" x14ac:dyDescent="0.2">
      <c r="A1249" s="8">
        <f ca="1">IFERROR(__xludf.DUMMYFUNCTION("""COMPUTED_VALUE"""),45674.6458333333)</f>
        <v>45674.645833333299</v>
      </c>
      <c r="B1249" s="7">
        <f ca="1">IFERROR(__xludf.DUMMYFUNCTION("""COMPUTED_VALUE"""),818.38)</f>
        <v>818.38</v>
      </c>
      <c r="C1249" s="6">
        <f t="shared" ca="1" si="8"/>
        <v>-9.2611648487342935E-3</v>
      </c>
      <c r="D1249" s="7">
        <f t="shared" ca="1" si="9"/>
        <v>1.0723991299885138</v>
      </c>
    </row>
    <row r="1250" spans="1:4" ht="12.75" x14ac:dyDescent="0.2">
      <c r="A1250" s="8">
        <f ca="1">IFERROR(__xludf.DUMMYFUNCTION("""COMPUTED_VALUE"""),45677.6458333333)</f>
        <v>45677.645833333299</v>
      </c>
      <c r="B1250" s="7">
        <f ca="1">IFERROR(__xludf.DUMMYFUNCTION("""COMPUTED_VALUE"""),825.63)</f>
        <v>825.63</v>
      </c>
      <c r="C1250" s="6">
        <f t="shared" ca="1" si="8"/>
        <v>8.858965272856123E-3</v>
      </c>
      <c r="D1250" s="7">
        <f t="shared" ca="1" si="9"/>
        <v>1.0577135036275329</v>
      </c>
    </row>
    <row r="1251" spans="1:4" ht="12.75" x14ac:dyDescent="0.2">
      <c r="A1251" s="8">
        <f ca="1">IFERROR(__xludf.DUMMYFUNCTION("""COMPUTED_VALUE"""),45678.6458333333)</f>
        <v>45678.645833333299</v>
      </c>
      <c r="B1251" s="7">
        <f ca="1">IFERROR(__xludf.DUMMYFUNCTION("""COMPUTED_VALUE"""),821.2)</f>
        <v>821.2</v>
      </c>
      <c r="C1251" s="6">
        <f t="shared" ca="1" si="8"/>
        <v>-5.3655996027275332E-3</v>
      </c>
      <c r="D1251" s="7">
        <f t="shared" ca="1" si="9"/>
        <v>1.0682294203604481</v>
      </c>
    </row>
    <row r="1252" spans="1:4" ht="12.75" x14ac:dyDescent="0.2">
      <c r="A1252" s="8">
        <f ca="1">IFERROR(__xludf.DUMMYFUNCTION("""COMPUTED_VALUE"""),45679.6458333333)</f>
        <v>45679.645833333299</v>
      </c>
      <c r="B1252" s="7">
        <f ca="1">IFERROR(__xludf.DUMMYFUNCTION("""COMPUTED_VALUE"""),833.03)</f>
        <v>833.03</v>
      </c>
      <c r="C1252" s="6">
        <f t="shared" ca="1" si="8"/>
        <v>1.4405747686312642E-2</v>
      </c>
      <c r="D1252" s="7">
        <f t="shared" ca="1" si="9"/>
        <v>1.0601659003877411</v>
      </c>
    </row>
    <row r="1253" spans="1:4" ht="12.75" x14ac:dyDescent="0.2">
      <c r="A1253" s="8">
        <f ca="1">IFERROR(__xludf.DUMMYFUNCTION("""COMPUTED_VALUE"""),45680.6458333333)</f>
        <v>45680.645833333299</v>
      </c>
      <c r="B1253" s="7">
        <f ca="1">IFERROR(__xludf.DUMMYFUNCTION("""COMPUTED_VALUE"""),832.45)</f>
        <v>832.45</v>
      </c>
      <c r="C1253" s="6">
        <f t="shared" ca="1" si="8"/>
        <v>-6.9625343625068226E-4</v>
      </c>
      <c r="D1253" s="7">
        <f t="shared" ca="1" si="9"/>
        <v>1.032013934770857</v>
      </c>
    </row>
    <row r="1254" spans="1:4" ht="12.75" x14ac:dyDescent="0.2">
      <c r="A1254" s="8">
        <f ca="1">IFERROR(__xludf.DUMMYFUNCTION("""COMPUTED_VALUE"""),45681.6458333333)</f>
        <v>45681.645833333299</v>
      </c>
      <c r="B1254" s="7">
        <f ca="1">IFERROR(__xludf.DUMMYFUNCTION("""COMPUTED_VALUE"""),824.9)</f>
        <v>824.9</v>
      </c>
      <c r="C1254" s="6">
        <f t="shared" ca="1" si="8"/>
        <v>-9.0696137906181029E-3</v>
      </c>
      <c r="D1254" s="7">
        <f t="shared" ca="1" si="9"/>
        <v>1.0191295914656322</v>
      </c>
    </row>
    <row r="1255" spans="1:4" ht="12.75" x14ac:dyDescent="0.2">
      <c r="A1255" s="8">
        <f ca="1">IFERROR(__xludf.DUMMYFUNCTION("""COMPUTED_VALUE"""),45684.6458333333)</f>
        <v>45684.645833333299</v>
      </c>
      <c r="B1255" s="7">
        <f ca="1">IFERROR(__xludf.DUMMYFUNCTION("""COMPUTED_VALUE"""),814.9)</f>
        <v>814.9</v>
      </c>
      <c r="C1255" s="6">
        <f t="shared" ca="1" si="8"/>
        <v>-1.212268153715601E-2</v>
      </c>
      <c r="D1255" s="7">
        <f t="shared" ca="1" si="9"/>
        <v>1.0386305068106516</v>
      </c>
    </row>
    <row r="1256" spans="1:4" ht="12.75" x14ac:dyDescent="0.2">
      <c r="A1256" s="8">
        <f ca="1">IFERROR(__xludf.DUMMYFUNCTION("""COMPUTED_VALUE"""),45685.6458333333)</f>
        <v>45685.645833333299</v>
      </c>
      <c r="B1256" s="7">
        <f ca="1">IFERROR(__xludf.DUMMYFUNCTION("""COMPUTED_VALUE"""),835.2)</f>
        <v>835.2</v>
      </c>
      <c r="C1256" s="6">
        <f t="shared" ca="1" si="8"/>
        <v>2.4911032028469782E-2</v>
      </c>
      <c r="D1256" s="7">
        <f t="shared" ca="1" si="9"/>
        <v>1.0207734674329501</v>
      </c>
    </row>
    <row r="1257" spans="1:4" ht="12.75" x14ac:dyDescent="0.2">
      <c r="A1257" s="8">
        <f ca="1">IFERROR(__xludf.DUMMYFUNCTION("""COMPUTED_VALUE"""),45686.6458333333)</f>
        <v>45686.645833333299</v>
      </c>
      <c r="B1257" s="7">
        <f ca="1">IFERROR(__xludf.DUMMYFUNCTION("""COMPUTED_VALUE"""),838.65)</f>
        <v>838.65</v>
      </c>
      <c r="C1257" s="6">
        <f t="shared" ca="1" si="8"/>
        <v>4.1307471264366846E-3</v>
      </c>
      <c r="D1257" s="7">
        <f t="shared" ca="1" si="9"/>
        <v>1.0387289095570262</v>
      </c>
    </row>
    <row r="1258" spans="1:4" ht="12.75" x14ac:dyDescent="0.2">
      <c r="A1258" s="8">
        <f ca="1">IFERROR(__xludf.DUMMYFUNCTION("""COMPUTED_VALUE"""),45687.6458333333)</f>
        <v>45687.645833333299</v>
      </c>
      <c r="B1258" s="7">
        <f ca="1">IFERROR(__xludf.DUMMYFUNCTION("""COMPUTED_VALUE"""),845.75)</f>
        <v>845.75</v>
      </c>
      <c r="C1258" s="6">
        <f t="shared" ca="1" si="8"/>
        <v>8.465987002921338E-3</v>
      </c>
      <c r="D1258" s="7">
        <f t="shared" ca="1" si="9"/>
        <v>1.0293822051433639</v>
      </c>
    </row>
    <row r="1259" spans="1:4" ht="12.75" x14ac:dyDescent="0.2">
      <c r="A1259" s="8">
        <f ca="1">IFERROR(__xludf.DUMMYFUNCTION("""COMPUTED_VALUE"""),45688.6458333333)</f>
        <v>45688.645833333299</v>
      </c>
      <c r="B1259" s="7">
        <f ca="1">IFERROR(__xludf.DUMMYFUNCTION("""COMPUTED_VALUE"""),849.38)</f>
        <v>849.38</v>
      </c>
      <c r="C1259" s="6">
        <f t="shared" ca="1" si="8"/>
        <v>4.2920484776824974E-3</v>
      </c>
      <c r="D1259" s="7">
        <f t="shared" ca="1" si="9"/>
        <v>1.0275730532859262</v>
      </c>
    </row>
    <row r="1260" spans="1:4" ht="12.75" x14ac:dyDescent="0.2">
      <c r="A1260" s="8">
        <f ca="1">IFERROR(__xludf.DUMMYFUNCTION("""COMPUTED_VALUE"""),45691.6458333333)</f>
        <v>45691.645833333299</v>
      </c>
      <c r="B1260" s="7">
        <f ca="1">IFERROR(__xludf.DUMMYFUNCTION("""COMPUTED_VALUE"""),839)</f>
        <v>839</v>
      </c>
      <c r="C1260" s="6">
        <f t="shared" ca="1" si="8"/>
        <v>-1.2220678612635094E-2</v>
      </c>
      <c r="D1260" s="7">
        <f t="shared" ca="1" si="9"/>
        <v>1.0641239570917758</v>
      </c>
    </row>
    <row r="1261" spans="1:4" ht="12.75" x14ac:dyDescent="0.2">
      <c r="A1261" s="8">
        <f ca="1">IFERROR(__xludf.DUMMYFUNCTION("""COMPUTED_VALUE"""),45692.6458333333)</f>
        <v>45692.645833333299</v>
      </c>
      <c r="B1261" s="7">
        <f ca="1">IFERROR(__xludf.DUMMYFUNCTION("""COMPUTED_VALUE"""),860.45)</f>
        <v>860.45</v>
      </c>
      <c r="C1261" s="6">
        <f t="shared" ca="1" si="8"/>
        <v>2.5566150178784275E-2</v>
      </c>
      <c r="D1261" s="7">
        <f t="shared" ca="1" si="9"/>
        <v>1.0375733627752919</v>
      </c>
    </row>
    <row r="1262" spans="1:4" ht="12.75" x14ac:dyDescent="0.2">
      <c r="A1262" s="8">
        <f ca="1">IFERROR(__xludf.DUMMYFUNCTION("""COMPUTED_VALUE"""),45693.6458333333)</f>
        <v>45693.645833333299</v>
      </c>
      <c r="B1262" s="7">
        <f ca="1">IFERROR(__xludf.DUMMYFUNCTION("""COMPUTED_VALUE"""),868.9)</f>
        <v>868.9</v>
      </c>
      <c r="C1262" s="6">
        <f t="shared" ca="1" si="8"/>
        <v>9.820442791562467E-3</v>
      </c>
      <c r="D1262" s="7">
        <f t="shared" ca="1" si="9"/>
        <v>1.0428702957762688</v>
      </c>
    </row>
    <row r="1263" spans="1:4" ht="12.75" x14ac:dyDescent="0.2">
      <c r="A1263" s="8">
        <f ca="1">IFERROR(__xludf.DUMMYFUNCTION("""COMPUTED_VALUE"""),45694.6458333333)</f>
        <v>45694.645833333299</v>
      </c>
      <c r="B1263" s="7">
        <f ca="1">IFERROR(__xludf.DUMMYFUNCTION("""COMPUTED_VALUE"""),871.93)</f>
        <v>871.93</v>
      </c>
      <c r="C1263" s="6">
        <f t="shared" ca="1" si="8"/>
        <v>3.4871676832777254E-3</v>
      </c>
      <c r="D1263" s="7">
        <f t="shared" ca="1" si="9"/>
        <v>1.0282706180542016</v>
      </c>
    </row>
    <row r="1264" spans="1:4" ht="12.75" x14ac:dyDescent="0.2">
      <c r="A1264" s="8">
        <f ca="1">IFERROR(__xludf.DUMMYFUNCTION("""COMPUTED_VALUE"""),45695.6458333333)</f>
        <v>45695.645833333299</v>
      </c>
      <c r="B1264" s="7">
        <f ca="1">IFERROR(__xludf.DUMMYFUNCTION("""COMPUTED_VALUE"""),866.38)</f>
        <v>866.38</v>
      </c>
      <c r="C1264" s="6">
        <f t="shared" ca="1" si="8"/>
        <v>-6.3651898661589712E-3</v>
      </c>
      <c r="D1264" s="7">
        <f t="shared" ca="1" si="9"/>
        <v>1.036531314203929</v>
      </c>
    </row>
    <row r="1265" spans="1:4" ht="12.75" x14ac:dyDescent="0.2">
      <c r="A1265" s="8">
        <f ca="1">IFERROR(__xludf.DUMMYFUNCTION("""COMPUTED_VALUE"""),45698.6458333333)</f>
        <v>45698.645833333299</v>
      </c>
      <c r="B1265" s="7">
        <f ca="1">IFERROR(__xludf.DUMMYFUNCTION("""COMPUTED_VALUE"""),857.88)</f>
        <v>857.88</v>
      </c>
      <c r="C1265" s="6">
        <f t="shared" ca="1" si="8"/>
        <v>-9.8109374639303581E-3</v>
      </c>
      <c r="D1265" s="7">
        <f t="shared" ca="1" si="9"/>
        <v>1.0518370867720428</v>
      </c>
    </row>
    <row r="1266" spans="1:4" ht="12.75" x14ac:dyDescent="0.2">
      <c r="A1266" s="8">
        <f ca="1">IFERROR(__xludf.DUMMYFUNCTION("""COMPUTED_VALUE"""),45699.6458333333)</f>
        <v>45699.645833333299</v>
      </c>
      <c r="B1266" s="7">
        <f ca="1">IFERROR(__xludf.DUMMYFUNCTION("""COMPUTED_VALUE"""),850.7)</f>
        <v>850.7</v>
      </c>
      <c r="C1266" s="6">
        <f t="shared" ca="1" si="8"/>
        <v>-8.3694689233925201E-3</v>
      </c>
      <c r="D1266" s="7">
        <f t="shared" ca="1" si="9"/>
        <v>1.0734101328317855</v>
      </c>
    </row>
    <row r="1267" spans="1:4" ht="12.75" x14ac:dyDescent="0.2">
      <c r="A1267" s="8">
        <f ca="1">IFERROR(__xludf.DUMMYFUNCTION("""COMPUTED_VALUE"""),45700.6458333333)</f>
        <v>45700.645833333299</v>
      </c>
      <c r="B1267" s="7">
        <f ca="1">IFERROR(__xludf.DUMMYFUNCTION("""COMPUTED_VALUE"""),853.4)</f>
        <v>853.4</v>
      </c>
      <c r="C1267" s="6">
        <f t="shared" ca="1" si="8"/>
        <v>3.1738568237920095E-3</v>
      </c>
      <c r="D1267" s="7">
        <f t="shared" ca="1" si="9"/>
        <v>1.0898172017811107</v>
      </c>
    </row>
    <row r="1268" spans="1:4" ht="12.75" x14ac:dyDescent="0.2">
      <c r="A1268" s="8">
        <f ca="1">IFERROR(__xludf.DUMMYFUNCTION("""COMPUTED_VALUE"""),45701.6458333333)</f>
        <v>45701.645833333299</v>
      </c>
      <c r="B1268" s="7">
        <f ca="1">IFERROR(__xludf.DUMMYFUNCTION("""COMPUTED_VALUE"""),848.85)</f>
        <v>848.85</v>
      </c>
      <c r="C1268" s="6">
        <f t="shared" ca="1" si="8"/>
        <v>-5.3316147176001305E-3</v>
      </c>
      <c r="D1268" s="7">
        <f t="shared" ca="1" si="9"/>
        <v>1.0989927549036933</v>
      </c>
    </row>
    <row r="1269" spans="1:4" ht="12.75" x14ac:dyDescent="0.2">
      <c r="A1269" s="8">
        <f ca="1">IFERROR(__xludf.DUMMYFUNCTION("""COMPUTED_VALUE"""),45702.6458333333)</f>
        <v>45702.645833333299</v>
      </c>
      <c r="B1269" s="7">
        <f ca="1">IFERROR(__xludf.DUMMYFUNCTION("""COMPUTED_VALUE"""),847.43)</f>
        <v>847.43</v>
      </c>
      <c r="C1269" s="6">
        <f t="shared" ca="1" si="8"/>
        <v>-1.672851504977424E-3</v>
      </c>
      <c r="D1269" s="7">
        <f t="shared" ca="1" si="9"/>
        <v>1.0949930967749548</v>
      </c>
    </row>
    <row r="1270" spans="1:4" ht="12.75" x14ac:dyDescent="0.2">
      <c r="A1270" s="8">
        <f ca="1">IFERROR(__xludf.DUMMYFUNCTION("""COMPUTED_VALUE"""),45705.6458333333)</f>
        <v>45705.645833333299</v>
      </c>
      <c r="B1270" s="7">
        <f ca="1">IFERROR(__xludf.DUMMYFUNCTION("""COMPUTED_VALUE"""),858.68)</f>
        <v>858.68</v>
      </c>
      <c r="C1270" s="6">
        <f t="shared" ca="1" si="8"/>
        <v>1.3275432779108698E-2</v>
      </c>
      <c r="D1270" s="7">
        <f t="shared" ca="1" si="9"/>
        <v>1.0888806074439839</v>
      </c>
    </row>
    <row r="1271" spans="1:4" ht="12.75" x14ac:dyDescent="0.2">
      <c r="A1271" s="8">
        <f ca="1">IFERROR(__xludf.DUMMYFUNCTION("""COMPUTED_VALUE"""),45706.6458333333)</f>
        <v>45706.645833333299</v>
      </c>
      <c r="B1271" s="7">
        <f ca="1">IFERROR(__xludf.DUMMYFUNCTION("""COMPUTED_VALUE"""),861.53)</f>
        <v>861.53</v>
      </c>
      <c r="C1271" s="6">
        <f t="shared" ca="1" si="8"/>
        <v>3.3190478408720026E-3</v>
      </c>
      <c r="D1271" s="7">
        <f t="shared" ca="1" si="9"/>
        <v>1.0841758267268695</v>
      </c>
    </row>
    <row r="1272" spans="1:4" ht="12.75" x14ac:dyDescent="0.2">
      <c r="A1272" s="8">
        <f ca="1">IFERROR(__xludf.DUMMYFUNCTION("""COMPUTED_VALUE"""),45707.6458333333)</f>
        <v>45707.645833333299</v>
      </c>
      <c r="B1272" s="7">
        <f ca="1">IFERROR(__xludf.DUMMYFUNCTION("""COMPUTED_VALUE"""),863.6)</f>
        <v>863.6</v>
      </c>
      <c r="C1272" s="6">
        <f t="shared" ca="1" si="8"/>
        <v>2.4027021693964201E-3</v>
      </c>
      <c r="D1272" s="7">
        <f t="shared" ca="1" si="9"/>
        <v>1.0786822603056969</v>
      </c>
    </row>
    <row r="1273" spans="1:4" ht="12.75" x14ac:dyDescent="0.2">
      <c r="A1273" s="8">
        <f ca="1">IFERROR(__xludf.DUMMYFUNCTION("""COMPUTED_VALUE"""),45708.6458333333)</f>
        <v>45708.645833333299</v>
      </c>
      <c r="B1273" s="7">
        <f ca="1">IFERROR(__xludf.DUMMYFUNCTION("""COMPUTED_VALUE"""),843.55)</f>
        <v>843.55</v>
      </c>
      <c r="C1273" s="6">
        <f t="shared" ca="1" si="8"/>
        <v>-2.3216767021769447E-2</v>
      </c>
      <c r="D1273" s="7">
        <f t="shared" ca="1" si="9"/>
        <v>1.1020449291683956</v>
      </c>
    </row>
    <row r="1274" spans="1:4" ht="12.75" x14ac:dyDescent="0.2">
      <c r="A1274" s="8">
        <f ca="1">IFERROR(__xludf.DUMMYFUNCTION("""COMPUTED_VALUE"""),45709.6458333333)</f>
        <v>45709.645833333299</v>
      </c>
      <c r="B1274" s="7">
        <f ca="1">IFERROR(__xludf.DUMMYFUNCTION("""COMPUTED_VALUE"""),846.25)</f>
        <v>846.25</v>
      </c>
      <c r="C1274" s="6">
        <f t="shared" ca="1" si="8"/>
        <v>3.2007586983582303E-3</v>
      </c>
      <c r="D1274" s="7">
        <f t="shared" ca="1" si="9"/>
        <v>1.1059143279172821</v>
      </c>
    </row>
    <row r="1275" spans="1:4" ht="12.75" x14ac:dyDescent="0.2">
      <c r="A1275" s="8">
        <f ca="1">IFERROR(__xludf.DUMMYFUNCTION("""COMPUTED_VALUE"""),45712.6458333333)</f>
        <v>45712.645833333299</v>
      </c>
      <c r="B1275" s="7">
        <f ca="1">IFERROR(__xludf.DUMMYFUNCTION("""COMPUTED_VALUE"""),838.55)</f>
        <v>838.55</v>
      </c>
      <c r="C1275" s="6">
        <f t="shared" ca="1" si="8"/>
        <v>-9.0989660265879957E-3</v>
      </c>
      <c r="D1275" s="7">
        <f t="shared" ca="1" si="9"/>
        <v>1.1121578915985928</v>
      </c>
    </row>
    <row r="1276" spans="1:4" ht="12.75" x14ac:dyDescent="0.2">
      <c r="A1276" s="8">
        <f ca="1">IFERROR(__xludf.DUMMYFUNCTION("""COMPUTED_VALUE"""),45713.6458333333)</f>
        <v>45713.645833333299</v>
      </c>
      <c r="B1276" s="7">
        <f ca="1">IFERROR(__xludf.DUMMYFUNCTION("""COMPUTED_VALUE"""),841.18)</f>
        <v>841.18</v>
      </c>
      <c r="C1276" s="6">
        <f t="shared" ca="1" si="8"/>
        <v>3.1363663466699165E-3</v>
      </c>
      <c r="D1276" s="7">
        <f t="shared" ca="1" si="9"/>
        <v>1.0896954278513518</v>
      </c>
    </row>
    <row r="1277" spans="1:4" ht="12.75" x14ac:dyDescent="0.2">
      <c r="A1277" s="8">
        <f ca="1">IFERROR(__xludf.DUMMYFUNCTION("""COMPUTED_VALUE"""),45715.6458333333)</f>
        <v>45715.645833333299</v>
      </c>
      <c r="B1277" s="7">
        <f ca="1">IFERROR(__xludf.DUMMYFUNCTION("""COMPUTED_VALUE"""),850.35)</f>
        <v>850.35</v>
      </c>
      <c r="C1277" s="6">
        <f t="shared" ca="1" si="8"/>
        <v>1.0901352861456548E-2</v>
      </c>
      <c r="D1277" s="7">
        <f t="shared" ca="1" si="9"/>
        <v>1.0646792497207032</v>
      </c>
    </row>
    <row r="1278" spans="1:4" ht="12.75" x14ac:dyDescent="0.2">
      <c r="A1278" s="8">
        <f ca="1">IFERROR(__xludf.DUMMYFUNCTION("""COMPUTED_VALUE"""),45716.6458333333)</f>
        <v>45716.645833333299</v>
      </c>
      <c r="B1278" s="7">
        <f ca="1">IFERROR(__xludf.DUMMYFUNCTION("""COMPUTED_VALUE"""),866.2)</f>
        <v>866.2</v>
      </c>
      <c r="C1278" s="6">
        <f t="shared" ref="C1278:C1484" ca="1" si="10">(B1278/B1277)-1</f>
        <v>1.8639383783148222E-2</v>
      </c>
      <c r="D1278" s="7">
        <f t="shared" ca="1" si="9"/>
        <v>1.0352689909951511</v>
      </c>
    </row>
    <row r="1279" spans="1:4" ht="12.75" x14ac:dyDescent="0.2">
      <c r="A1279" s="8">
        <f ca="1">IFERROR(__xludf.DUMMYFUNCTION("""COMPUTED_VALUE"""),45719.6458333333)</f>
        <v>45719.645833333299</v>
      </c>
      <c r="B1279" s="7">
        <f ca="1">IFERROR(__xludf.DUMMYFUNCTION("""COMPUTED_VALUE"""),850.78)</f>
        <v>850.78</v>
      </c>
      <c r="C1279" s="6">
        <f t="shared" ca="1" si="10"/>
        <v>-1.7801893327176299E-2</v>
      </c>
      <c r="D1279" s="7">
        <f t="shared" ca="1" si="9"/>
        <v>1.0411034580032441</v>
      </c>
    </row>
    <row r="1280" spans="1:4" ht="12.75" x14ac:dyDescent="0.2">
      <c r="A1280" s="8">
        <f ca="1">IFERROR(__xludf.DUMMYFUNCTION("""COMPUTED_VALUE"""),45720.6458333333)</f>
        <v>45720.645833333299</v>
      </c>
      <c r="B1280" s="7">
        <f ca="1">IFERROR(__xludf.DUMMYFUNCTION("""COMPUTED_VALUE"""),855)</f>
        <v>855</v>
      </c>
      <c r="C1280" s="6">
        <f t="shared" ca="1" si="10"/>
        <v>4.9601542114294794E-3</v>
      </c>
      <c r="D1280" s="7">
        <f t="shared" ca="1" si="9"/>
        <v>1.0532163742690059</v>
      </c>
    </row>
    <row r="1281" spans="1:4" ht="12.75" x14ac:dyDescent="0.2">
      <c r="A1281" s="8">
        <f ca="1">IFERROR(__xludf.DUMMYFUNCTION("""COMPUTED_VALUE"""),45721.6458333333)</f>
        <v>45721.645833333299</v>
      </c>
      <c r="B1281" s="7">
        <f ca="1">IFERROR(__xludf.DUMMYFUNCTION("""COMPUTED_VALUE"""),845)</f>
        <v>845</v>
      </c>
      <c r="C1281" s="6">
        <f t="shared" ca="1" si="10"/>
        <v>-1.1695906432748537E-2</v>
      </c>
      <c r="D1281" s="7">
        <f t="shared" ca="1" si="9"/>
        <v>1.0639644970414202</v>
      </c>
    </row>
    <row r="1282" spans="1:4" ht="12.75" x14ac:dyDescent="0.2">
      <c r="A1282" s="8">
        <f ca="1">IFERROR(__xludf.DUMMYFUNCTION("""COMPUTED_VALUE"""),45722.6458333333)</f>
        <v>45722.645833333299</v>
      </c>
      <c r="B1282" s="7">
        <f ca="1">IFERROR(__xludf.DUMMYFUNCTION("""COMPUTED_VALUE"""),845.6)</f>
        <v>845.6</v>
      </c>
      <c r="C1282" s="6">
        <f t="shared" ca="1" si="10"/>
        <v>7.1005917159761012E-4</v>
      </c>
      <c r="D1282" s="7">
        <f t="shared" ca="1" si="9"/>
        <v>1.0588694418164617</v>
      </c>
    </row>
    <row r="1283" spans="1:4" ht="12.75" x14ac:dyDescent="0.2">
      <c r="A1283" s="8">
        <f ca="1">IFERROR(__xludf.DUMMYFUNCTION("""COMPUTED_VALUE"""),45723.6458333333)</f>
        <v>45723.645833333299</v>
      </c>
      <c r="B1283" s="7">
        <f ca="1">IFERROR(__xludf.DUMMYFUNCTION("""COMPUTED_VALUE"""),844.63)</f>
        <v>844.63</v>
      </c>
      <c r="C1283" s="6">
        <f t="shared" ca="1" si="10"/>
        <v>-1.1471144749291007E-3</v>
      </c>
      <c r="D1283" s="7">
        <f t="shared" ca="1" si="9"/>
        <v>1.0645252950996293</v>
      </c>
    </row>
    <row r="1284" spans="1:4" ht="12.75" x14ac:dyDescent="0.2">
      <c r="A1284" s="8">
        <f ca="1">IFERROR(__xludf.DUMMYFUNCTION("""COMPUTED_VALUE"""),45726.6458333333)</f>
        <v>45726.645833333299</v>
      </c>
      <c r="B1284" s="7">
        <f ca="1">IFERROR(__xludf.DUMMYFUNCTION("""COMPUTED_VALUE"""),843.75)</f>
        <v>843.75</v>
      </c>
      <c r="C1284" s="6">
        <f t="shared" ca="1" si="10"/>
        <v>-1.041876324544444E-3</v>
      </c>
      <c r="D1284" s="7">
        <f t="shared" ca="1" si="9"/>
        <v>1.0535703703703705</v>
      </c>
    </row>
    <row r="1285" spans="1:4" ht="12.75" x14ac:dyDescent="0.2">
      <c r="A1285" s="8">
        <f ca="1">IFERROR(__xludf.DUMMYFUNCTION("""COMPUTED_VALUE"""),45727.6458333333)</f>
        <v>45727.645833333299</v>
      </c>
      <c r="B1285" s="7">
        <f ca="1">IFERROR(__xludf.DUMMYFUNCTION("""COMPUTED_VALUE"""),842.75)</f>
        <v>842.75</v>
      </c>
      <c r="C1285" s="6">
        <f t="shared" ca="1" si="10"/>
        <v>-1.185185185185178E-3</v>
      </c>
      <c r="D1285" s="7">
        <f t="shared" ca="1" si="9"/>
        <v>1.0518303174132304</v>
      </c>
    </row>
    <row r="1286" spans="1:4" ht="12.75" x14ac:dyDescent="0.2">
      <c r="A1286" s="8">
        <f ca="1">IFERROR(__xludf.DUMMYFUNCTION("""COMPUTED_VALUE"""),45728.6458333333)</f>
        <v>45728.645833333299</v>
      </c>
      <c r="B1286" s="7">
        <f ca="1">IFERROR(__xludf.DUMMYFUNCTION("""COMPUTED_VALUE"""),855.58)</f>
        <v>855.58</v>
      </c>
      <c r="C1286" s="6">
        <f t="shared" ca="1" si="10"/>
        <v>1.5223969148620675E-2</v>
      </c>
      <c r="D1286" s="7">
        <f t="shared" ca="1" si="9"/>
        <v>1.0418429603310035</v>
      </c>
    </row>
    <row r="1287" spans="1:4" ht="12.75" x14ac:dyDescent="0.2">
      <c r="A1287" s="8">
        <f ca="1">IFERROR(__xludf.DUMMYFUNCTION("""COMPUTED_VALUE"""),45729.6458333333)</f>
        <v>45729.645833333299</v>
      </c>
      <c r="B1287" s="7">
        <f ca="1">IFERROR(__xludf.DUMMYFUNCTION("""COMPUTED_VALUE"""),853.3)</f>
        <v>853.3</v>
      </c>
      <c r="C1287" s="6">
        <f t="shared" ca="1" si="10"/>
        <v>-2.6648589261086819E-3</v>
      </c>
      <c r="D1287" s="7">
        <f t="shared" ca="1" si="9"/>
        <v>1.0510723075120123</v>
      </c>
    </row>
    <row r="1288" spans="1:4" ht="12.75" x14ac:dyDescent="0.2">
      <c r="A1288" s="8">
        <f ca="1">IFERROR(__xludf.DUMMYFUNCTION("""COMPUTED_VALUE"""),45733.6458333333)</f>
        <v>45733.645833333299</v>
      </c>
      <c r="B1288" s="7">
        <f ca="1">IFERROR(__xludf.DUMMYFUNCTION("""COMPUTED_VALUE"""),855.2)</f>
        <v>855.2</v>
      </c>
      <c r="C1288" s="6">
        <f t="shared" ca="1" si="10"/>
        <v>2.2266494784952684E-3</v>
      </c>
      <c r="D1288" s="7">
        <f t="shared" ca="1" si="9"/>
        <v>1.0226847521047708</v>
      </c>
    </row>
    <row r="1289" spans="1:4" ht="12.75" x14ac:dyDescent="0.2">
      <c r="A1289" s="8">
        <f ca="1">IFERROR(__xludf.DUMMYFUNCTION("""COMPUTED_VALUE"""),45734.6458333333)</f>
        <v>45734.645833333299</v>
      </c>
      <c r="B1289" s="7">
        <f ca="1">IFERROR(__xludf.DUMMYFUNCTION("""COMPUTED_VALUE"""),866.1)</f>
        <v>866.1</v>
      </c>
      <c r="C1289" s="6">
        <f t="shared" ca="1" si="10"/>
        <v>1.2745556594948582E-2</v>
      </c>
      <c r="D1289" s="7">
        <f t="shared" ca="1" si="9"/>
        <v>0.98747257822422352</v>
      </c>
    </row>
    <row r="1290" spans="1:4" ht="12.75" x14ac:dyDescent="0.2">
      <c r="A1290" s="8">
        <f ca="1">IFERROR(__xludf.DUMMYFUNCTION("""COMPUTED_VALUE"""),45735.6458333333)</f>
        <v>45735.645833333299</v>
      </c>
      <c r="B1290" s="7">
        <f ca="1">IFERROR(__xludf.DUMMYFUNCTION("""COMPUTED_VALUE"""),872.05)</f>
        <v>872.05</v>
      </c>
      <c r="C1290" s="6">
        <f t="shared" ca="1" si="10"/>
        <v>6.8698764576837767E-3</v>
      </c>
      <c r="D1290" s="7">
        <f t="shared" ca="1" si="9"/>
        <v>0.98239779829138252</v>
      </c>
    </row>
    <row r="1291" spans="1:4" ht="12.75" x14ac:dyDescent="0.2">
      <c r="A1291" s="8">
        <f ca="1">IFERROR(__xludf.DUMMYFUNCTION("""COMPUTED_VALUE"""),45736.6458333333)</f>
        <v>45736.645833333299</v>
      </c>
      <c r="B1291" s="7">
        <f ca="1">IFERROR(__xludf.DUMMYFUNCTION("""COMPUTED_VALUE"""),884.38)</f>
        <v>884.38</v>
      </c>
      <c r="C1291" s="6">
        <f t="shared" ca="1" si="10"/>
        <v>1.4139097528811373E-2</v>
      </c>
      <c r="D1291" s="7">
        <f t="shared" ca="1" si="9"/>
        <v>0.95790271150410455</v>
      </c>
    </row>
    <row r="1292" spans="1:4" ht="12.75" x14ac:dyDescent="0.2">
      <c r="A1292" s="8">
        <f ca="1">IFERROR(__xludf.DUMMYFUNCTION("""COMPUTED_VALUE"""),45737.6458333333)</f>
        <v>45737.645833333299</v>
      </c>
      <c r="B1292" s="7">
        <f ca="1">IFERROR(__xludf.DUMMYFUNCTION("""COMPUTED_VALUE"""),885.18)</f>
        <v>885.18</v>
      </c>
      <c r="C1292" s="6">
        <f t="shared" ca="1" si="10"/>
        <v>9.0458852529451406E-4</v>
      </c>
      <c r="D1292" s="7">
        <f t="shared" ca="1" si="9"/>
        <v>0.94206827989787389</v>
      </c>
    </row>
    <row r="1293" spans="1:4" ht="12.75" x14ac:dyDescent="0.2">
      <c r="A1293" s="8">
        <f ca="1">IFERROR(__xludf.DUMMYFUNCTION("""COMPUTED_VALUE"""),45740.6458333333)</f>
        <v>45740.645833333299</v>
      </c>
      <c r="B1293" s="7">
        <f ca="1">IFERROR(__xludf.DUMMYFUNCTION("""COMPUTED_VALUE"""),900)</f>
        <v>900</v>
      </c>
      <c r="C1293" s="6">
        <f t="shared" ca="1" si="10"/>
        <v>1.6742357486613013E-2</v>
      </c>
      <c r="D1293" s="7">
        <f t="shared" ca="1" si="9"/>
        <v>0.92042222222222225</v>
      </c>
    </row>
    <row r="1294" spans="1:4" ht="12.75" x14ac:dyDescent="0.2">
      <c r="A1294" s="8">
        <f ca="1">IFERROR(__xludf.DUMMYFUNCTION("""COMPUTED_VALUE"""),45741.6458333333)</f>
        <v>45741.645833333299</v>
      </c>
      <c r="B1294" s="7">
        <f ca="1">IFERROR(__xludf.DUMMYFUNCTION("""COMPUTED_VALUE"""),910.73)</f>
        <v>910.73</v>
      </c>
      <c r="C1294" s="6">
        <f t="shared" ca="1" si="10"/>
        <v>1.1922222222222167E-2</v>
      </c>
      <c r="D1294" s="7">
        <f t="shared" ca="1" si="9"/>
        <v>0.89535866832101718</v>
      </c>
    </row>
    <row r="1295" spans="1:4" ht="12.75" x14ac:dyDescent="0.2">
      <c r="A1295" s="8">
        <f ca="1">IFERROR(__xludf.DUMMYFUNCTION("""COMPUTED_VALUE"""),45742.6458333333)</f>
        <v>45742.645833333299</v>
      </c>
      <c r="B1295" s="7">
        <f ca="1">IFERROR(__xludf.DUMMYFUNCTION("""COMPUTED_VALUE"""),903.28)</f>
        <v>903.28</v>
      </c>
      <c r="C1295" s="6">
        <f t="shared" ca="1" si="10"/>
        <v>-8.180251007433692E-3</v>
      </c>
      <c r="D1295" s="7">
        <f t="shared" ca="1" si="9"/>
        <v>0.91145602692409877</v>
      </c>
    </row>
    <row r="1296" spans="1:4" ht="12.75" x14ac:dyDescent="0.2">
      <c r="A1296" s="8">
        <f ca="1">IFERROR(__xludf.DUMMYFUNCTION("""COMPUTED_VALUE"""),45743.6458333333)</f>
        <v>45743.645833333299</v>
      </c>
      <c r="B1296" s="7">
        <f ca="1">IFERROR(__xludf.DUMMYFUNCTION("""COMPUTED_VALUE"""),912.68)</f>
        <v>912.68</v>
      </c>
      <c r="C1296" s="6">
        <f t="shared" ca="1" si="10"/>
        <v>1.0406518466034909E-2</v>
      </c>
      <c r="D1296" s="7">
        <f t="shared" ca="1" si="9"/>
        <v>0.90012928956479821</v>
      </c>
    </row>
    <row r="1297" spans="1:4" ht="12.75" x14ac:dyDescent="0.2">
      <c r="A1297" s="8">
        <f ca="1">IFERROR(__xludf.DUMMYFUNCTION("""COMPUTED_VALUE"""),45744.6458333333)</f>
        <v>45744.645833333299</v>
      </c>
      <c r="B1297" s="7">
        <f ca="1">IFERROR(__xludf.DUMMYFUNCTION("""COMPUTED_VALUE"""),914.1)</f>
        <v>914.1</v>
      </c>
      <c r="C1297" s="6">
        <f t="shared" ca="1" si="10"/>
        <v>1.5558574746901144E-3</v>
      </c>
      <c r="D1297" s="7">
        <f t="shared" ca="1" si="9"/>
        <v>0.90365386719177332</v>
      </c>
    </row>
    <row r="1298" spans="1:4" ht="12.75" x14ac:dyDescent="0.2">
      <c r="A1298" s="8">
        <f ca="1">IFERROR(__xludf.DUMMYFUNCTION("""COMPUTED_VALUE"""),45748.6458333333)</f>
        <v>45748.645833333299</v>
      </c>
      <c r="B1298" s="7">
        <f ca="1">IFERROR(__xludf.DUMMYFUNCTION("""COMPUTED_VALUE"""),883.93)</f>
        <v>883.93</v>
      </c>
      <c r="C1298" s="6">
        <f t="shared" ca="1" si="10"/>
        <v>-3.3005141669401716E-2</v>
      </c>
      <c r="D1298" s="7">
        <f t="shared" ca="1" si="9"/>
        <v>0.92584254409285804</v>
      </c>
    </row>
    <row r="1299" spans="1:4" ht="12.75" x14ac:dyDescent="0.2">
      <c r="A1299" s="8">
        <f ca="1">IFERROR(__xludf.DUMMYFUNCTION("""COMPUTED_VALUE"""),45749.6458333333)</f>
        <v>45749.645833333299</v>
      </c>
      <c r="B1299" s="7">
        <f ca="1">IFERROR(__xludf.DUMMYFUNCTION("""COMPUTED_VALUE"""),898.45)</f>
        <v>898.45</v>
      </c>
      <c r="C1299" s="6">
        <f t="shared" ca="1" si="10"/>
        <v>1.6426640118561542E-2</v>
      </c>
      <c r="D1299" s="7">
        <f t="shared" ca="1" si="9"/>
        <v>0.9189493015749346</v>
      </c>
    </row>
    <row r="1300" spans="1:4" ht="12.75" x14ac:dyDescent="0.2">
      <c r="A1300" s="8">
        <f ca="1">IFERROR(__xludf.DUMMYFUNCTION("""COMPUTED_VALUE"""),45750.6458333333)</f>
        <v>45750.645833333299</v>
      </c>
      <c r="B1300" s="7">
        <f ca="1">IFERROR(__xludf.DUMMYFUNCTION("""COMPUTED_VALUE"""),897.43)</f>
        <v>897.43</v>
      </c>
      <c r="C1300" s="6">
        <f t="shared" ca="1" si="10"/>
        <v>-1.1352885525072187E-3</v>
      </c>
      <c r="D1300" s="7">
        <f t="shared" ca="1" si="9"/>
        <v>0.9150574418060462</v>
      </c>
    </row>
    <row r="1301" spans="1:4" ht="12.75" x14ac:dyDescent="0.2">
      <c r="A1301" s="8">
        <f ca="1">IFERROR(__xludf.DUMMYFUNCTION("""COMPUTED_VALUE"""),45751.6458333333)</f>
        <v>45751.645833333299</v>
      </c>
      <c r="B1301" s="7">
        <f ca="1">IFERROR(__xludf.DUMMYFUNCTION("""COMPUTED_VALUE"""),908.65)</f>
        <v>908.65</v>
      </c>
      <c r="C1301" s="6">
        <f t="shared" ca="1" si="10"/>
        <v>1.2502367872703202E-2</v>
      </c>
      <c r="D1301" s="7">
        <f t="shared" ca="1" si="9"/>
        <v>0.91677763715401972</v>
      </c>
    </row>
    <row r="1302" spans="1:4" ht="12.75" x14ac:dyDescent="0.2">
      <c r="A1302" s="8">
        <f ca="1">IFERROR(__xludf.DUMMYFUNCTION("""COMPUTED_VALUE"""),45754.6458333333)</f>
        <v>45754.645833333299</v>
      </c>
      <c r="B1302" s="7">
        <f ca="1">IFERROR(__xludf.DUMMYFUNCTION("""COMPUTED_VALUE"""),878.85)</f>
        <v>878.85</v>
      </c>
      <c r="C1302" s="6">
        <f t="shared" ca="1" si="10"/>
        <v>-3.2795906014416953E-2</v>
      </c>
      <c r="D1302" s="7">
        <f t="shared" ca="1" si="9"/>
        <v>0.94720373214996878</v>
      </c>
    </row>
    <row r="1303" spans="1:4" ht="12.75" x14ac:dyDescent="0.2">
      <c r="A1303" s="8">
        <f ca="1">IFERROR(__xludf.DUMMYFUNCTION("""COMPUTED_VALUE"""),45755.6458333333)</f>
        <v>45755.645833333299</v>
      </c>
      <c r="B1303" s="7">
        <f ca="1">IFERROR(__xludf.DUMMYFUNCTION("""COMPUTED_VALUE"""),884.58)</f>
        <v>884.58</v>
      </c>
      <c r="C1303" s="6">
        <f t="shared" ca="1" si="10"/>
        <v>6.5198839392388575E-3</v>
      </c>
      <c r="D1303" s="7">
        <f t="shared" ca="1" si="9"/>
        <v>0.93253295349205267</v>
      </c>
    </row>
    <row r="1304" spans="1:4" ht="12.75" x14ac:dyDescent="0.2">
      <c r="A1304" s="8">
        <f ca="1">IFERROR(__xludf.DUMMYFUNCTION("""COMPUTED_VALUE"""),45756.6458333333)</f>
        <v>45756.645833333299</v>
      </c>
      <c r="B1304" s="7">
        <f ca="1">IFERROR(__xludf.DUMMYFUNCTION("""COMPUTED_VALUE"""),882.5)</f>
        <v>882.5</v>
      </c>
      <c r="C1304" s="6">
        <f t="shared" ca="1" si="10"/>
        <v>-2.3513984037623059E-3</v>
      </c>
      <c r="D1304" s="7">
        <f t="shared" ca="1" si="9"/>
        <v>0.92339943342776198</v>
      </c>
    </row>
    <row r="1305" spans="1:4" ht="12.75" x14ac:dyDescent="0.2">
      <c r="A1305" s="8">
        <f ca="1">IFERROR(__xludf.DUMMYFUNCTION("""COMPUTED_VALUE"""),45758.6458333333)</f>
        <v>45758.645833333299</v>
      </c>
      <c r="B1305" s="7">
        <f ca="1">IFERROR(__xludf.DUMMYFUNCTION("""COMPUTED_VALUE"""),903.38)</f>
        <v>903.38</v>
      </c>
      <c r="C1305" s="6">
        <f t="shared" ca="1" si="10"/>
        <v>2.3660056657223816E-2</v>
      </c>
      <c r="D1305" s="7">
        <f t="shared" ca="1" si="9"/>
        <v>0.92452788416834564</v>
      </c>
    </row>
    <row r="1306" spans="1:4" ht="12.75" x14ac:dyDescent="0.2">
      <c r="A1306" s="8">
        <f ca="1">IFERROR(__xludf.DUMMYFUNCTION("""COMPUTED_VALUE"""),45762.6458333333)</f>
        <v>45762.645833333299</v>
      </c>
      <c r="B1306" s="7">
        <f ca="1">IFERROR(__xludf.DUMMYFUNCTION("""COMPUTED_VALUE"""),932.45)</f>
        <v>932.45</v>
      </c>
      <c r="C1306" s="6">
        <f t="shared" ca="1" si="10"/>
        <v>3.2179149416635466E-2</v>
      </c>
      <c r="D1306" s="7">
        <f t="shared" ca="1" si="9"/>
        <v>0.89940479382272498</v>
      </c>
    </row>
    <row r="1307" spans="1:4" ht="12.75" x14ac:dyDescent="0.2">
      <c r="A1307" s="8">
        <f ca="1">IFERROR(__xludf.DUMMYFUNCTION("""COMPUTED_VALUE"""),45763.6458333333)</f>
        <v>45763.645833333299</v>
      </c>
      <c r="B1307" s="7">
        <f ca="1">IFERROR(__xludf.DUMMYFUNCTION("""COMPUTED_VALUE"""),939)</f>
        <v>939</v>
      </c>
      <c r="C1307" s="6">
        <f t="shared" ca="1" si="10"/>
        <v>7.0245053354067721E-3</v>
      </c>
      <c r="D1307" s="7">
        <f t="shared" ca="1" si="9"/>
        <v>0.90069222577209795</v>
      </c>
    </row>
    <row r="1308" spans="1:4" ht="12.75" x14ac:dyDescent="0.2">
      <c r="A1308" s="8">
        <f ca="1">IFERROR(__xludf.DUMMYFUNCTION("""COMPUTED_VALUE"""),45764.6458333333)</f>
        <v>45764.645833333299</v>
      </c>
      <c r="B1308" s="7">
        <f ca="1">IFERROR(__xludf.DUMMYFUNCTION("""COMPUTED_VALUE"""),953.35)</f>
        <v>953.35</v>
      </c>
      <c r="C1308" s="6">
        <f t="shared" ca="1" si="10"/>
        <v>1.5282215122470744E-2</v>
      </c>
      <c r="D1308" s="7">
        <f t="shared" ca="1" si="9"/>
        <v>0.8909424660408034</v>
      </c>
    </row>
    <row r="1309" spans="1:4" ht="12.75" x14ac:dyDescent="0.2">
      <c r="A1309" s="8">
        <f ca="1">IFERROR(__xludf.DUMMYFUNCTION("""COMPUTED_VALUE"""),45768.6458333333)</f>
        <v>45768.645833333299</v>
      </c>
      <c r="B1309" s="7">
        <f ca="1">IFERROR(__xludf.DUMMYFUNCTION("""COMPUTED_VALUE"""),963.55)</f>
        <v>963.55</v>
      </c>
      <c r="C1309" s="6">
        <f t="shared" ca="1" si="10"/>
        <v>1.0699113651859271E-2</v>
      </c>
      <c r="D1309" s="7">
        <f t="shared" ca="1" si="9"/>
        <v>0.87073841523532769</v>
      </c>
    </row>
    <row r="1310" spans="1:4" ht="12.75" x14ac:dyDescent="0.2">
      <c r="A1310" s="8">
        <f ca="1">IFERROR(__xludf.DUMMYFUNCTION("""COMPUTED_VALUE"""),45769.6458333333)</f>
        <v>45769.645833333299</v>
      </c>
      <c r="B1310" s="7">
        <f ca="1">IFERROR(__xludf.DUMMYFUNCTION("""COMPUTED_VALUE"""),980.85)</f>
        <v>980.85</v>
      </c>
      <c r="C1310" s="6">
        <f t="shared" ca="1" si="10"/>
        <v>1.7954439312957371E-2</v>
      </c>
      <c r="D1310" s="7">
        <f t="shared" ca="1" si="9"/>
        <v>0.87724932456542792</v>
      </c>
    </row>
    <row r="1311" spans="1:4" ht="12.75" x14ac:dyDescent="0.2">
      <c r="A1311" s="8">
        <f ca="1">IFERROR(__xludf.DUMMYFUNCTION("""COMPUTED_VALUE"""),45770.6458333333)</f>
        <v>45770.645833333299</v>
      </c>
      <c r="B1311" s="7">
        <f ca="1">IFERROR(__xludf.DUMMYFUNCTION("""COMPUTED_VALUE"""),961.95)</f>
        <v>961.95</v>
      </c>
      <c r="C1311" s="6">
        <f t="shared" ca="1" si="10"/>
        <v>-1.9269001376357231E-2</v>
      </c>
      <c r="D1311" s="7">
        <f t="shared" ca="1" si="9"/>
        <v>0.90326940069650186</v>
      </c>
    </row>
    <row r="1312" spans="1:4" ht="12.75" x14ac:dyDescent="0.2">
      <c r="A1312" s="8">
        <f ca="1">IFERROR(__xludf.DUMMYFUNCTION("""COMPUTED_VALUE"""),45771.6458333333)</f>
        <v>45771.645833333299</v>
      </c>
      <c r="B1312" s="7">
        <f ca="1">IFERROR(__xludf.DUMMYFUNCTION("""COMPUTED_VALUE"""),958.4)</f>
        <v>958.4</v>
      </c>
      <c r="C1312" s="6">
        <f t="shared" ca="1" si="10"/>
        <v>-3.6904205000261037E-3</v>
      </c>
      <c r="D1312" s="7">
        <f t="shared" ca="1" si="9"/>
        <v>0.90977671118530878</v>
      </c>
    </row>
    <row r="1313" spans="1:4" ht="12.75" x14ac:dyDescent="0.2">
      <c r="A1313" s="8">
        <f ca="1">IFERROR(__xludf.DUMMYFUNCTION("""COMPUTED_VALUE"""),45772.6458333333)</f>
        <v>45772.645833333299</v>
      </c>
      <c r="B1313" s="7">
        <f ca="1">IFERROR(__xludf.DUMMYFUNCTION("""COMPUTED_VALUE"""),955.6)</f>
        <v>955.6</v>
      </c>
      <c r="C1313" s="6">
        <f t="shared" ca="1" si="10"/>
        <v>-2.9215358931552471E-3</v>
      </c>
      <c r="D1313" s="7">
        <f t="shared" ca="1" si="9"/>
        <v>0.90663457513604018</v>
      </c>
    </row>
    <row r="1314" spans="1:4" ht="12.75" x14ac:dyDescent="0.2">
      <c r="A1314" s="8">
        <f ca="1">IFERROR(__xludf.DUMMYFUNCTION("""COMPUTED_VALUE"""),45775.6458333333)</f>
        <v>45775.645833333299</v>
      </c>
      <c r="B1314" s="7">
        <f ca="1">IFERROR(__xludf.DUMMYFUNCTION("""COMPUTED_VALUE"""),960.1)</f>
        <v>960.1</v>
      </c>
      <c r="C1314" s="6">
        <f t="shared" ca="1" si="10"/>
        <v>4.709083298451322E-3</v>
      </c>
      <c r="D1314" s="7">
        <f t="shared" ca="1" si="9"/>
        <v>0.89353192375794188</v>
      </c>
    </row>
    <row r="1315" spans="1:4" ht="12.75" x14ac:dyDescent="0.2">
      <c r="A1315" s="8">
        <f ca="1">IFERROR(__xludf.DUMMYFUNCTION("""COMPUTED_VALUE"""),45776.6458333333)</f>
        <v>45776.645833333299</v>
      </c>
      <c r="B1315" s="7">
        <f ca="1">IFERROR(__xludf.DUMMYFUNCTION("""COMPUTED_VALUE"""),954.4)</f>
        <v>954.4</v>
      </c>
      <c r="C1315" s="6">
        <f t="shared" ca="1" si="10"/>
        <v>-5.9368815748359616E-3</v>
      </c>
      <c r="D1315" s="7">
        <f t="shared" ca="1" si="9"/>
        <v>0.8913453478625315</v>
      </c>
    </row>
    <row r="1316" spans="1:4" ht="12.75" x14ac:dyDescent="0.2">
      <c r="A1316" s="8">
        <f ca="1">IFERROR(__xludf.DUMMYFUNCTION("""COMPUTED_VALUE"""),45777.6458333333)</f>
        <v>45777.645833333299</v>
      </c>
      <c r="B1316" s="7">
        <f ca="1">IFERROR(__xludf.DUMMYFUNCTION("""COMPUTED_VALUE"""),962.5)</f>
        <v>962.5</v>
      </c>
      <c r="C1316" s="6">
        <f t="shared" ca="1" si="10"/>
        <v>8.4870075440066639E-3</v>
      </c>
      <c r="D1316" s="7">
        <f t="shared" ca="1" si="9"/>
        <v>0.88664935064935058</v>
      </c>
    </row>
    <row r="1317" spans="1:4" ht="12.75" x14ac:dyDescent="0.2">
      <c r="A1317" s="8">
        <f ca="1">IFERROR(__xludf.DUMMYFUNCTION("""COMPUTED_VALUE"""),45779.6458333333)</f>
        <v>45779.645833333299</v>
      </c>
      <c r="B1317" s="7">
        <f ca="1">IFERROR(__xludf.DUMMYFUNCTION("""COMPUTED_VALUE"""),962.5)</f>
        <v>962.5</v>
      </c>
      <c r="C1317" s="6">
        <f t="shared" ca="1" si="10"/>
        <v>0</v>
      </c>
      <c r="D1317" s="7">
        <f t="shared" ca="1" si="9"/>
        <v>0.881922077922078</v>
      </c>
    </row>
    <row r="1318" spans="1:4" ht="12.75" x14ac:dyDescent="0.2">
      <c r="A1318" s="8">
        <f ca="1">IFERROR(__xludf.DUMMYFUNCTION("""COMPUTED_VALUE"""),45782.6458333333)</f>
        <v>45782.645833333299</v>
      </c>
      <c r="B1318" s="7">
        <f ca="1">IFERROR(__xludf.DUMMYFUNCTION("""COMPUTED_VALUE"""),968.4)</f>
        <v>968.4</v>
      </c>
      <c r="C1318" s="6">
        <f t="shared" ca="1" si="10"/>
        <v>6.1298701298702074E-3</v>
      </c>
      <c r="D1318" s="7">
        <f t="shared" ca="1" si="9"/>
        <v>0.87508261049153235</v>
      </c>
    </row>
    <row r="1319" spans="1:4" ht="12.75" x14ac:dyDescent="0.2">
      <c r="A1319" s="8">
        <f ca="1">IFERROR(__xludf.DUMMYFUNCTION("""COMPUTED_VALUE"""),45783.6458333333)</f>
        <v>45783.645833333299</v>
      </c>
      <c r="B1319" s="7">
        <f ca="1">IFERROR(__xludf.DUMMYFUNCTION("""COMPUTED_VALUE"""),965.85)</f>
        <v>965.85</v>
      </c>
      <c r="C1319" s="6">
        <f t="shared" ca="1" si="10"/>
        <v>-2.6332094175960385E-3</v>
      </c>
      <c r="D1319" s="7">
        <f t="shared" ca="1" si="9"/>
        <v>0.88904074131593924</v>
      </c>
    </row>
    <row r="1320" spans="1:4" ht="12.75" x14ac:dyDescent="0.2">
      <c r="A1320" s="8">
        <f ca="1">IFERROR(__xludf.DUMMYFUNCTION("""COMPUTED_VALUE"""),45784.6458333333)</f>
        <v>45784.645833333299</v>
      </c>
      <c r="B1320" s="7">
        <f ca="1">IFERROR(__xludf.DUMMYFUNCTION("""COMPUTED_VALUE"""),972.8)</f>
        <v>972.8</v>
      </c>
      <c r="C1320" s="6">
        <f t="shared" ca="1" si="10"/>
        <v>7.1957343272763818E-3</v>
      </c>
      <c r="D1320" s="7">
        <f t="shared" ca="1" si="9"/>
        <v>0.88561883223684212</v>
      </c>
    </row>
    <row r="1321" spans="1:4" ht="12.75" x14ac:dyDescent="0.2">
      <c r="A1321" s="8">
        <f ca="1">IFERROR(__xludf.DUMMYFUNCTION("""COMPUTED_VALUE"""),45785.6458333333)</f>
        <v>45785.645833333299</v>
      </c>
      <c r="B1321" s="7">
        <f ca="1">IFERROR(__xludf.DUMMYFUNCTION("""COMPUTED_VALUE"""),964.25)</f>
        <v>964.25</v>
      </c>
      <c r="C1321" s="6">
        <f t="shared" ca="1" si="10"/>
        <v>-8.7890625E-3</v>
      </c>
      <c r="D1321" s="7">
        <f t="shared" ca="1" si="9"/>
        <v>0.89561835623541619</v>
      </c>
    </row>
    <row r="1322" spans="1:4" ht="12.75" x14ac:dyDescent="0.2">
      <c r="A1322" s="8">
        <f ca="1">IFERROR(__xludf.DUMMYFUNCTION("""COMPUTED_VALUE"""),45786.6458333333)</f>
        <v>45786.645833333299</v>
      </c>
      <c r="B1322" s="7">
        <f ca="1">IFERROR(__xludf.DUMMYFUNCTION("""COMPUTED_VALUE"""),944.85)</f>
        <v>944.85</v>
      </c>
      <c r="C1322" s="6">
        <f t="shared" ca="1" si="10"/>
        <v>-2.0119263676432464E-2</v>
      </c>
      <c r="D1322" s="7">
        <f t="shared" ca="1" si="9"/>
        <v>0.89278721490183621</v>
      </c>
    </row>
    <row r="1323" spans="1:4" ht="12.75" x14ac:dyDescent="0.2">
      <c r="A1323" s="8">
        <f ca="1">IFERROR(__xludf.DUMMYFUNCTION("""COMPUTED_VALUE"""),45789.6458333333)</f>
        <v>45789.645833333299</v>
      </c>
      <c r="B1323" s="7">
        <f ca="1">IFERROR(__xludf.DUMMYFUNCTION("""COMPUTED_VALUE"""),978.6)</f>
        <v>978.6</v>
      </c>
      <c r="C1323" s="6">
        <f t="shared" ca="1" si="10"/>
        <v>3.5719955548499716E-2</v>
      </c>
      <c r="D1323" s="7">
        <f t="shared" ca="1" si="9"/>
        <v>0.86475577355405675</v>
      </c>
    </row>
    <row r="1324" spans="1:4" ht="12.75" x14ac:dyDescent="0.2">
      <c r="A1324" s="8">
        <f ca="1">IFERROR(__xludf.DUMMYFUNCTION("""COMPUTED_VALUE"""),45790.6458333333)</f>
        <v>45790.645833333299</v>
      </c>
      <c r="B1324" s="7">
        <f ca="1">IFERROR(__xludf.DUMMYFUNCTION("""COMPUTED_VALUE"""),961.3)</f>
        <v>961.3</v>
      </c>
      <c r="C1324" s="6">
        <f t="shared" ca="1" si="10"/>
        <v>-1.7678315961577873E-2</v>
      </c>
      <c r="D1324" s="7">
        <f t="shared" ca="1" si="9"/>
        <v>0.87230833246645167</v>
      </c>
    </row>
    <row r="1325" spans="1:4" ht="12.75" x14ac:dyDescent="0.2">
      <c r="A1325" s="8">
        <f ca="1">IFERROR(__xludf.DUMMYFUNCTION("""COMPUTED_VALUE"""),45791.6458333333)</f>
        <v>45791.645833333299</v>
      </c>
      <c r="B1325" s="7">
        <f ca="1">IFERROR(__xludf.DUMMYFUNCTION("""COMPUTED_VALUE"""),955.3)</f>
        <v>955.3</v>
      </c>
      <c r="C1325" s="6">
        <f t="shared" ca="1" si="10"/>
        <v>-6.2415479038802069E-3</v>
      </c>
      <c r="D1325" s="7">
        <f t="shared" ca="1" si="9"/>
        <v>0.8805401444572386</v>
      </c>
    </row>
    <row r="1326" spans="1:4" ht="12.75" x14ac:dyDescent="0.2">
      <c r="A1326" s="8">
        <f ca="1">IFERROR(__xludf.DUMMYFUNCTION("""COMPUTED_VALUE"""),45792.6458333333)</f>
        <v>45792.645833333299</v>
      </c>
      <c r="B1326" s="7">
        <f ca="1">IFERROR(__xludf.DUMMYFUNCTION("""COMPUTED_VALUE"""),966.9)</f>
        <v>966.9</v>
      </c>
      <c r="C1326" s="6">
        <f t="shared" ca="1" si="10"/>
        <v>1.2142782372029703E-2</v>
      </c>
      <c r="D1326" s="7">
        <f t="shared" ref="D1326:D1484" ca="1" si="11">AVERAGE(B1277/B1326)</f>
        <v>0.87946013031337267</v>
      </c>
    </row>
    <row r="1327" spans="1:4" ht="12.75" x14ac:dyDescent="0.2">
      <c r="A1327" s="8">
        <f ca="1">IFERROR(__xludf.DUMMYFUNCTION("""COMPUTED_VALUE"""),45793.6458333333)</f>
        <v>45793.645833333299</v>
      </c>
      <c r="B1327" s="7">
        <f ca="1">IFERROR(__xludf.DUMMYFUNCTION("""COMPUTED_VALUE"""),967.35)</f>
        <v>967.35</v>
      </c>
      <c r="C1327" s="6">
        <f t="shared" ca="1" si="10"/>
        <v>4.6540490226498754E-4</v>
      </c>
      <c r="D1327" s="7">
        <f t="shared" ca="1" si="11"/>
        <v>0.89543598490722076</v>
      </c>
    </row>
    <row r="1328" spans="1:4" ht="12.75" x14ac:dyDescent="0.2">
      <c r="A1328" s="8">
        <f ca="1">IFERROR(__xludf.DUMMYFUNCTION("""COMPUTED_VALUE"""),45796.6458333333)</f>
        <v>45796.645833333299</v>
      </c>
      <c r="B1328" s="7">
        <f ca="1">IFERROR(__xludf.DUMMYFUNCTION("""COMPUTED_VALUE"""),969.35)</f>
        <v>969.35</v>
      </c>
      <c r="C1328" s="6">
        <f t="shared" ca="1" si="10"/>
        <v>2.0675040057889227E-3</v>
      </c>
      <c r="D1328" s="7">
        <f t="shared" ca="1" si="11"/>
        <v>0.87768092020426058</v>
      </c>
    </row>
    <row r="1329" spans="1:4" ht="12.75" x14ac:dyDescent="0.2">
      <c r="A1329" s="8">
        <f ca="1">IFERROR(__xludf.DUMMYFUNCTION("""COMPUTED_VALUE"""),45797.6458333333)</f>
        <v>45797.645833333299</v>
      </c>
      <c r="B1329" s="7">
        <f ca="1">IFERROR(__xludf.DUMMYFUNCTION("""COMPUTED_VALUE"""),957.45)</f>
        <v>957.45</v>
      </c>
      <c r="C1329" s="6">
        <f t="shared" ca="1" si="10"/>
        <v>-1.227626760200129E-2</v>
      </c>
      <c r="D1329" s="7">
        <f t="shared" ca="1" si="11"/>
        <v>0.89299702334325548</v>
      </c>
    </row>
    <row r="1330" spans="1:4" ht="12.75" x14ac:dyDescent="0.2">
      <c r="A1330" s="8">
        <f ca="1">IFERROR(__xludf.DUMMYFUNCTION("""COMPUTED_VALUE"""),45798.6458333333)</f>
        <v>45798.645833333299</v>
      </c>
      <c r="B1330" s="7">
        <f ca="1">IFERROR(__xludf.DUMMYFUNCTION("""COMPUTED_VALUE"""),963.4)</f>
        <v>963.4</v>
      </c>
      <c r="C1330" s="6">
        <f t="shared" ca="1" si="10"/>
        <v>6.2144237296986038E-3</v>
      </c>
      <c r="D1330" s="7">
        <f t="shared" ca="1" si="11"/>
        <v>0.87710193066223796</v>
      </c>
    </row>
    <row r="1331" spans="1:4" ht="12.75" x14ac:dyDescent="0.2">
      <c r="A1331" s="8">
        <f ca="1">IFERROR(__xludf.DUMMYFUNCTION("""COMPUTED_VALUE"""),45799.6458333333)</f>
        <v>45799.645833333299</v>
      </c>
      <c r="B1331" s="7">
        <f ca="1">IFERROR(__xludf.DUMMYFUNCTION("""COMPUTED_VALUE"""),959.95)</f>
        <v>959.95</v>
      </c>
      <c r="C1331" s="6">
        <f t="shared" ca="1" si="10"/>
        <v>-3.5810670541830403E-3</v>
      </c>
      <c r="D1331" s="7">
        <f t="shared" ca="1" si="11"/>
        <v>0.88087921245898226</v>
      </c>
    </row>
    <row r="1332" spans="1:4" ht="12.75" x14ac:dyDescent="0.2">
      <c r="A1332" s="8">
        <f ca="1">IFERROR(__xludf.DUMMYFUNCTION("""COMPUTED_VALUE"""),45800.6458333333)</f>
        <v>45800.645833333299</v>
      </c>
      <c r="B1332" s="7">
        <f ca="1">IFERROR(__xludf.DUMMYFUNCTION("""COMPUTED_VALUE"""),966.8)</f>
        <v>966.8</v>
      </c>
      <c r="C1332" s="6">
        <f t="shared" ca="1" si="10"/>
        <v>7.135788322308434E-3</v>
      </c>
      <c r="D1332" s="7">
        <f t="shared" ca="1" si="11"/>
        <v>0.87363467107985104</v>
      </c>
    </row>
    <row r="1333" spans="1:4" ht="12.75" x14ac:dyDescent="0.2">
      <c r="A1333" s="8">
        <f ca="1">IFERROR(__xludf.DUMMYFUNCTION("""COMPUTED_VALUE"""),45803.6458333333)</f>
        <v>45803.645833333299</v>
      </c>
      <c r="B1333" s="7">
        <f ca="1">IFERROR(__xludf.DUMMYFUNCTION("""COMPUTED_VALUE"""),970.1)</f>
        <v>970.1</v>
      </c>
      <c r="C1333" s="6">
        <f t="shared" ca="1" si="10"/>
        <v>3.4133223003725011E-3</v>
      </c>
      <c r="D1333" s="7">
        <f t="shared" ca="1" si="11"/>
        <v>0.86975569528914543</v>
      </c>
    </row>
    <row r="1334" spans="1:4" ht="12.75" x14ac:dyDescent="0.2">
      <c r="A1334" s="8">
        <f ca="1">IFERROR(__xludf.DUMMYFUNCTION("""COMPUTED_VALUE"""),45804.6458333333)</f>
        <v>45804.645833333299</v>
      </c>
      <c r="B1334" s="7">
        <f ca="1">IFERROR(__xludf.DUMMYFUNCTION("""COMPUTED_VALUE"""),963.15)</f>
        <v>963.15</v>
      </c>
      <c r="C1334" s="6">
        <f t="shared" ca="1" si="10"/>
        <v>-7.1642098752706662E-3</v>
      </c>
      <c r="D1334" s="7">
        <f t="shared" ca="1" si="11"/>
        <v>0.87499351087577226</v>
      </c>
    </row>
    <row r="1335" spans="1:4" ht="12.75" x14ac:dyDescent="0.2">
      <c r="A1335" s="8">
        <f ca="1">IFERROR(__xludf.DUMMYFUNCTION("""COMPUTED_VALUE"""),45805.6458333333)</f>
        <v>45805.645833333299</v>
      </c>
      <c r="B1335" s="7">
        <f ca="1">IFERROR(__xludf.DUMMYFUNCTION("""COMPUTED_VALUE"""),961.75)</f>
        <v>961.75</v>
      </c>
      <c r="C1335" s="6">
        <f t="shared" ca="1" si="10"/>
        <v>-1.4535638270258833E-3</v>
      </c>
      <c r="D1335" s="7">
        <f t="shared" ca="1" si="11"/>
        <v>0.88960748635300235</v>
      </c>
    </row>
    <row r="1336" spans="1:4" ht="12.75" x14ac:dyDescent="0.2">
      <c r="A1336" s="8">
        <f ca="1">IFERROR(__xludf.DUMMYFUNCTION("""COMPUTED_VALUE"""),45806.6458333333)</f>
        <v>45806.645833333299</v>
      </c>
      <c r="B1336" s="7">
        <f ca="1">IFERROR(__xludf.DUMMYFUNCTION("""COMPUTED_VALUE"""),963.75)</f>
        <v>963.75</v>
      </c>
      <c r="C1336" s="6">
        <f t="shared" ca="1" si="10"/>
        <v>2.0795425006499002E-3</v>
      </c>
      <c r="D1336" s="7">
        <f t="shared" ca="1" si="11"/>
        <v>0.88539559014267177</v>
      </c>
    </row>
    <row r="1337" spans="1:4" ht="12.75" x14ac:dyDescent="0.2">
      <c r="A1337" s="8">
        <f ca="1">IFERROR(__xludf.DUMMYFUNCTION("""COMPUTED_VALUE"""),45807.6458333333)</f>
        <v>45807.645833333299</v>
      </c>
      <c r="B1337" s="7">
        <f ca="1">IFERROR(__xludf.DUMMYFUNCTION("""COMPUTED_VALUE"""),972.45)</f>
        <v>972.45</v>
      </c>
      <c r="C1337" s="6">
        <f t="shared" ca="1" si="10"/>
        <v>9.0272373540856155E-3</v>
      </c>
      <c r="D1337" s="7">
        <f t="shared" ca="1" si="11"/>
        <v>0.87942824823898402</v>
      </c>
    </row>
    <row r="1338" spans="1:4" ht="12.75" x14ac:dyDescent="0.2">
      <c r="A1338" s="8">
        <f ca="1">IFERROR(__xludf.DUMMYFUNCTION("""COMPUTED_VALUE"""),45810.6458333333)</f>
        <v>45810.645833333299</v>
      </c>
      <c r="B1338" s="7">
        <f ca="1">IFERROR(__xludf.DUMMYFUNCTION("""COMPUTED_VALUE"""),966.05)</f>
        <v>966.05</v>
      </c>
      <c r="C1338" s="6">
        <f t="shared" ca="1" si="10"/>
        <v>-6.5813152347165005E-3</v>
      </c>
      <c r="D1338" s="7">
        <f t="shared" ca="1" si="11"/>
        <v>0.89653744630195131</v>
      </c>
    </row>
    <row r="1339" spans="1:4" ht="12.75" x14ac:dyDescent="0.2">
      <c r="A1339" s="8">
        <f ca="1">IFERROR(__xludf.DUMMYFUNCTION("""COMPUTED_VALUE"""),45811.6458333333)</f>
        <v>45811.645833333299</v>
      </c>
      <c r="B1339" s="7">
        <f ca="1">IFERROR(__xludf.DUMMYFUNCTION("""COMPUTED_VALUE"""),962.3)</f>
        <v>962.3</v>
      </c>
      <c r="C1339" s="6">
        <f t="shared" ca="1" si="10"/>
        <v>-3.8817866570053372E-3</v>
      </c>
      <c r="D1339" s="7">
        <f t="shared" ca="1" si="11"/>
        <v>0.90621427829159307</v>
      </c>
    </row>
    <row r="1340" spans="1:4" ht="12.75" x14ac:dyDescent="0.2">
      <c r="A1340" s="8">
        <f ca="1">IFERROR(__xludf.DUMMYFUNCTION("""COMPUTED_VALUE"""),45812.6458333333)</f>
        <v>45812.645833333299</v>
      </c>
      <c r="B1340" s="7">
        <f ca="1">IFERROR(__xludf.DUMMYFUNCTION("""COMPUTED_VALUE"""),970.6)</f>
        <v>970.6</v>
      </c>
      <c r="C1340" s="6">
        <f t="shared" ca="1" si="10"/>
        <v>8.6251688662579706E-3</v>
      </c>
      <c r="D1340" s="7">
        <f t="shared" ca="1" si="11"/>
        <v>0.91116834947455183</v>
      </c>
    </row>
    <row r="1341" spans="1:4" ht="12.75" x14ac:dyDescent="0.2">
      <c r="A1341" s="8">
        <f ca="1">IFERROR(__xludf.DUMMYFUNCTION("""COMPUTED_VALUE"""),45813.6458333333)</f>
        <v>45813.645833333299</v>
      </c>
      <c r="B1341" s="7">
        <f ca="1">IFERROR(__xludf.DUMMYFUNCTION("""COMPUTED_VALUE"""),974.8)</f>
        <v>974.8</v>
      </c>
      <c r="C1341" s="6">
        <f t="shared" ca="1" si="10"/>
        <v>4.3272202761177603E-3</v>
      </c>
      <c r="D1341" s="7">
        <f t="shared" ca="1" si="11"/>
        <v>0.90806319244973333</v>
      </c>
    </row>
    <row r="1342" spans="1:4" ht="12.75" x14ac:dyDescent="0.2">
      <c r="A1342" s="8">
        <f ca="1">IFERROR(__xludf.DUMMYFUNCTION("""COMPUTED_VALUE"""),45814.6458333333)</f>
        <v>45814.645833333299</v>
      </c>
      <c r="B1342" s="7">
        <f ca="1">IFERROR(__xludf.DUMMYFUNCTION("""COMPUTED_VALUE"""),989.35)</f>
        <v>989.35</v>
      </c>
      <c r="C1342" s="6">
        <f t="shared" ca="1" si="10"/>
        <v>1.4926138695116942E-2</v>
      </c>
      <c r="D1342" s="7">
        <f t="shared" ca="1" si="11"/>
        <v>0.90968817910749478</v>
      </c>
    </row>
    <row r="1343" spans="1:4" ht="12.75" x14ac:dyDescent="0.2">
      <c r="A1343" s="8">
        <f ca="1">IFERROR(__xludf.DUMMYFUNCTION("""COMPUTED_VALUE"""),45817.6458333333)</f>
        <v>45817.645833333299</v>
      </c>
      <c r="B1343" s="7">
        <f ca="1">IFERROR(__xludf.DUMMYFUNCTION("""COMPUTED_VALUE"""),989.45)</f>
        <v>989.45</v>
      </c>
      <c r="C1343" s="6">
        <f t="shared" ca="1" si="10"/>
        <v>1.0107646434520667E-4</v>
      </c>
      <c r="D1343" s="7">
        <f t="shared" ca="1" si="11"/>
        <v>0.92044064884531807</v>
      </c>
    </row>
    <row r="1344" spans="1:4" ht="12.75" x14ac:dyDescent="0.2">
      <c r="A1344" s="8">
        <f ca="1">IFERROR(__xludf.DUMMYFUNCTION("""COMPUTED_VALUE"""),45818.6458333333)</f>
        <v>45818.645833333299</v>
      </c>
      <c r="B1344" s="7">
        <f ca="1">IFERROR(__xludf.DUMMYFUNCTION("""COMPUTED_VALUE"""),982.65)</f>
        <v>982.65</v>
      </c>
      <c r="C1344" s="6">
        <f t="shared" ca="1" si="10"/>
        <v>-6.8725049269796612E-3</v>
      </c>
      <c r="D1344" s="7">
        <f t="shared" ca="1" si="11"/>
        <v>0.91922861649620924</v>
      </c>
    </row>
    <row r="1345" spans="1:4" ht="12.75" x14ac:dyDescent="0.2">
      <c r="A1345" s="8">
        <f ca="1">IFERROR(__xludf.DUMMYFUNCTION("""COMPUTED_VALUE"""),45819.6458333333)</f>
        <v>45819.645833333299</v>
      </c>
      <c r="B1345" s="7">
        <f ca="1">IFERROR(__xludf.DUMMYFUNCTION("""COMPUTED_VALUE"""),975.2)</f>
        <v>975.2</v>
      </c>
      <c r="C1345" s="6">
        <f t="shared" ca="1" si="10"/>
        <v>-7.581539714038521E-3</v>
      </c>
      <c r="D1345" s="7">
        <f t="shared" ca="1" si="11"/>
        <v>0.93589007383100897</v>
      </c>
    </row>
    <row r="1346" spans="1:4" ht="12.75" x14ac:dyDescent="0.2">
      <c r="A1346" s="8">
        <f ca="1">IFERROR(__xludf.DUMMYFUNCTION("""COMPUTED_VALUE"""),45820.6458333333)</f>
        <v>45820.645833333299</v>
      </c>
      <c r="B1346" s="7">
        <f ca="1">IFERROR(__xludf.DUMMYFUNCTION("""COMPUTED_VALUE"""),971.7)</f>
        <v>971.7</v>
      </c>
      <c r="C1346" s="6">
        <f t="shared" ca="1" si="10"/>
        <v>-3.5890073831008618E-3</v>
      </c>
      <c r="D1346" s="7">
        <f t="shared" ca="1" si="11"/>
        <v>0.9407224451991355</v>
      </c>
    </row>
    <row r="1347" spans="1:4" ht="12.75" x14ac:dyDescent="0.2">
      <c r="A1347" s="8">
        <f ca="1">IFERROR(__xludf.DUMMYFUNCTION("""COMPUTED_VALUE"""),45821.6458333333)</f>
        <v>45821.645833333299</v>
      </c>
      <c r="B1347" s="7">
        <f ca="1">IFERROR(__xludf.DUMMYFUNCTION("""COMPUTED_VALUE"""),958.8)</f>
        <v>958.8</v>
      </c>
      <c r="C1347" s="6">
        <f t="shared" ca="1" si="10"/>
        <v>-1.3275702377277043E-2</v>
      </c>
      <c r="D1347" s="7">
        <f t="shared" ca="1" si="11"/>
        <v>0.92191280767626194</v>
      </c>
    </row>
    <row r="1348" spans="1:4" ht="12.75" x14ac:dyDescent="0.2">
      <c r="A1348" s="8">
        <f ca="1">IFERROR(__xludf.DUMMYFUNCTION("""COMPUTED_VALUE"""),45824.6458333333)</f>
        <v>45824.645833333299</v>
      </c>
      <c r="B1348" s="7">
        <f ca="1">IFERROR(__xludf.DUMMYFUNCTION("""COMPUTED_VALUE"""),967.7)</f>
        <v>967.7</v>
      </c>
      <c r="C1348" s="6">
        <f t="shared" ca="1" si="10"/>
        <v>9.2824363788068798E-3</v>
      </c>
      <c r="D1348" s="7">
        <f t="shared" ca="1" si="11"/>
        <v>0.92843856567117911</v>
      </c>
    </row>
    <row r="1349" spans="1:4" ht="12.75" x14ac:dyDescent="0.2">
      <c r="A1349" s="8">
        <f ca="1">IFERROR(__xludf.DUMMYFUNCTION("""COMPUTED_VALUE"""),45825.6458333333)</f>
        <v>45825.645833333299</v>
      </c>
      <c r="B1349" s="7">
        <f ca="1">IFERROR(__xludf.DUMMYFUNCTION("""COMPUTED_VALUE"""),964.8)</f>
        <v>964.8</v>
      </c>
      <c r="C1349" s="6">
        <f t="shared" ca="1" si="10"/>
        <v>-2.9967965278496767E-3</v>
      </c>
      <c r="D1349" s="7">
        <f t="shared" ca="1" si="11"/>
        <v>0.93017205638474298</v>
      </c>
    </row>
    <row r="1350" spans="1:4" ht="12.75" x14ac:dyDescent="0.2">
      <c r="A1350" s="8">
        <f ca="1">IFERROR(__xludf.DUMMYFUNCTION("""COMPUTED_VALUE"""),45826.6458333333)</f>
        <v>45826.645833333299</v>
      </c>
      <c r="B1350" s="7">
        <f ca="1">IFERROR(__xludf.DUMMYFUNCTION("""COMPUTED_VALUE"""),966.95)</f>
        <v>966.95</v>
      </c>
      <c r="C1350" s="6">
        <f t="shared" ca="1" si="10"/>
        <v>2.2284411276949356E-3</v>
      </c>
      <c r="D1350" s="7">
        <f t="shared" ca="1" si="11"/>
        <v>0.93970732716272809</v>
      </c>
    </row>
    <row r="1351" spans="1:4" ht="12.75" x14ac:dyDescent="0.2">
      <c r="A1351" s="8">
        <f ca="1">IFERROR(__xludf.DUMMYFUNCTION("""COMPUTED_VALUE"""),45827.6458333333)</f>
        <v>45827.645833333299</v>
      </c>
      <c r="B1351" s="7">
        <f ca="1">IFERROR(__xludf.DUMMYFUNCTION("""COMPUTED_VALUE"""),967.65)</f>
        <v>967.65</v>
      </c>
      <c r="C1351" s="6">
        <f t="shared" ca="1" si="10"/>
        <v>7.2392574590196546E-4</v>
      </c>
      <c r="D1351" s="7">
        <f t="shared" ca="1" si="11"/>
        <v>0.90823128197178737</v>
      </c>
    </row>
    <row r="1352" spans="1:4" ht="12.75" x14ac:dyDescent="0.2">
      <c r="A1352" s="8">
        <f ca="1">IFERROR(__xludf.DUMMYFUNCTION("""COMPUTED_VALUE"""),45828.6458333333)</f>
        <v>45828.645833333299</v>
      </c>
      <c r="B1352" s="7">
        <f ca="1">IFERROR(__xludf.DUMMYFUNCTION("""COMPUTED_VALUE"""),982.35)</f>
        <v>982.35</v>
      </c>
      <c r="C1352" s="6">
        <f t="shared" ca="1" si="10"/>
        <v>1.5191443187102749E-2</v>
      </c>
      <c r="D1352" s="7">
        <f t="shared" ca="1" si="11"/>
        <v>0.90047335471064283</v>
      </c>
    </row>
    <row r="1353" spans="1:4" ht="12.75" x14ac:dyDescent="0.2">
      <c r="A1353" s="8">
        <f ca="1">IFERROR(__xludf.DUMMYFUNCTION("""COMPUTED_VALUE"""),45831.6458333333)</f>
        <v>45831.645833333299</v>
      </c>
      <c r="B1353" s="7">
        <f ca="1">IFERROR(__xludf.DUMMYFUNCTION("""COMPUTED_VALUE"""),974.2)</f>
        <v>974.2</v>
      </c>
      <c r="C1353" s="6">
        <f t="shared" ca="1" si="10"/>
        <v>-8.2964320252455481E-3</v>
      </c>
      <c r="D1353" s="7">
        <f t="shared" ca="1" si="11"/>
        <v>0.90587148429480591</v>
      </c>
    </row>
    <row r="1354" spans="1:4" ht="12.75" x14ac:dyDescent="0.2">
      <c r="A1354" s="8">
        <f ca="1">IFERROR(__xludf.DUMMYFUNCTION("""COMPUTED_VALUE"""),45832.6458333333)</f>
        <v>45832.645833333299</v>
      </c>
      <c r="B1354" s="7">
        <f ca="1">IFERROR(__xludf.DUMMYFUNCTION("""COMPUTED_VALUE"""),980.45)</f>
        <v>980.45</v>
      </c>
      <c r="C1354" s="6">
        <f t="shared" ca="1" si="10"/>
        <v>6.4155204270170962E-3</v>
      </c>
      <c r="D1354" s="7">
        <f t="shared" ca="1" si="11"/>
        <v>0.92139323779896987</v>
      </c>
    </row>
    <row r="1355" spans="1:4" ht="12.75" x14ac:dyDescent="0.2">
      <c r="A1355" s="8">
        <f ca="1">IFERROR(__xludf.DUMMYFUNCTION("""COMPUTED_VALUE"""),45833.6458333333)</f>
        <v>45833.645833333299</v>
      </c>
      <c r="B1355" s="7">
        <f ca="1">IFERROR(__xludf.DUMMYFUNCTION("""COMPUTED_VALUE"""),990.1)</f>
        <v>990.1</v>
      </c>
      <c r="C1355" s="6">
        <f t="shared" ca="1" si="10"/>
        <v>9.8424192972614843E-3</v>
      </c>
      <c r="D1355" s="7">
        <f t="shared" ca="1" si="11"/>
        <v>0.94177355822644182</v>
      </c>
    </row>
    <row r="1356" spans="1:4" ht="12.75" x14ac:dyDescent="0.2">
      <c r="A1356" s="8">
        <f ca="1">IFERROR(__xludf.DUMMYFUNCTION("""COMPUTED_VALUE"""),45834.6458333333)</f>
        <v>45834.645833333299</v>
      </c>
      <c r="B1356" s="7">
        <f ca="1">IFERROR(__xludf.DUMMYFUNCTION("""COMPUTED_VALUE"""),1010.9)</f>
        <v>1010.9</v>
      </c>
      <c r="C1356" s="6">
        <f t="shared" ca="1" si="10"/>
        <v>2.1007978992021004E-2</v>
      </c>
      <c r="D1356" s="7">
        <f t="shared" ca="1" si="11"/>
        <v>0.92887525966960138</v>
      </c>
    </row>
    <row r="1357" spans="1:4" ht="12.75" x14ac:dyDescent="0.2">
      <c r="A1357" s="8">
        <f ca="1">IFERROR(__xludf.DUMMYFUNCTION("""COMPUTED_VALUE"""),45835.6458333333)</f>
        <v>45835.645833333299</v>
      </c>
      <c r="B1357" s="7">
        <f ca="1">IFERROR(__xludf.DUMMYFUNCTION("""COMPUTED_VALUE"""),1007.45)</f>
        <v>1007.45</v>
      </c>
      <c r="C1357" s="6">
        <f t="shared" ca="1" si="10"/>
        <v>-3.4128004748243956E-3</v>
      </c>
      <c r="D1357" s="7">
        <f t="shared" ca="1" si="11"/>
        <v>0.94630006451933102</v>
      </c>
    </row>
    <row r="1358" spans="1:4" ht="12.75" x14ac:dyDescent="0.2">
      <c r="A1358" s="8">
        <f ca="1">IFERROR(__xludf.DUMMYFUNCTION("""COMPUTED_VALUE"""),45838.6458333333)</f>
        <v>45838.645833333299</v>
      </c>
      <c r="B1358" s="7">
        <f ca="1">IFERROR(__xludf.DUMMYFUNCTION("""COMPUTED_VALUE"""),1000.75)</f>
        <v>1000.75</v>
      </c>
      <c r="C1358" s="6">
        <f t="shared" ca="1" si="10"/>
        <v>-6.6504541168296294E-3</v>
      </c>
      <c r="D1358" s="7">
        <f t="shared" ca="1" si="11"/>
        <v>0.9628278790906819</v>
      </c>
    </row>
    <row r="1359" spans="1:4" ht="12.75" x14ac:dyDescent="0.2">
      <c r="A1359" s="8">
        <f ca="1">IFERROR(__xludf.DUMMYFUNCTION("""COMPUTED_VALUE"""),45839.6458333333)</f>
        <v>45839.645833333299</v>
      </c>
      <c r="B1359" s="7">
        <f ca="1">IFERROR(__xludf.DUMMYFUNCTION("""COMPUTED_VALUE"""),1006.05)</f>
        <v>1006.05</v>
      </c>
      <c r="C1359" s="6">
        <f t="shared" ca="1" si="10"/>
        <v>5.2960279790157383E-3</v>
      </c>
      <c r="D1359" s="7">
        <f t="shared" ca="1" si="11"/>
        <v>0.97495154316385868</v>
      </c>
    </row>
    <row r="1360" spans="1:4" ht="12.75" x14ac:dyDescent="0.2">
      <c r="A1360" s="8">
        <f ca="1">IFERROR(__xludf.DUMMYFUNCTION("""COMPUTED_VALUE"""),45840.6458333333)</f>
        <v>45840.645833333299</v>
      </c>
      <c r="B1360" s="7">
        <f ca="1">IFERROR(__xludf.DUMMYFUNCTION("""COMPUTED_VALUE"""),993)</f>
        <v>993</v>
      </c>
      <c r="C1360" s="6">
        <f t="shared" ca="1" si="10"/>
        <v>-1.2971522290144533E-2</v>
      </c>
      <c r="D1360" s="7">
        <f t="shared" ca="1" si="11"/>
        <v>0.9687311178247735</v>
      </c>
    </row>
    <row r="1361" spans="1:4" ht="12.75" x14ac:dyDescent="0.2">
      <c r="A1361" s="8">
        <f ca="1">IFERROR(__xludf.DUMMYFUNCTION("""COMPUTED_VALUE"""),45841.6458333333)</f>
        <v>45841.645833333299</v>
      </c>
      <c r="B1361" s="7">
        <f ca="1">IFERROR(__xludf.DUMMYFUNCTION("""COMPUTED_VALUE"""),993.55)</f>
        <v>993.55</v>
      </c>
      <c r="C1361" s="6">
        <f t="shared" ca="1" si="10"/>
        <v>5.5387713997978594E-4</v>
      </c>
      <c r="D1361" s="7">
        <f t="shared" ca="1" si="11"/>
        <v>0.96462181067887875</v>
      </c>
    </row>
    <row r="1362" spans="1:4" ht="12.75" x14ac:dyDescent="0.2">
      <c r="A1362" s="8">
        <f ca="1">IFERROR(__xludf.DUMMYFUNCTION("""COMPUTED_VALUE"""),45842.6458333333)</f>
        <v>45842.645833333299</v>
      </c>
      <c r="B1362" s="7">
        <f ca="1">IFERROR(__xludf.DUMMYFUNCTION("""COMPUTED_VALUE"""),994.65)</f>
        <v>994.65</v>
      </c>
      <c r="C1362" s="6">
        <f t="shared" ca="1" si="10"/>
        <v>1.1071410598360032E-3</v>
      </c>
      <c r="D1362" s="7">
        <f t="shared" ca="1" si="11"/>
        <v>0.96073995877947016</v>
      </c>
    </row>
    <row r="1363" spans="1:4" ht="12.75" x14ac:dyDescent="0.2">
      <c r="A1363" s="8">
        <f ca="1">IFERROR(__xludf.DUMMYFUNCTION("""COMPUTED_VALUE"""),45845.6458333333)</f>
        <v>45845.645833333299</v>
      </c>
      <c r="B1363" s="7">
        <f ca="1">IFERROR(__xludf.DUMMYFUNCTION("""COMPUTED_VALUE"""),993.7)</f>
        <v>993.7</v>
      </c>
      <c r="C1363" s="6">
        <f t="shared" ca="1" si="10"/>
        <v>-9.5510983763125168E-4</v>
      </c>
      <c r="D1363" s="7">
        <f t="shared" ca="1" si="11"/>
        <v>0.96618697796115527</v>
      </c>
    </row>
    <row r="1364" spans="1:4" ht="12.75" x14ac:dyDescent="0.2">
      <c r="A1364" s="8">
        <f ca="1">IFERROR(__xludf.DUMMYFUNCTION("""COMPUTED_VALUE"""),45846.6458333333)</f>
        <v>45846.645833333299</v>
      </c>
      <c r="B1364" s="7">
        <f ca="1">IFERROR(__xludf.DUMMYFUNCTION("""COMPUTED_VALUE"""),1000.7)</f>
        <v>1000.7</v>
      </c>
      <c r="C1364" s="6">
        <f t="shared" ca="1" si="10"/>
        <v>7.0443795914258978E-3</v>
      </c>
      <c r="D1364" s="7">
        <f t="shared" ca="1" si="11"/>
        <v>0.95373238732886978</v>
      </c>
    </row>
    <row r="1365" spans="1:4" ht="12.75" x14ac:dyDescent="0.2">
      <c r="A1365" s="8">
        <f ca="1">IFERROR(__xludf.DUMMYFUNCTION("""COMPUTED_VALUE"""),45847.6458333333)</f>
        <v>45847.645833333299</v>
      </c>
      <c r="B1365" s="7">
        <f ca="1">IFERROR(__xludf.DUMMYFUNCTION("""COMPUTED_VALUE"""),1005.6)</f>
        <v>1005.6</v>
      </c>
      <c r="C1365" s="6">
        <f t="shared" ca="1" si="10"/>
        <v>4.896572399320398E-3</v>
      </c>
      <c r="D1365" s="7">
        <f t="shared" ca="1" si="11"/>
        <v>0.95714001591089892</v>
      </c>
    </row>
    <row r="1366" spans="1:4" ht="12.75" x14ac:dyDescent="0.2">
      <c r="A1366" s="8">
        <f ca="1">IFERROR(__xludf.DUMMYFUNCTION("""COMPUTED_VALUE"""),45848.6458333333)</f>
        <v>45848.645833333299</v>
      </c>
      <c r="B1366" s="7">
        <f ca="1">IFERROR(__xludf.DUMMYFUNCTION("""COMPUTED_VALUE"""),1003.1)</f>
        <v>1003.1</v>
      </c>
      <c r="C1366" s="6">
        <f t="shared" ca="1" si="10"/>
        <v>-2.4860779634049424E-3</v>
      </c>
      <c r="D1366" s="7">
        <f t="shared" ca="1" si="11"/>
        <v>0.9595254710397767</v>
      </c>
    </row>
    <row r="1367" spans="1:4" ht="12.75" x14ac:dyDescent="0.2">
      <c r="A1367" s="8">
        <f ca="1">IFERROR(__xludf.DUMMYFUNCTION("""COMPUTED_VALUE"""),45849.6458333333)</f>
        <v>45849.645833333299</v>
      </c>
      <c r="B1367" s="7">
        <f ca="1">IFERROR(__xludf.DUMMYFUNCTION("""COMPUTED_VALUE"""),991.85)</f>
        <v>991.85</v>
      </c>
      <c r="C1367" s="6">
        <f t="shared" ca="1" si="10"/>
        <v>-1.1215232778386985E-2</v>
      </c>
      <c r="D1367" s="7">
        <f t="shared" ca="1" si="11"/>
        <v>0.97635731209356247</v>
      </c>
    </row>
    <row r="1368" spans="1:4" ht="12.75" x14ac:dyDescent="0.2">
      <c r="A1368" s="8">
        <f ca="1">IFERROR(__xludf.DUMMYFUNCTION("""COMPUTED_VALUE"""),45852.6458333333)</f>
        <v>45852.645833333299</v>
      </c>
      <c r="B1368" s="7">
        <f ca="1">IFERROR(__xludf.DUMMYFUNCTION("""COMPUTED_VALUE"""),991.5)</f>
        <v>991.5</v>
      </c>
      <c r="C1368" s="6">
        <f t="shared" ca="1" si="10"/>
        <v>-3.5287593890209745E-4</v>
      </c>
      <c r="D1368" s="7">
        <f t="shared" ca="1" si="11"/>
        <v>0.97413010590015126</v>
      </c>
    </row>
    <row r="1369" spans="1:4" ht="12.75" x14ac:dyDescent="0.2">
      <c r="A1369" s="8">
        <f ca="1">IFERROR(__xludf.DUMMYFUNCTION("""COMPUTED_VALUE"""),45853.6458333333)</f>
        <v>45853.645833333299</v>
      </c>
      <c r="B1369" s="7">
        <f ca="1">IFERROR(__xludf.DUMMYFUNCTION("""COMPUTED_VALUE"""),997.75)</f>
        <v>997.75</v>
      </c>
      <c r="C1369" s="6">
        <f t="shared" ca="1" si="10"/>
        <v>6.3035804336863954E-3</v>
      </c>
      <c r="D1369" s="7">
        <f t="shared" ca="1" si="11"/>
        <v>0.97499373590578797</v>
      </c>
    </row>
    <row r="1370" spans="1:4" ht="12.75" x14ac:dyDescent="0.2">
      <c r="A1370" s="8">
        <f ca="1">IFERROR(__xludf.DUMMYFUNCTION("""COMPUTED_VALUE"""),45854.6458333333)</f>
        <v>45854.645833333299</v>
      </c>
      <c r="B1370" s="7">
        <f ca="1">IFERROR(__xludf.DUMMYFUNCTION("""COMPUTED_VALUE"""),998.15)</f>
        <v>998.15</v>
      </c>
      <c r="C1370" s="6">
        <f t="shared" ca="1" si="10"/>
        <v>4.0090202956655219E-4</v>
      </c>
      <c r="D1370" s="7">
        <f t="shared" ca="1" si="11"/>
        <v>0.96603716876221013</v>
      </c>
    </row>
    <row r="1371" spans="1:4" ht="12.75" x14ac:dyDescent="0.2">
      <c r="A1371" s="8">
        <f ca="1">IFERROR(__xludf.DUMMYFUNCTION("""COMPUTED_VALUE"""),45855.6458333333)</f>
        <v>45855.645833333299</v>
      </c>
      <c r="B1371" s="7">
        <f ca="1">IFERROR(__xludf.DUMMYFUNCTION("""COMPUTED_VALUE"""),993.45)</f>
        <v>993.45</v>
      </c>
      <c r="C1371" s="6">
        <f t="shared" ca="1" si="10"/>
        <v>-4.7087111155637018E-3</v>
      </c>
      <c r="D1371" s="7">
        <f t="shared" ca="1" si="11"/>
        <v>0.95107957119130304</v>
      </c>
    </row>
    <row r="1372" spans="1:4" ht="12.75" x14ac:dyDescent="0.2">
      <c r="A1372" s="8">
        <f ca="1">IFERROR(__xludf.DUMMYFUNCTION("""COMPUTED_VALUE"""),45856.6458333333)</f>
        <v>45856.645833333299</v>
      </c>
      <c r="B1372" s="7">
        <f ca="1">IFERROR(__xludf.DUMMYFUNCTION("""COMPUTED_VALUE"""),978.7)</f>
        <v>978.7</v>
      </c>
      <c r="C1372" s="6">
        <f t="shared" ca="1" si="10"/>
        <v>-1.4847249484120972E-2</v>
      </c>
      <c r="D1372" s="7">
        <f t="shared" ca="1" si="11"/>
        <v>0.9998978236436088</v>
      </c>
    </row>
    <row r="1373" spans="1:4" ht="12.75" x14ac:dyDescent="0.2">
      <c r="A1373" s="8">
        <f ca="1">IFERROR(__xludf.DUMMYFUNCTION("""COMPUTED_VALUE"""),45859.6458333333)</f>
        <v>45859.645833333299</v>
      </c>
      <c r="B1373" s="7">
        <f ca="1">IFERROR(__xludf.DUMMYFUNCTION("""COMPUTED_VALUE"""),1000.25)</f>
        <v>1000.25</v>
      </c>
      <c r="C1373" s="6">
        <f t="shared" ca="1" si="10"/>
        <v>2.20190048022888E-2</v>
      </c>
      <c r="D1373" s="7">
        <f t="shared" ca="1" si="11"/>
        <v>0.96105973506623343</v>
      </c>
    </row>
    <row r="1374" spans="1:4" ht="12.75" x14ac:dyDescent="0.2">
      <c r="A1374" s="8">
        <f ca="1">IFERROR(__xludf.DUMMYFUNCTION("""COMPUTED_VALUE"""),45860.6458333333)</f>
        <v>45860.645833333299</v>
      </c>
      <c r="B1374" s="7">
        <f ca="1">IFERROR(__xludf.DUMMYFUNCTION("""COMPUTED_VALUE"""),1003.55)</f>
        <v>1003.55</v>
      </c>
      <c r="C1374" s="6">
        <f t="shared" ca="1" si="10"/>
        <v>3.2991752061983792E-3</v>
      </c>
      <c r="D1374" s="7">
        <f t="shared" ca="1" si="11"/>
        <v>0.95192068158038956</v>
      </c>
    </row>
    <row r="1375" spans="1:4" ht="12.75" x14ac:dyDescent="0.2">
      <c r="A1375" s="8">
        <f ca="1">IFERROR(__xludf.DUMMYFUNCTION("""COMPUTED_VALUE"""),45861.6458333333)</f>
        <v>45861.645833333299</v>
      </c>
      <c r="B1375" s="7">
        <f ca="1">IFERROR(__xludf.DUMMYFUNCTION("""COMPUTED_VALUE"""),1012.15)</f>
        <v>1012.15</v>
      </c>
      <c r="C1375" s="6">
        <f t="shared" ca="1" si="10"/>
        <v>8.5695779981067588E-3</v>
      </c>
      <c r="D1375" s="7">
        <f t="shared" ca="1" si="11"/>
        <v>0.95529318776861138</v>
      </c>
    </row>
    <row r="1376" spans="1:4" ht="12.75" x14ac:dyDescent="0.2">
      <c r="A1376" s="8">
        <f ca="1">IFERROR(__xludf.DUMMYFUNCTION("""COMPUTED_VALUE"""),45862.6458333333)</f>
        <v>45862.645833333299</v>
      </c>
      <c r="B1376" s="7">
        <f ca="1">IFERROR(__xludf.DUMMYFUNCTION("""COMPUTED_VALUE"""),1007.1)</f>
        <v>1007.1</v>
      </c>
      <c r="C1376" s="6">
        <f t="shared" ca="1" si="10"/>
        <v>-4.9893790446079445E-3</v>
      </c>
      <c r="D1376" s="7">
        <f t="shared" ca="1" si="11"/>
        <v>0.96053023532916293</v>
      </c>
    </row>
    <row r="1377" spans="1:4" ht="12.75" x14ac:dyDescent="0.2">
      <c r="A1377" s="8">
        <f ca="1">IFERROR(__xludf.DUMMYFUNCTION("""COMPUTED_VALUE"""),45863.6458333333)</f>
        <v>45863.645833333299</v>
      </c>
      <c r="B1377" s="7">
        <f ca="1">IFERROR(__xludf.DUMMYFUNCTION("""COMPUTED_VALUE"""),1002.3)</f>
        <v>1002.3</v>
      </c>
      <c r="C1377" s="6">
        <f t="shared" ca="1" si="10"/>
        <v>-4.7661602621388299E-3</v>
      </c>
      <c r="D1377" s="7">
        <f t="shared" ca="1" si="11"/>
        <v>0.96712561109448281</v>
      </c>
    </row>
    <row r="1378" spans="1:4" ht="12.75" x14ac:dyDescent="0.2">
      <c r="A1378" s="8">
        <f ca="1">IFERROR(__xludf.DUMMYFUNCTION("""COMPUTED_VALUE"""),45866.6458333333)</f>
        <v>45866.645833333299</v>
      </c>
      <c r="B1378" s="7">
        <f ca="1">IFERROR(__xludf.DUMMYFUNCTION("""COMPUTED_VALUE"""),1004.25)</f>
        <v>1004.25</v>
      </c>
      <c r="C1378" s="6">
        <f t="shared" ca="1" si="10"/>
        <v>1.9455252918287869E-3</v>
      </c>
      <c r="D1378" s="7">
        <f t="shared" ca="1" si="11"/>
        <v>0.95339805825242718</v>
      </c>
    </row>
    <row r="1379" spans="1:4" ht="12.75" x14ac:dyDescent="0.2">
      <c r="A1379" s="8">
        <f ca="1">IFERROR(__xludf.DUMMYFUNCTION("""COMPUTED_VALUE"""),45867.6458333333)</f>
        <v>45867.645833333299</v>
      </c>
      <c r="B1379" s="7">
        <f ca="1">IFERROR(__xludf.DUMMYFUNCTION("""COMPUTED_VALUE"""),1010.8)</f>
        <v>1010.8</v>
      </c>
      <c r="C1379" s="6">
        <f t="shared" ca="1" si="10"/>
        <v>6.5222803086879555E-3</v>
      </c>
      <c r="D1379" s="7">
        <f t="shared" ca="1" si="11"/>
        <v>0.95310645033636721</v>
      </c>
    </row>
    <row r="1380" spans="1:4" ht="12.75" x14ac:dyDescent="0.2">
      <c r="A1380" s="8">
        <f ca="1">IFERROR(__xludf.DUMMYFUNCTION("""COMPUTED_VALUE"""),45868.6458333333)</f>
        <v>45868.645833333299</v>
      </c>
      <c r="B1380" s="7">
        <f ca="1">IFERROR(__xludf.DUMMYFUNCTION("""COMPUTED_VALUE"""),1012.9)</f>
        <v>1012.9</v>
      </c>
      <c r="C1380" s="6">
        <f t="shared" ca="1" si="10"/>
        <v>2.0775623268698418E-3</v>
      </c>
      <c r="D1380" s="7">
        <f t="shared" ca="1" si="11"/>
        <v>0.94772435581005043</v>
      </c>
    </row>
    <row r="1381" spans="1:4" ht="12.75" x14ac:dyDescent="0.2">
      <c r="A1381" s="8">
        <f ca="1">IFERROR(__xludf.DUMMYFUNCTION("""COMPUTED_VALUE"""),45869.6458333333)</f>
        <v>45869.645833333299</v>
      </c>
      <c r="B1381" s="7">
        <f ca="1">IFERROR(__xludf.DUMMYFUNCTION("""COMPUTED_VALUE"""),1009.1)</f>
        <v>1009.1</v>
      </c>
      <c r="C1381" s="6">
        <f t="shared" ca="1" si="10"/>
        <v>-3.7516043044723002E-3</v>
      </c>
      <c r="D1381" s="7">
        <f t="shared" ca="1" si="11"/>
        <v>0.95808145872559702</v>
      </c>
    </row>
    <row r="1382" spans="1:4" ht="12.75" x14ac:dyDescent="0.2">
      <c r="A1382" s="8">
        <f ca="1">IFERROR(__xludf.DUMMYFUNCTION("""COMPUTED_VALUE"""),45870.6458333333)</f>
        <v>45870.645833333299</v>
      </c>
      <c r="B1382" s="7">
        <f ca="1">IFERROR(__xludf.DUMMYFUNCTION("""COMPUTED_VALUE"""),1006.1)</f>
        <v>1006.1</v>
      </c>
      <c r="C1382" s="6">
        <f t="shared" ca="1" si="10"/>
        <v>-2.9729461896739195E-3</v>
      </c>
      <c r="D1382" s="7">
        <f t="shared" ca="1" si="11"/>
        <v>0.96421826856177317</v>
      </c>
    </row>
    <row r="1383" spans="1:4" ht="12.75" x14ac:dyDescent="0.2">
      <c r="A1383" s="8">
        <f ca="1">IFERROR(__xludf.DUMMYFUNCTION("""COMPUTED_VALUE"""),45873.6458333333)</f>
        <v>45873.645833333299</v>
      </c>
      <c r="B1383" s="7">
        <f ca="1">IFERROR(__xludf.DUMMYFUNCTION("""COMPUTED_VALUE"""),996)</f>
        <v>996</v>
      </c>
      <c r="C1383" s="6">
        <f t="shared" ca="1" si="10"/>
        <v>-1.0038763542391416E-2</v>
      </c>
      <c r="D1383" s="7">
        <f t="shared" ca="1" si="11"/>
        <v>0.96701807228915659</v>
      </c>
    </row>
    <row r="1384" spans="1:4" ht="12.75" x14ac:dyDescent="0.2">
      <c r="A1384" s="8">
        <f ca="1">IFERROR(__xludf.DUMMYFUNCTION("""COMPUTED_VALUE"""),45874.6458333333)</f>
        <v>45874.645833333299</v>
      </c>
      <c r="B1384" s="7">
        <f ca="1">IFERROR(__xludf.DUMMYFUNCTION("""COMPUTED_VALUE"""),988.8)</f>
        <v>988.8</v>
      </c>
      <c r="C1384" s="6">
        <f t="shared" ca="1" si="10"/>
        <v>-7.2289156626506035E-3</v>
      </c>
      <c r="D1384" s="7">
        <f t="shared" ca="1" si="11"/>
        <v>0.97264360841423958</v>
      </c>
    </row>
    <row r="1385" spans="1:4" ht="12.75" x14ac:dyDescent="0.2">
      <c r="A1385" s="8">
        <f ca="1">IFERROR(__xludf.DUMMYFUNCTION("""COMPUTED_VALUE"""),45875.6458333333)</f>
        <v>45875.645833333299</v>
      </c>
      <c r="B1385" s="7">
        <f ca="1">IFERROR(__xludf.DUMMYFUNCTION("""COMPUTED_VALUE"""),992.65)</f>
        <v>992.65</v>
      </c>
      <c r="C1385" s="6">
        <f t="shared" ca="1" si="10"/>
        <v>3.8936084142395799E-3</v>
      </c>
      <c r="D1385" s="7">
        <f t="shared" ca="1" si="11"/>
        <v>0.97088601218959358</v>
      </c>
    </row>
    <row r="1386" spans="1:4" ht="12.75" x14ac:dyDescent="0.2">
      <c r="A1386" s="8">
        <f ca="1">IFERROR(__xludf.DUMMYFUNCTION("""COMPUTED_VALUE"""),45876.6458333333)</f>
        <v>45876.645833333299</v>
      </c>
      <c r="B1386" s="7">
        <f ca="1">IFERROR(__xludf.DUMMYFUNCTION("""COMPUTED_VALUE"""),997.7)</f>
        <v>997.7</v>
      </c>
      <c r="C1386" s="6">
        <f t="shared" ca="1" si="10"/>
        <v>5.0873923336525184E-3</v>
      </c>
      <c r="D1386" s="7">
        <f t="shared" ca="1" si="11"/>
        <v>0.97469179111957505</v>
      </c>
    </row>
    <row r="1387" spans="1:4" ht="12.75" x14ac:dyDescent="0.2">
      <c r="A1387" s="8">
        <f ca="1">IFERROR(__xludf.DUMMYFUNCTION("""COMPUTED_VALUE"""),45877.6458333333)</f>
        <v>45877.645833333299</v>
      </c>
      <c r="B1387" s="7">
        <f ca="1">IFERROR(__xludf.DUMMYFUNCTION("""COMPUTED_VALUE"""),986.95)</f>
        <v>986.95</v>
      </c>
      <c r="C1387" s="6">
        <f t="shared" ca="1" si="10"/>
        <v>-1.0774781998596827E-2</v>
      </c>
      <c r="D1387" s="7">
        <f t="shared" ca="1" si="11"/>
        <v>0.97882364861441806</v>
      </c>
    </row>
    <row r="1388" spans="1:4" ht="12.75" x14ac:dyDescent="0.2">
      <c r="A1388" s="8">
        <f ca="1">IFERROR(__xludf.DUMMYFUNCTION("""COMPUTED_VALUE"""),45880.6458333333)</f>
        <v>45880.645833333299</v>
      </c>
      <c r="B1388" s="7">
        <f ca="1">IFERROR(__xludf.DUMMYFUNCTION("""COMPUTED_VALUE"""),997.8)</f>
        <v>997.8</v>
      </c>
      <c r="C1388" s="6">
        <f t="shared" ca="1" si="10"/>
        <v>1.0993464714524448E-2</v>
      </c>
      <c r="D1388" s="7">
        <f t="shared" ca="1" si="11"/>
        <v>0.96442172780116253</v>
      </c>
    </row>
    <row r="1389" spans="1:4" ht="12.75" x14ac:dyDescent="0.2">
      <c r="A1389" s="8">
        <f ca="1">IFERROR(__xludf.DUMMYFUNCTION("""COMPUTED_VALUE"""),45881.6458333333)</f>
        <v>45881.645833333299</v>
      </c>
      <c r="B1389" s="7">
        <f ca="1">IFERROR(__xludf.DUMMYFUNCTION("""COMPUTED_VALUE"""),984.95)</f>
        <v>984.95</v>
      </c>
      <c r="C1389" s="6">
        <f t="shared" ca="1" si="10"/>
        <v>-1.2878332331128339E-2</v>
      </c>
      <c r="D1389" s="7">
        <f t="shared" ca="1" si="11"/>
        <v>0.98543073252449365</v>
      </c>
    </row>
    <row r="1390" spans="1:4" ht="12.75" x14ac:dyDescent="0.2">
      <c r="A1390" s="8">
        <f ca="1">IFERROR(__xludf.DUMMYFUNCTION("""COMPUTED_VALUE"""),45882.6458333333)</f>
        <v>45882.645833333299</v>
      </c>
      <c r="B1390" s="7">
        <f ca="1">IFERROR(__xludf.DUMMYFUNCTION("""COMPUTED_VALUE"""),990.15)</f>
        <v>990.15</v>
      </c>
      <c r="C1390" s="6">
        <f t="shared" ca="1" si="10"/>
        <v>5.2794558099396038E-3</v>
      </c>
      <c r="D1390" s="7">
        <f t="shared" ca="1" si="11"/>
        <v>0.98449729838913291</v>
      </c>
    </row>
    <row r="1391" spans="1:4" ht="12.75" x14ac:dyDescent="0.2">
      <c r="A1391" s="8">
        <f ca="1">IFERROR(__xludf.DUMMYFUNCTION("""COMPUTED_VALUE"""),45883.6458333333)</f>
        <v>45883.645833333299</v>
      </c>
      <c r="B1391" s="7">
        <f ca="1">IFERROR(__xludf.DUMMYFUNCTION("""COMPUTED_VALUE"""),995.55)</f>
        <v>995.55</v>
      </c>
      <c r="C1391" s="6">
        <f t="shared" ca="1" si="10"/>
        <v>5.4537191334647073E-3</v>
      </c>
      <c r="D1391" s="7">
        <f t="shared" ca="1" si="11"/>
        <v>0.99377228667570694</v>
      </c>
    </row>
    <row r="1392" spans="1:4" ht="12.75" x14ac:dyDescent="0.2">
      <c r="A1392" s="8">
        <f ca="1">IFERROR(__xludf.DUMMYFUNCTION("""COMPUTED_VALUE"""),45887.6458333333)</f>
        <v>45887.645833333299</v>
      </c>
      <c r="B1392" s="7">
        <f ca="1">IFERROR(__xludf.DUMMYFUNCTION("""COMPUTED_VALUE"""),1001.8)</f>
        <v>1001.8</v>
      </c>
      <c r="C1392" s="6">
        <f t="shared" ca="1" si="10"/>
        <v>6.2779368188439211E-3</v>
      </c>
      <c r="D1392" s="7">
        <f t="shared" ca="1" si="11"/>
        <v>0.98767219005789586</v>
      </c>
    </row>
    <row r="1393" spans="1:4" ht="12.75" x14ac:dyDescent="0.2">
      <c r="A1393" s="8">
        <f ca="1">IFERROR(__xludf.DUMMYFUNCTION("""COMPUTED_VALUE"""),45888.6458333333)</f>
        <v>45888.645833333299</v>
      </c>
      <c r="B1393" s="7">
        <f ca="1">IFERROR(__xludf.DUMMYFUNCTION("""COMPUTED_VALUE"""),995.55)</f>
        <v>995.55</v>
      </c>
      <c r="C1393" s="6">
        <f t="shared" ca="1" si="10"/>
        <v>-6.2387702136155188E-3</v>
      </c>
      <c r="D1393" s="7">
        <f t="shared" ca="1" si="11"/>
        <v>0.98704233840590627</v>
      </c>
    </row>
    <row r="1394" spans="1:4" ht="12.75" x14ac:dyDescent="0.2">
      <c r="A1394" s="8">
        <f ca="1">IFERROR(__xludf.DUMMYFUNCTION("""COMPUTED_VALUE"""),45889.6458333333)</f>
        <v>45889.645833333299</v>
      </c>
      <c r="B1394" s="7">
        <f ca="1">IFERROR(__xludf.DUMMYFUNCTION("""COMPUTED_VALUE"""),994.1)</f>
        <v>994.1</v>
      </c>
      <c r="C1394" s="6">
        <f t="shared" ca="1" si="10"/>
        <v>-1.4564813419717382E-3</v>
      </c>
      <c r="D1394" s="7">
        <f t="shared" ca="1" si="11"/>
        <v>0.98098782818629915</v>
      </c>
    </row>
    <row r="1395" spans="1:4" ht="12.75" x14ac:dyDescent="0.2">
      <c r="A1395" s="8">
        <f ca="1">IFERROR(__xludf.DUMMYFUNCTION("""COMPUTED_VALUE"""),45890.6458333333)</f>
        <v>45890.645833333299</v>
      </c>
      <c r="B1395" s="7">
        <f ca="1">IFERROR(__xludf.DUMMYFUNCTION("""COMPUTED_VALUE"""),995.6)</f>
        <v>995.6</v>
      </c>
      <c r="C1395" s="6">
        <f t="shared" ca="1" si="10"/>
        <v>1.5089025248968824E-3</v>
      </c>
      <c r="D1395" s="7">
        <f t="shared" ca="1" si="11"/>
        <v>0.97599437525110488</v>
      </c>
    </row>
    <row r="1396" spans="1:4" ht="12.75" x14ac:dyDescent="0.2">
      <c r="A1396" s="8">
        <f ca="1">IFERROR(__xludf.DUMMYFUNCTION("""COMPUTED_VALUE"""),45891.6458333333)</f>
        <v>45891.645833333299</v>
      </c>
      <c r="B1396" s="7">
        <f ca="1">IFERROR(__xludf.DUMMYFUNCTION("""COMPUTED_VALUE"""),982.3)</f>
        <v>982.3</v>
      </c>
      <c r="C1396" s="6">
        <f t="shared" ca="1" si="10"/>
        <v>-1.3358778625954248E-2</v>
      </c>
      <c r="D1396" s="7">
        <f t="shared" ca="1" si="11"/>
        <v>0.97607655502392343</v>
      </c>
    </row>
    <row r="1397" spans="1:4" ht="12.75" x14ac:dyDescent="0.2">
      <c r="A1397" s="8">
        <f ca="1">IFERROR(__xludf.DUMMYFUNCTION("""COMPUTED_VALUE"""),45894.6458333333)</f>
        <v>45894.645833333299</v>
      </c>
      <c r="B1397" s="7">
        <f ca="1">IFERROR(__xludf.DUMMYFUNCTION("""COMPUTED_VALUE"""),982.05)</f>
        <v>982.05</v>
      </c>
      <c r="C1397" s="6">
        <f t="shared" ca="1" si="10"/>
        <v>-2.5450473378807459E-4</v>
      </c>
      <c r="D1397" s="7">
        <f t="shared" ca="1" si="11"/>
        <v>0.98538770938343268</v>
      </c>
    </row>
    <row r="1398" spans="1:4" ht="12.75" x14ac:dyDescent="0.2">
      <c r="A1398" s="8">
        <f ca="1">IFERROR(__xludf.DUMMYFUNCTION("""COMPUTED_VALUE"""),45895.6458333333)</f>
        <v>45895.645833333299</v>
      </c>
      <c r="B1398" s="7">
        <f ca="1">IFERROR(__xludf.DUMMYFUNCTION("""COMPUTED_VALUE"""),973.4)</f>
        <v>973.4</v>
      </c>
      <c r="C1398" s="6">
        <f t="shared" ca="1" si="10"/>
        <v>-8.8081054936103298E-3</v>
      </c>
      <c r="D1398" s="7">
        <f t="shared" ca="1" si="11"/>
        <v>0.99116498869940417</v>
      </c>
    </row>
    <row r="1399" spans="1:4" ht="12.75" x14ac:dyDescent="0.2">
      <c r="A1399" s="8">
        <f ca="1">IFERROR(__xludf.DUMMYFUNCTION("""COMPUTED_VALUE"""),45897.6458333333)</f>
        <v>45897.645833333299</v>
      </c>
      <c r="B1399" s="7">
        <f ca="1">IFERROR(__xludf.DUMMYFUNCTION("""COMPUTED_VALUE"""),957.8)</f>
        <v>957.8</v>
      </c>
      <c r="C1399" s="6">
        <f t="shared" ca="1" si="10"/>
        <v>-1.6026299568522751E-2</v>
      </c>
      <c r="D1399" s="7">
        <f t="shared" ca="1" si="11"/>
        <v>1.0095531426185009</v>
      </c>
    </row>
    <row r="1400" spans="1:4" ht="12.75" x14ac:dyDescent="0.2">
      <c r="A1400" s="8">
        <f ca="1">IFERROR(__xludf.DUMMYFUNCTION("""COMPUTED_VALUE"""),45898.6458333333)</f>
        <v>45898.645833333299</v>
      </c>
      <c r="B1400" s="7">
        <f ca="1">IFERROR(__xludf.DUMMYFUNCTION("""COMPUTED_VALUE"""),951.6)</f>
        <v>951.6</v>
      </c>
      <c r="C1400" s="6">
        <f t="shared" ca="1" si="10"/>
        <v>-6.4731676759238743E-3</v>
      </c>
      <c r="D1400" s="7">
        <f t="shared" ca="1" si="11"/>
        <v>1.0168663303909204</v>
      </c>
    </row>
    <row r="1401" spans="1:4" ht="12.75" x14ac:dyDescent="0.2">
      <c r="A1401" s="8">
        <f ca="1">IFERROR(__xludf.DUMMYFUNCTION("""COMPUTED_VALUE"""),45901.6458333333)</f>
        <v>45901.645833333299</v>
      </c>
      <c r="B1401" s="7">
        <f ca="1">IFERROR(__xludf.DUMMYFUNCTION("""COMPUTED_VALUE"""),950.6)</f>
        <v>950.6</v>
      </c>
      <c r="C1401" s="6">
        <f t="shared" ca="1" si="10"/>
        <v>-1.0508617065994041E-3</v>
      </c>
      <c r="D1401" s="7">
        <f t="shared" ca="1" si="11"/>
        <v>1.0333999579213129</v>
      </c>
    </row>
    <row r="1402" spans="1:4" ht="12.75" x14ac:dyDescent="0.2">
      <c r="A1402" s="8">
        <f ca="1">IFERROR(__xludf.DUMMYFUNCTION("""COMPUTED_VALUE"""),45902.6458333333)</f>
        <v>45902.645833333299</v>
      </c>
      <c r="B1402" s="7">
        <f ca="1">IFERROR(__xludf.DUMMYFUNCTION("""COMPUTED_VALUE"""),944.5)</f>
        <v>944.5</v>
      </c>
      <c r="C1402" s="6">
        <f t="shared" ca="1" si="10"/>
        <v>-6.4169997896066366E-3</v>
      </c>
      <c r="D1402" s="7">
        <f t="shared" ca="1" si="11"/>
        <v>1.0314452091053468</v>
      </c>
    </row>
    <row r="1403" spans="1:4" ht="12.75" x14ac:dyDescent="0.2">
      <c r="A1403" s="8">
        <f ca="1">IFERROR(__xludf.DUMMYFUNCTION("""COMPUTED_VALUE"""),45903.6458333333)</f>
        <v>45903.645833333299</v>
      </c>
      <c r="B1403" s="7">
        <f ca="1">IFERROR(__xludf.DUMMYFUNCTION("""COMPUTED_VALUE"""),954.45)</f>
        <v>954.45</v>
      </c>
      <c r="C1403" s="6">
        <f t="shared" ca="1" si="10"/>
        <v>1.0534674430915825E-2</v>
      </c>
      <c r="D1403" s="7">
        <f t="shared" ca="1" si="11"/>
        <v>1.0272408193200273</v>
      </c>
    </row>
    <row r="1404" spans="1:4" ht="12.75" x14ac:dyDescent="0.2">
      <c r="A1404" s="8">
        <f ca="1">IFERROR(__xludf.DUMMYFUNCTION("""COMPUTED_VALUE"""),45904.6458333333)</f>
        <v>45904.645833333299</v>
      </c>
      <c r="B1404" s="7">
        <f ca="1">IFERROR(__xludf.DUMMYFUNCTION("""COMPUTED_VALUE"""),961.25)</f>
        <v>961.25</v>
      </c>
      <c r="C1404" s="6">
        <f t="shared" ca="1" si="10"/>
        <v>7.1245219760069922E-3</v>
      </c>
      <c r="D1404" s="7">
        <f t="shared" ca="1" si="11"/>
        <v>1.0300130039011703</v>
      </c>
    </row>
    <row r="1405" spans="1:4" ht="12.75" x14ac:dyDescent="0.2">
      <c r="A1405" s="8">
        <f ca="1">IFERROR(__xludf.DUMMYFUNCTION("""COMPUTED_VALUE"""),45905.6458333333)</f>
        <v>45905.645833333299</v>
      </c>
      <c r="B1405" s="7">
        <f ca="1">IFERROR(__xludf.DUMMYFUNCTION("""COMPUTED_VALUE"""),963.4)</f>
        <v>963.4</v>
      </c>
      <c r="C1405" s="6">
        <f t="shared" ca="1" si="10"/>
        <v>2.2366710013004276E-3</v>
      </c>
      <c r="D1405" s="7">
        <f t="shared" ca="1" si="11"/>
        <v>1.0493045463981732</v>
      </c>
    </row>
    <row r="1406" spans="1:4" ht="12.75" x14ac:dyDescent="0.2">
      <c r="A1406" s="8">
        <f ca="1">IFERROR(__xludf.DUMMYFUNCTION("""COMPUTED_VALUE"""),45908.6458333333)</f>
        <v>45908.645833333299</v>
      </c>
      <c r="B1406" s="7">
        <f ca="1">IFERROR(__xludf.DUMMYFUNCTION("""COMPUTED_VALUE"""),966)</f>
        <v>966</v>
      </c>
      <c r="C1406" s="6">
        <f t="shared" ca="1" si="10"/>
        <v>2.698775171268375E-3</v>
      </c>
      <c r="D1406" s="7">
        <f t="shared" ca="1" si="11"/>
        <v>1.0429089026915115</v>
      </c>
    </row>
    <row r="1407" spans="1:4" ht="12.75" x14ac:dyDescent="0.2">
      <c r="A1407" s="8">
        <f ca="1">IFERROR(__xludf.DUMMYFUNCTION("""COMPUTED_VALUE"""),45909.6458333333)</f>
        <v>45909.645833333299</v>
      </c>
      <c r="B1407" s="7">
        <f ca="1">IFERROR(__xludf.DUMMYFUNCTION("""COMPUTED_VALUE"""),965.15)</f>
        <v>965.15</v>
      </c>
      <c r="C1407" s="6">
        <f t="shared" ca="1" si="10"/>
        <v>-8.799171842650555E-4</v>
      </c>
      <c r="D1407" s="7">
        <f t="shared" ca="1" si="11"/>
        <v>1.0368854582189297</v>
      </c>
    </row>
    <row r="1408" spans="1:4" ht="12.75" x14ac:dyDescent="0.2">
      <c r="A1408" s="8">
        <f ca="1">IFERROR(__xludf.DUMMYFUNCTION("""COMPUTED_VALUE"""),45910.6458333333)</f>
        <v>45910.645833333299</v>
      </c>
      <c r="B1408" s="7">
        <f ca="1">IFERROR(__xludf.DUMMYFUNCTION("""COMPUTED_VALUE"""),965.9)</f>
        <v>965.9</v>
      </c>
      <c r="C1408" s="6">
        <f t="shared" ca="1" si="10"/>
        <v>7.7708128270215227E-4</v>
      </c>
      <c r="D1408" s="7">
        <f t="shared" ca="1" si="11"/>
        <v>1.0415674500465886</v>
      </c>
    </row>
    <row r="1409" spans="1:4" ht="12.75" x14ac:dyDescent="0.2">
      <c r="A1409" s="8">
        <f ca="1">IFERROR(__xludf.DUMMYFUNCTION("""COMPUTED_VALUE"""),45911.6458333333)</f>
        <v>45911.645833333299</v>
      </c>
      <c r="B1409" s="7">
        <f ca="1">IFERROR(__xludf.DUMMYFUNCTION("""COMPUTED_VALUE"""),967.8)</f>
        <v>967.8</v>
      </c>
      <c r="C1409" s="6">
        <f t="shared" ca="1" si="10"/>
        <v>1.9670773371984751E-3</v>
      </c>
      <c r="D1409" s="7">
        <f t="shared" ca="1" si="11"/>
        <v>1.0260384376937384</v>
      </c>
    </row>
    <row r="1410" spans="1:4" ht="12.75" x14ac:dyDescent="0.2">
      <c r="A1410" s="8">
        <f ca="1">IFERROR(__xludf.DUMMYFUNCTION("""COMPUTED_VALUE"""),45912.6458333333)</f>
        <v>45912.645833333299</v>
      </c>
      <c r="B1410" s="7">
        <f ca="1">IFERROR(__xludf.DUMMYFUNCTION("""COMPUTED_VALUE"""),967.3)</f>
        <v>967.3</v>
      </c>
      <c r="C1410" s="6">
        <f t="shared" ca="1" si="10"/>
        <v>-5.1663566852655496E-4</v>
      </c>
      <c r="D1410" s="7">
        <f t="shared" ca="1" si="11"/>
        <v>1.0271373927426859</v>
      </c>
    </row>
    <row r="1411" spans="1:4" ht="12.75" x14ac:dyDescent="0.2">
      <c r="A1411" s="8">
        <f ca="1">IFERROR(__xludf.DUMMYFUNCTION("""COMPUTED_VALUE"""),45915.6458333333)</f>
        <v>45915.645833333299</v>
      </c>
      <c r="B1411" s="7">
        <f ca="1">IFERROR(__xludf.DUMMYFUNCTION("""COMPUTED_VALUE"""),967.05)</f>
        <v>967.05</v>
      </c>
      <c r="C1411" s="6">
        <f t="shared" ca="1" si="10"/>
        <v>-2.5845135945412601E-4</v>
      </c>
      <c r="D1411" s="7">
        <f t="shared" ca="1" si="11"/>
        <v>1.0285404063905692</v>
      </c>
    </row>
    <row r="1412" spans="1:4" ht="12.75" x14ac:dyDescent="0.2">
      <c r="A1412" s="8">
        <f ca="1">IFERROR(__xludf.DUMMYFUNCTION("""COMPUTED_VALUE"""),45916.6458333333)</f>
        <v>45916.645833333299</v>
      </c>
      <c r="B1412" s="7">
        <f ca="1">IFERROR(__xludf.DUMMYFUNCTION("""COMPUTED_VALUE"""),966.85)</f>
        <v>966.85</v>
      </c>
      <c r="C1412" s="6">
        <f t="shared" ca="1" si="10"/>
        <v>-2.0681453906201686E-4</v>
      </c>
      <c r="D1412" s="7">
        <f t="shared" ca="1" si="11"/>
        <v>1.0277705952319387</v>
      </c>
    </row>
    <row r="1413" spans="1:4" ht="12.75" x14ac:dyDescent="0.2">
      <c r="A1413" s="8">
        <f ca="1">IFERROR(__xludf.DUMMYFUNCTION("""COMPUTED_VALUE"""),45917.6458333333)</f>
        <v>45917.645833333299</v>
      </c>
      <c r="B1413" s="7">
        <f ca="1">IFERROR(__xludf.DUMMYFUNCTION("""COMPUTED_VALUE"""),966.5)</f>
        <v>966.5</v>
      </c>
      <c r="C1413" s="6">
        <f t="shared" ca="1" si="10"/>
        <v>-3.6200031028599255E-4</v>
      </c>
      <c r="D1413" s="7">
        <f t="shared" ca="1" si="11"/>
        <v>1.0353854112778065</v>
      </c>
    </row>
    <row r="1414" spans="1:4" ht="12.75" x14ac:dyDescent="0.2">
      <c r="A1414" s="8">
        <f ca="1">IFERROR(__xludf.DUMMYFUNCTION("""COMPUTED_VALUE"""),45918.6458333333)</f>
        <v>45918.645833333299</v>
      </c>
      <c r="B1414" s="7">
        <f ca="1">IFERROR(__xludf.DUMMYFUNCTION("""COMPUTED_VALUE"""),976.9)</f>
        <v>976.9</v>
      </c>
      <c r="C1414" s="6">
        <f t="shared" ca="1" si="10"/>
        <v>1.0760475944128212E-2</v>
      </c>
      <c r="D1414" s="7">
        <f t="shared" ca="1" si="11"/>
        <v>1.0293786467396868</v>
      </c>
    </row>
    <row r="1415" spans="1:4" ht="12.75" x14ac:dyDescent="0.2">
      <c r="A1415" s="8">
        <f ca="1">IFERROR(__xludf.DUMMYFUNCTION("""COMPUTED_VALUE"""),45919.6458333333)</f>
        <v>45919.645833333299</v>
      </c>
      <c r="B1415" s="7">
        <f ca="1">IFERROR(__xludf.DUMMYFUNCTION("""COMPUTED_VALUE"""),966.9)</f>
        <v>966.9</v>
      </c>
      <c r="C1415" s="6">
        <f t="shared" ca="1" si="10"/>
        <v>-1.0236462278636504E-2</v>
      </c>
      <c r="D1415" s="7">
        <f t="shared" ca="1" si="11"/>
        <v>1.0374392388044265</v>
      </c>
    </row>
    <row r="1416" spans="1:4" ht="12.75" x14ac:dyDescent="0.2">
      <c r="A1416" s="8">
        <f ca="1">IFERROR(__xludf.DUMMYFUNCTION("""COMPUTED_VALUE"""),45922.6458333333)</f>
        <v>45922.645833333299</v>
      </c>
      <c r="B1416" s="7">
        <f ca="1">IFERROR(__xludf.DUMMYFUNCTION("""COMPUTED_VALUE"""),964.2)</f>
        <v>964.2</v>
      </c>
      <c r="C1416" s="6">
        <f t="shared" ca="1" si="10"/>
        <v>-2.7924294135897032E-3</v>
      </c>
      <c r="D1416" s="7">
        <f t="shared" ca="1" si="11"/>
        <v>1.0286766231072391</v>
      </c>
    </row>
    <row r="1417" spans="1:4" ht="12.75" x14ac:dyDescent="0.2">
      <c r="A1417" s="8">
        <f ca="1">IFERROR(__xludf.DUMMYFUNCTION("""COMPUTED_VALUE"""),45923.6458333333)</f>
        <v>45923.645833333299</v>
      </c>
      <c r="B1417" s="7">
        <f ca="1">IFERROR(__xludf.DUMMYFUNCTION("""COMPUTED_VALUE"""),957.2)</f>
        <v>957.2</v>
      </c>
      <c r="C1417" s="6">
        <f t="shared" ca="1" si="10"/>
        <v>-7.2599045841111876E-3</v>
      </c>
      <c r="D1417" s="7">
        <f t="shared" ca="1" si="11"/>
        <v>1.0358336815712494</v>
      </c>
    </row>
    <row r="1418" spans="1:4" ht="12.75" x14ac:dyDescent="0.2">
      <c r="A1418" s="8">
        <f ca="1">IFERROR(__xludf.DUMMYFUNCTION("""COMPUTED_VALUE"""),45924.6458333333)</f>
        <v>45924.645833333299</v>
      </c>
      <c r="B1418" s="7">
        <f ca="1">IFERROR(__xludf.DUMMYFUNCTION("""COMPUTED_VALUE"""),951.05)</f>
        <v>951.05</v>
      </c>
      <c r="C1418" s="6">
        <f t="shared" ca="1" si="10"/>
        <v>-6.4249895528626366E-3</v>
      </c>
      <c r="D1418" s="7">
        <f t="shared" ca="1" si="11"/>
        <v>1.0491036223121812</v>
      </c>
    </row>
    <row r="1419" spans="1:4" ht="12.75" x14ac:dyDescent="0.2">
      <c r="A1419" s="8">
        <f ca="1">IFERROR(__xludf.DUMMYFUNCTION("""COMPUTED_VALUE"""),45925.6458333333)</f>
        <v>45925.645833333299</v>
      </c>
      <c r="B1419" s="7">
        <f ca="1">IFERROR(__xludf.DUMMYFUNCTION("""COMPUTED_VALUE"""),949.85)</f>
        <v>949.85</v>
      </c>
      <c r="C1419" s="6">
        <f t="shared" ca="1" si="10"/>
        <v>-1.2617633142315565E-3</v>
      </c>
      <c r="D1419" s="7">
        <f t="shared" ca="1" si="11"/>
        <v>1.0508501342317207</v>
      </c>
    </row>
    <row r="1420" spans="1:4" ht="12.75" x14ac:dyDescent="0.2">
      <c r="A1420" s="8">
        <f ca="1">IFERROR(__xludf.DUMMYFUNCTION("""COMPUTED_VALUE"""),45926.6458333333)</f>
        <v>45926.645833333299</v>
      </c>
      <c r="B1420" s="7">
        <f ca="1">IFERROR(__xludf.DUMMYFUNCTION("""COMPUTED_VALUE"""),945.05)</f>
        <v>945.05</v>
      </c>
      <c r="C1420" s="6">
        <f t="shared" ca="1" si="10"/>
        <v>-5.0534294888667786E-3</v>
      </c>
      <c r="D1420" s="7">
        <f t="shared" ca="1" si="11"/>
        <v>1.0512142214697635</v>
      </c>
    </row>
    <row r="1421" spans="1:4" ht="12.75" x14ac:dyDescent="0.2">
      <c r="A1421" s="8">
        <f ca="1">IFERROR(__xludf.DUMMYFUNCTION("""COMPUTED_VALUE"""),45929.6458333333)</f>
        <v>45929.645833333299</v>
      </c>
      <c r="B1421" s="7">
        <f ca="1">IFERROR(__xludf.DUMMYFUNCTION("""COMPUTED_VALUE"""),950.3)</f>
        <v>950.3</v>
      </c>
      <c r="C1421" s="6">
        <f t="shared" ca="1" si="10"/>
        <v>5.5552616263689902E-3</v>
      </c>
      <c r="D1421" s="7">
        <f t="shared" ca="1" si="11"/>
        <v>1.0298852993791434</v>
      </c>
    </row>
    <row r="1422" spans="1:4" ht="12.75" x14ac:dyDescent="0.2">
      <c r="A1422" s="8">
        <f ca="1">IFERROR(__xludf.DUMMYFUNCTION("""COMPUTED_VALUE"""),45930.6458333333)</f>
        <v>45930.645833333299</v>
      </c>
      <c r="B1422" s="7">
        <f ca="1">IFERROR(__xludf.DUMMYFUNCTION("""COMPUTED_VALUE"""),951)</f>
        <v>951</v>
      </c>
      <c r="C1422" s="6">
        <f t="shared" ca="1" si="10"/>
        <v>7.3660949173959267E-4</v>
      </c>
      <c r="D1422" s="7">
        <f t="shared" ca="1" si="11"/>
        <v>1.0517875920084121</v>
      </c>
    </row>
    <row r="1423" spans="1:4" ht="12.75" x14ac:dyDescent="0.2">
      <c r="A1423" s="8">
        <f ca="1">IFERROR(__xludf.DUMMYFUNCTION("""COMPUTED_VALUE"""),45931.6458333333)</f>
        <v>45931.645833333299</v>
      </c>
      <c r="B1423" s="7">
        <f ca="1">IFERROR(__xludf.DUMMYFUNCTION("""COMPUTED_VALUE"""),965.25)</f>
        <v>965.25</v>
      </c>
      <c r="C1423" s="6">
        <f t="shared" ca="1" si="10"/>
        <v>1.4984227129337446E-2</v>
      </c>
      <c r="D1423" s="7">
        <f t="shared" ca="1" si="11"/>
        <v>1.0396788396788397</v>
      </c>
    </row>
    <row r="1424" spans="1:4" ht="12.75" x14ac:dyDescent="0.2">
      <c r="A1424" s="8">
        <f ca="1">IFERROR(__xludf.DUMMYFUNCTION("""COMPUTED_VALUE"""),45933.6458333333)</f>
        <v>45933.645833333299</v>
      </c>
      <c r="B1424" s="7">
        <f ca="1">IFERROR(__xludf.DUMMYFUNCTION("""COMPUTED_VALUE"""),965.15)</f>
        <v>965.15</v>
      </c>
      <c r="C1424" s="6">
        <f t="shared" ca="1" si="10"/>
        <v>-1.0360010360010996E-4</v>
      </c>
      <c r="D1424" s="7">
        <f t="shared" ca="1" si="11"/>
        <v>1.0486970937160027</v>
      </c>
    </row>
    <row r="1425" spans="1:4" ht="12.75" x14ac:dyDescent="0.2">
      <c r="A1425" s="8">
        <f ca="1">IFERROR(__xludf.DUMMYFUNCTION("""COMPUTED_VALUE"""),45936.6458333333)</f>
        <v>45936.645833333299</v>
      </c>
      <c r="B1425" s="7">
        <f ca="1">IFERROR(__xludf.DUMMYFUNCTION("""COMPUTED_VALUE"""),973.45)</f>
        <v>973.45</v>
      </c>
      <c r="C1425" s="6">
        <f t="shared" ca="1" si="10"/>
        <v>8.5996995285708699E-3</v>
      </c>
      <c r="D1425" s="7">
        <f t="shared" ca="1" si="11"/>
        <v>1.0345677744106014</v>
      </c>
    </row>
    <row r="1426" spans="1:4" ht="12.75" x14ac:dyDescent="0.2">
      <c r="A1426" s="8">
        <f ca="1">IFERROR(__xludf.DUMMYFUNCTION("""COMPUTED_VALUE"""),45937.6458333333)</f>
        <v>45937.645833333299</v>
      </c>
      <c r="B1426" s="7">
        <f ca="1">IFERROR(__xludf.DUMMYFUNCTION("""COMPUTED_VALUE"""),982.5)</f>
        <v>982.5</v>
      </c>
      <c r="C1426" s="6">
        <f t="shared" ca="1" si="10"/>
        <v>9.2968308593146531E-3</v>
      </c>
      <c r="D1426" s="7">
        <f t="shared" ca="1" si="11"/>
        <v>1.0201526717557252</v>
      </c>
    </row>
    <row r="1427" spans="1:4" ht="12.75" x14ac:dyDescent="0.2">
      <c r="A1427" s="8">
        <f ca="1">IFERROR(__xludf.DUMMYFUNCTION("""COMPUTED_VALUE"""),45938.6458333333)</f>
        <v>45938.645833333299</v>
      </c>
      <c r="B1427" s="7">
        <f ca="1">IFERROR(__xludf.DUMMYFUNCTION("""COMPUTED_VALUE"""),978.7)</f>
        <v>978.7</v>
      </c>
      <c r="C1427" s="6">
        <f t="shared" ca="1" si="10"/>
        <v>-3.8676844783714914E-3</v>
      </c>
      <c r="D1427" s="7">
        <f t="shared" ca="1" si="11"/>
        <v>1.0261060590579338</v>
      </c>
    </row>
    <row r="1428" spans="1:4" ht="12.75" x14ac:dyDescent="0.2">
      <c r="A1428" s="8">
        <f ca="1">IFERROR(__xludf.DUMMYFUNCTION("""COMPUTED_VALUE"""),45939.6458333333)</f>
        <v>45939.645833333299</v>
      </c>
      <c r="B1428" s="7">
        <f ca="1">IFERROR(__xludf.DUMMYFUNCTION("""COMPUTED_VALUE"""),977.1)</f>
        <v>977.1</v>
      </c>
      <c r="C1428" s="6">
        <f t="shared" ca="1" si="10"/>
        <v>-1.634821702258149E-3</v>
      </c>
      <c r="D1428" s="7">
        <f t="shared" ca="1" si="11"/>
        <v>1.0344898168048307</v>
      </c>
    </row>
    <row r="1429" spans="1:4" ht="12.75" x14ac:dyDescent="0.2">
      <c r="A1429" s="8">
        <f ca="1">IFERROR(__xludf.DUMMYFUNCTION("""COMPUTED_VALUE"""),45940.6458333333)</f>
        <v>45940.645833333299</v>
      </c>
      <c r="B1429" s="7">
        <f ca="1">IFERROR(__xludf.DUMMYFUNCTION("""COMPUTED_VALUE"""),980.9)</f>
        <v>980.9</v>
      </c>
      <c r="C1429" s="6">
        <f t="shared" ca="1" si="10"/>
        <v>3.889059461672284E-3</v>
      </c>
      <c r="D1429" s="7">
        <f t="shared" ca="1" si="11"/>
        <v>1.0326231012335609</v>
      </c>
    </row>
    <row r="1430" spans="1:4" ht="12.75" x14ac:dyDescent="0.2">
      <c r="A1430" s="8">
        <f ca="1">IFERROR(__xludf.DUMMYFUNCTION("""COMPUTED_VALUE"""),45943.6458333333)</f>
        <v>45943.645833333299</v>
      </c>
      <c r="B1430" s="7">
        <f ca="1">IFERROR(__xludf.DUMMYFUNCTION("""COMPUTED_VALUE"""),977)</f>
        <v>977</v>
      </c>
      <c r="C1430" s="6">
        <f t="shared" ca="1" si="10"/>
        <v>-3.9759404628402217E-3</v>
      </c>
      <c r="D1430" s="7">
        <f t="shared" ca="1" si="11"/>
        <v>1.0328556806550666</v>
      </c>
    </row>
    <row r="1431" spans="1:4" ht="12.75" x14ac:dyDescent="0.2">
      <c r="A1431" s="8">
        <f ca="1">IFERROR(__xludf.DUMMYFUNCTION("""COMPUTED_VALUE"""),45944.6458333333)</f>
        <v>45944.645833333299</v>
      </c>
      <c r="B1431" s="7">
        <f ca="1">IFERROR(__xludf.DUMMYFUNCTION("""COMPUTED_VALUE"""),977.15)</f>
        <v>977.15</v>
      </c>
      <c r="C1431" s="6">
        <f t="shared" ca="1" si="10"/>
        <v>1.5353121801431335E-4</v>
      </c>
      <c r="D1431" s="7">
        <f t="shared" ca="1" si="11"/>
        <v>1.0296269764109911</v>
      </c>
    </row>
    <row r="1432" spans="1:4" ht="12.75" x14ac:dyDescent="0.2">
      <c r="A1432" s="8">
        <f ca="1">IFERROR(__xludf.DUMMYFUNCTION("""COMPUTED_VALUE"""),45945.6458333333)</f>
        <v>45945.645833333299</v>
      </c>
      <c r="B1432" s="7">
        <f ca="1">IFERROR(__xludf.DUMMYFUNCTION("""COMPUTED_VALUE"""),978.25)</f>
        <v>978.25</v>
      </c>
      <c r="C1432" s="6">
        <f t="shared" ca="1" si="10"/>
        <v>1.1257227651844115E-3</v>
      </c>
      <c r="D1432" s="7">
        <f t="shared" ca="1" si="11"/>
        <v>1.0181446460516228</v>
      </c>
    </row>
    <row r="1433" spans="1:4" ht="12.75" x14ac:dyDescent="0.2">
      <c r="A1433" s="8">
        <f ca="1">IFERROR(__xludf.DUMMYFUNCTION("""COMPUTED_VALUE"""),45946.6458333333)</f>
        <v>45946.645833333299</v>
      </c>
      <c r="B1433" s="7">
        <f ca="1">IFERROR(__xludf.DUMMYFUNCTION("""COMPUTED_VALUE"""),994.35)</f>
        <v>994.35</v>
      </c>
      <c r="C1433" s="6">
        <f t="shared" ca="1" si="10"/>
        <v>1.6457960644007175E-2</v>
      </c>
      <c r="D1433" s="7">
        <f t="shared" ca="1" si="11"/>
        <v>0.99441846432342729</v>
      </c>
    </row>
    <row r="1434" spans="1:4" ht="12.75" x14ac:dyDescent="0.2">
      <c r="A1434" s="8">
        <f ca="1">IFERROR(__xludf.DUMMYFUNCTION("""COMPUTED_VALUE"""),45947.6458333333)</f>
        <v>45947.645833333299</v>
      </c>
      <c r="B1434" s="7">
        <f ca="1">IFERROR(__xludf.DUMMYFUNCTION("""COMPUTED_VALUE"""),1002.55)</f>
        <v>1002.55</v>
      </c>
      <c r="C1434" s="6">
        <f t="shared" ca="1" si="10"/>
        <v>8.2465932518729357E-3</v>
      </c>
      <c r="D1434" s="7">
        <f t="shared" ca="1" si="11"/>
        <v>0.99012518078898815</v>
      </c>
    </row>
    <row r="1435" spans="1:4" ht="12.75" x14ac:dyDescent="0.2">
      <c r="A1435" s="8">
        <f ca="1">IFERROR(__xludf.DUMMYFUNCTION("""COMPUTED_VALUE"""),45950.6458333333)</f>
        <v>45950.645833333299</v>
      </c>
      <c r="B1435" s="7">
        <f ca="1">IFERROR(__xludf.DUMMYFUNCTION("""COMPUTED_VALUE"""),1002.95)</f>
        <v>1002.95</v>
      </c>
      <c r="C1435" s="6">
        <f t="shared" ca="1" si="10"/>
        <v>3.9898259438442274E-4</v>
      </c>
      <c r="D1435" s="7">
        <f t="shared" ca="1" si="11"/>
        <v>0.99476544194625849</v>
      </c>
    </row>
    <row r="1436" spans="1:4" ht="12.75" x14ac:dyDescent="0.2">
      <c r="A1436" s="8">
        <f ca="1">IFERROR(__xludf.DUMMYFUNCTION("""COMPUTED_VALUE"""),45951.6458333333)</f>
        <v>45951.645833333299</v>
      </c>
      <c r="B1436" s="7">
        <f ca="1">IFERROR(__xludf.DUMMYFUNCTION("""COMPUTED_VALUE"""),1007.7)</f>
        <v>1007.7</v>
      </c>
      <c r="C1436" s="6">
        <f t="shared" ca="1" si="10"/>
        <v>4.7360287152899971E-3</v>
      </c>
      <c r="D1436" s="7">
        <f t="shared" ca="1" si="11"/>
        <v>0.97940855413317451</v>
      </c>
    </row>
    <row r="1437" spans="1:4" ht="12.75" x14ac:dyDescent="0.2">
      <c r="A1437" s="8">
        <f ca="1">IFERROR(__xludf.DUMMYFUNCTION("""COMPUTED_VALUE"""),45953.6458333333)</f>
        <v>45953.645833333299</v>
      </c>
      <c r="B1437" s="7">
        <f ca="1">IFERROR(__xludf.DUMMYFUNCTION("""COMPUTED_VALUE"""),1008.8)</f>
        <v>1008.8</v>
      </c>
      <c r="C1437" s="6">
        <f t="shared" ca="1" si="10"/>
        <v>1.0915947206509014E-3</v>
      </c>
      <c r="D1437" s="7">
        <f t="shared" ca="1" si="11"/>
        <v>0.98909595559080099</v>
      </c>
    </row>
    <row r="1438" spans="1:4" ht="12.75" x14ac:dyDescent="0.2">
      <c r="A1438" s="8">
        <f ca="1">IFERROR(__xludf.DUMMYFUNCTION("""COMPUTED_VALUE"""),45954.6458333333)</f>
        <v>45954.645833333299</v>
      </c>
      <c r="B1438" s="7">
        <f ca="1">IFERROR(__xludf.DUMMYFUNCTION("""COMPUTED_VALUE"""),994.75)</f>
        <v>994.75</v>
      </c>
      <c r="C1438" s="6">
        <f t="shared" ca="1" si="10"/>
        <v>-1.3927438540840553E-2</v>
      </c>
      <c r="D1438" s="7">
        <f t="shared" ca="1" si="11"/>
        <v>0.9901482784619251</v>
      </c>
    </row>
    <row r="1439" spans="1:4" ht="12.75" x14ac:dyDescent="0.2">
      <c r="A1439" s="8">
        <f ca="1">IFERROR(__xludf.DUMMYFUNCTION("""COMPUTED_VALUE"""),45957.6458333333)</f>
        <v>45957.645833333299</v>
      </c>
      <c r="B1439" s="7">
        <f ca="1">IFERROR(__xludf.DUMMYFUNCTION("""COMPUTED_VALUE"""),1002.95)</f>
        <v>1002.95</v>
      </c>
      <c r="C1439" s="6">
        <f t="shared" ca="1" si="10"/>
        <v>8.2432772053280257E-3</v>
      </c>
      <c r="D1439" s="7">
        <f t="shared" ca="1" si="11"/>
        <v>0.98723764893563981</v>
      </c>
    </row>
    <row r="1440" spans="1:4" ht="12.75" x14ac:dyDescent="0.2">
      <c r="A1440" s="8">
        <f ca="1">IFERROR(__xludf.DUMMYFUNCTION("""COMPUTED_VALUE"""),45958.6458333333)</f>
        <v>45958.645833333299</v>
      </c>
      <c r="B1440" s="7">
        <f ca="1">IFERROR(__xludf.DUMMYFUNCTION("""COMPUTED_VALUE"""),1003.55)</f>
        <v>1003.55</v>
      </c>
      <c r="C1440" s="6">
        <f t="shared" ca="1" si="10"/>
        <v>5.9823520614177284E-4</v>
      </c>
      <c r="D1440" s="7">
        <f t="shared" ca="1" si="11"/>
        <v>0.99202829953664495</v>
      </c>
    </row>
    <row r="1441" spans="1:4" ht="12.75" x14ac:dyDescent="0.2">
      <c r="A1441" s="8">
        <f ca="1">IFERROR(__xludf.DUMMYFUNCTION("""COMPUTED_VALUE"""),45959.6458333333)</f>
        <v>45959.645833333299</v>
      </c>
      <c r="B1441" s="7">
        <f ca="1">IFERROR(__xludf.DUMMYFUNCTION("""COMPUTED_VALUE"""),1007.85)</f>
        <v>1007.85</v>
      </c>
      <c r="C1441" s="6">
        <f t="shared" ca="1" si="10"/>
        <v>4.2847889990533794E-3</v>
      </c>
      <c r="D1441" s="7">
        <f t="shared" ca="1" si="11"/>
        <v>0.99399712258768658</v>
      </c>
    </row>
    <row r="1442" spans="1:4" ht="12.75" x14ac:dyDescent="0.2">
      <c r="A1442" s="8">
        <f ca="1">IFERROR(__xludf.DUMMYFUNCTION("""COMPUTED_VALUE"""),45960.6458333333)</f>
        <v>45960.645833333299</v>
      </c>
      <c r="B1442" s="7">
        <f ca="1">IFERROR(__xludf.DUMMYFUNCTION("""COMPUTED_VALUE"""),998.15)</f>
        <v>998.15</v>
      </c>
      <c r="C1442" s="6">
        <f t="shared" ca="1" si="10"/>
        <v>-9.6244480825520284E-3</v>
      </c>
      <c r="D1442" s="7">
        <f t="shared" ca="1" si="11"/>
        <v>0.99739518108500724</v>
      </c>
    </row>
    <row r="1443" spans="1:4" ht="12.75" x14ac:dyDescent="0.2">
      <c r="A1443" s="8">
        <f ca="1">IFERROR(__xludf.DUMMYFUNCTION("""COMPUTED_VALUE"""),45961.6458333333)</f>
        <v>45961.645833333299</v>
      </c>
      <c r="B1443" s="7">
        <f ca="1">IFERROR(__xludf.DUMMYFUNCTION("""COMPUTED_VALUE"""),987.3)</f>
        <v>987.3</v>
      </c>
      <c r="C1443" s="6">
        <f t="shared" ca="1" si="10"/>
        <v>-1.0870109702950437E-2</v>
      </c>
      <c r="D1443" s="7">
        <f t="shared" ca="1" si="11"/>
        <v>1.0068874708801783</v>
      </c>
    </row>
    <row r="1444" spans="1:4" ht="12.75" x14ac:dyDescent="0.2">
      <c r="A1444" s="8">
        <f ca="1">IFERROR(__xludf.DUMMYFUNCTION("""COMPUTED_VALUE"""),45964.6458333333)</f>
        <v>45964.645833333299</v>
      </c>
      <c r="B1444" s="7">
        <f ca="1">IFERROR(__xludf.DUMMYFUNCTION("""COMPUTED_VALUE"""),992.65)</f>
        <v>992.65</v>
      </c>
      <c r="C1444" s="6">
        <f t="shared" ca="1" si="10"/>
        <v>5.4188190013166881E-3</v>
      </c>
      <c r="D1444" s="7">
        <f t="shared" ca="1" si="11"/>
        <v>1.002971843046391</v>
      </c>
    </row>
    <row r="1445" spans="1:4" ht="12.75" x14ac:dyDescent="0.2">
      <c r="A1445" s="8">
        <f ca="1">IFERROR(__xludf.DUMMYFUNCTION("""COMPUTED_VALUE"""),45965.6458333333)</f>
        <v>45965.645833333299</v>
      </c>
      <c r="B1445" s="7">
        <f ca="1">IFERROR(__xludf.DUMMYFUNCTION("""COMPUTED_VALUE"""),985.25)</f>
        <v>985.25</v>
      </c>
      <c r="C1445" s="6">
        <f t="shared" ca="1" si="10"/>
        <v>-7.4547927265400382E-3</v>
      </c>
      <c r="D1445" s="7">
        <f t="shared" ca="1" si="11"/>
        <v>0.9970058360822126</v>
      </c>
    </row>
    <row r="1446" spans="1:4" ht="12.75" x14ac:dyDescent="0.2">
      <c r="A1446" s="8">
        <f ca="1">IFERROR(__xludf.DUMMYFUNCTION("""COMPUTED_VALUE"""),45967.6458333333)</f>
        <v>45967.645833333299</v>
      </c>
      <c r="B1446" s="7">
        <f ca="1">IFERROR(__xludf.DUMMYFUNCTION("""COMPUTED_VALUE"""),984.65)</f>
        <v>984.65</v>
      </c>
      <c r="C1446" s="6">
        <f t="shared" ca="1" si="10"/>
        <v>-6.089824917533404E-4</v>
      </c>
      <c r="D1446" s="7">
        <f t="shared" ca="1" si="11"/>
        <v>0.99735946783120899</v>
      </c>
    </row>
    <row r="1447" spans="1:4" ht="12.75" x14ac:dyDescent="0.2">
      <c r="A1447" s="8">
        <f ca="1">IFERROR(__xludf.DUMMYFUNCTION("""COMPUTED_VALUE"""),45968.6458333333)</f>
        <v>45968.645833333299</v>
      </c>
      <c r="B1447" s="7">
        <f ca="1">IFERROR(__xludf.DUMMYFUNCTION("""COMPUTED_VALUE"""),982.3)</f>
        <v>982.3</v>
      </c>
      <c r="C1447" s="6">
        <f t="shared" ca="1" si="10"/>
        <v>-2.3866348448687846E-3</v>
      </c>
      <c r="D1447" s="7">
        <f t="shared" ca="1" si="11"/>
        <v>0.99093963147714548</v>
      </c>
    </row>
    <row r="1448" spans="1:4" ht="12.75" x14ac:dyDescent="0.2">
      <c r="A1448" s="8">
        <f ca="1">IFERROR(__xludf.DUMMYFUNCTION("""COMPUTED_VALUE"""),45971.6458333333)</f>
        <v>45971.645833333299</v>
      </c>
      <c r="B1448" s="7">
        <f ca="1">IFERROR(__xludf.DUMMYFUNCTION("""COMPUTED_VALUE"""),984.5)</f>
        <v>984.5</v>
      </c>
      <c r="C1448" s="6">
        <f t="shared" ca="1" si="10"/>
        <v>2.2396416573349232E-3</v>
      </c>
      <c r="D1448" s="7">
        <f t="shared" ca="1" si="11"/>
        <v>0.9728796343321483</v>
      </c>
    </row>
    <row r="1449" spans="1:4" ht="12.75" x14ac:dyDescent="0.2">
      <c r="A1449" s="8">
        <f ca="1">IFERROR(__xludf.DUMMYFUNCTION("""COMPUTED_VALUE"""),45972.6458333333)</f>
        <v>45972.645833333299</v>
      </c>
      <c r="B1449" s="7">
        <f ca="1">IFERROR(__xludf.DUMMYFUNCTION("""COMPUTED_VALUE"""),991.7)</f>
        <v>991.7</v>
      </c>
      <c r="C1449" s="6">
        <f t="shared" ca="1" si="10"/>
        <v>7.3133570340275789E-3</v>
      </c>
      <c r="D1449" s="7">
        <f t="shared" ca="1" si="11"/>
        <v>0.95956438439044067</v>
      </c>
    </row>
    <row r="1450" spans="1:4" ht="12.75" x14ac:dyDescent="0.2">
      <c r="A1450" s="8">
        <f ca="1">IFERROR(__xludf.DUMMYFUNCTION("""COMPUTED_VALUE"""),45973.6458333333)</f>
        <v>45973.645833333299</v>
      </c>
      <c r="B1450" s="7">
        <f ca="1">IFERROR(__xludf.DUMMYFUNCTION("""COMPUTED_VALUE"""),989.5)</f>
        <v>989.5</v>
      </c>
      <c r="C1450" s="6">
        <f t="shared" ca="1" si="10"/>
        <v>-2.2184128264596259E-3</v>
      </c>
      <c r="D1450" s="7">
        <f t="shared" ca="1" si="11"/>
        <v>0.96068721576553817</v>
      </c>
    </row>
    <row r="1451" spans="1:4" ht="12.75" x14ac:dyDescent="0.2">
      <c r="A1451" s="8">
        <f ca="1">IFERROR(__xludf.DUMMYFUNCTION("""COMPUTED_VALUE"""),45974.6458333333)</f>
        <v>45974.645833333299</v>
      </c>
      <c r="B1451" s="7">
        <f ca="1">IFERROR(__xludf.DUMMYFUNCTION("""COMPUTED_VALUE"""),986.65)</f>
        <v>986.65</v>
      </c>
      <c r="C1451" s="6">
        <f t="shared" ca="1" si="10"/>
        <v>-2.8802425467407966E-3</v>
      </c>
      <c r="D1451" s="7">
        <f t="shared" ca="1" si="11"/>
        <v>0.95727968377844219</v>
      </c>
    </row>
    <row r="1452" spans="1:4" ht="12.75" x14ac:dyDescent="0.2">
      <c r="A1452" s="8">
        <f ca="1">IFERROR(__xludf.DUMMYFUNCTION("""COMPUTED_VALUE"""),45975.6458333333)</f>
        <v>45975.645833333299</v>
      </c>
      <c r="B1452" s="7">
        <f ca="1">IFERROR(__xludf.DUMMYFUNCTION("""COMPUTED_VALUE"""),989.6)</f>
        <v>989.6</v>
      </c>
      <c r="C1452" s="6">
        <f t="shared" ca="1" si="10"/>
        <v>2.9899153701922199E-3</v>
      </c>
      <c r="D1452" s="7">
        <f t="shared" ca="1" si="11"/>
        <v>0.96448059822150367</v>
      </c>
    </row>
    <row r="1453" spans="1:4" ht="12.75" x14ac:dyDescent="0.2">
      <c r="A1453" s="8">
        <f ca="1">IFERROR(__xludf.DUMMYFUNCTION("""COMPUTED_VALUE"""),45978.6458333333)</f>
        <v>45978.645833333299</v>
      </c>
      <c r="B1453" s="7">
        <f ca="1">IFERROR(__xludf.DUMMYFUNCTION("""COMPUTED_VALUE"""),996.55)</f>
        <v>996.55</v>
      </c>
      <c r="C1453" s="6">
        <f t="shared" ca="1" si="10"/>
        <v>7.0230396119643768E-3</v>
      </c>
      <c r="D1453" s="7">
        <f t="shared" ca="1" si="11"/>
        <v>0.96457779338718586</v>
      </c>
    </row>
    <row r="1454" spans="1:4" ht="12.75" x14ac:dyDescent="0.2">
      <c r="A1454" s="8">
        <f ca="1">IFERROR(__xludf.DUMMYFUNCTION("""COMPUTED_VALUE"""),45979.6458333333)</f>
        <v>45979.645833333299</v>
      </c>
      <c r="B1454" s="7">
        <f ca="1">IFERROR(__xludf.DUMMYFUNCTION("""COMPUTED_VALUE"""),992.45)</f>
        <v>992.45</v>
      </c>
      <c r="C1454" s="6">
        <f t="shared" ca="1" si="10"/>
        <v>-4.114193969193658E-3</v>
      </c>
      <c r="D1454" s="7">
        <f t="shared" ca="1" si="11"/>
        <v>0.97072900398004935</v>
      </c>
    </row>
    <row r="1455" spans="1:4" ht="12.75" x14ac:dyDescent="0.2">
      <c r="A1455" s="8">
        <f ca="1">IFERROR(__xludf.DUMMYFUNCTION("""COMPUTED_VALUE"""),45980.6458333333)</f>
        <v>45980.645833333299</v>
      </c>
      <c r="B1455" s="7">
        <f ca="1">IFERROR(__xludf.DUMMYFUNCTION("""COMPUTED_VALUE"""),994.6)</f>
        <v>994.6</v>
      </c>
      <c r="C1455" s="6">
        <f t="shared" ca="1" si="10"/>
        <v>2.1663559877072025E-3</v>
      </c>
      <c r="D1455" s="7">
        <f t="shared" ca="1" si="11"/>
        <v>0.97124472149607877</v>
      </c>
    </row>
    <row r="1456" spans="1:4" ht="12.75" x14ac:dyDescent="0.2">
      <c r="A1456" s="8">
        <f ca="1">IFERROR(__xludf.DUMMYFUNCTION("""COMPUTED_VALUE"""),45981.6458333333)</f>
        <v>45981.645833333299</v>
      </c>
      <c r="B1456" s="7">
        <f ca="1">IFERROR(__xludf.DUMMYFUNCTION("""COMPUTED_VALUE"""),1008.85)</f>
        <v>1008.85</v>
      </c>
      <c r="C1456" s="6">
        <f t="shared" ca="1" si="10"/>
        <v>1.4327367786044709E-2</v>
      </c>
      <c r="D1456" s="7">
        <f t="shared" ca="1" si="11"/>
        <v>0.95668335233186297</v>
      </c>
    </row>
    <row r="1457" spans="1:4" ht="12.75" x14ac:dyDescent="0.2">
      <c r="A1457" s="8">
        <f ca="1">IFERROR(__xludf.DUMMYFUNCTION("""COMPUTED_VALUE"""),45982.6458333333)</f>
        <v>45982.645833333299</v>
      </c>
      <c r="B1457" s="7">
        <f ca="1">IFERROR(__xludf.DUMMYFUNCTION("""COMPUTED_VALUE"""),998.05)</f>
        <v>998.05</v>
      </c>
      <c r="C1457" s="6">
        <f t="shared" ca="1" si="10"/>
        <v>-1.070525846260606E-2</v>
      </c>
      <c r="D1457" s="7">
        <f t="shared" ca="1" si="11"/>
        <v>0.96778718501077099</v>
      </c>
    </row>
    <row r="1458" spans="1:4" ht="12.75" x14ac:dyDescent="0.2">
      <c r="A1458" s="8">
        <f ca="1">IFERROR(__xludf.DUMMYFUNCTION("""COMPUTED_VALUE"""),45985.6458333333)</f>
        <v>45985.645833333299</v>
      </c>
      <c r="B1458" s="7">
        <f ca="1">IFERROR(__xludf.DUMMYFUNCTION("""COMPUTED_VALUE"""),999.15)</f>
        <v>999.15</v>
      </c>
      <c r="C1458" s="6">
        <f t="shared" ca="1" si="10"/>
        <v>1.1021491909222192E-3</v>
      </c>
      <c r="D1458" s="7">
        <f t="shared" ca="1" si="11"/>
        <v>0.96862332983035582</v>
      </c>
    </row>
    <row r="1459" spans="1:4" ht="12.75" x14ac:dyDescent="0.2">
      <c r="A1459" s="8">
        <f ca="1">IFERROR(__xludf.DUMMYFUNCTION("""COMPUTED_VALUE"""),45986.6458333333)</f>
        <v>45986.645833333299</v>
      </c>
      <c r="B1459" s="7">
        <f ca="1">IFERROR(__xludf.DUMMYFUNCTION("""COMPUTED_VALUE"""),989.8)</f>
        <v>989.8</v>
      </c>
      <c r="C1459" s="6">
        <f t="shared" ca="1" si="10"/>
        <v>-9.357954261121959E-3</v>
      </c>
      <c r="D1459" s="7">
        <f t="shared" ca="1" si="11"/>
        <v>0.97726813497676301</v>
      </c>
    </row>
    <row r="1460" spans="1:4" ht="12.75" x14ac:dyDescent="0.2">
      <c r="A1460" s="8">
        <f ca="1">IFERROR(__xludf.DUMMYFUNCTION("""COMPUTED_VALUE"""),45987.6458333333)</f>
        <v>45987.645833333299</v>
      </c>
      <c r="B1460" s="7">
        <f ca="1">IFERROR(__xludf.DUMMYFUNCTION("""COMPUTED_VALUE"""),1003.9)</f>
        <v>1003.9</v>
      </c>
      <c r="C1460" s="6">
        <f t="shared" ca="1" si="10"/>
        <v>1.4245302081228539E-2</v>
      </c>
      <c r="D1460" s="7">
        <f t="shared" ca="1" si="11"/>
        <v>0.96329315668891324</v>
      </c>
    </row>
    <row r="1461" spans="1:4" ht="12.75" x14ac:dyDescent="0.2">
      <c r="A1461" s="8">
        <f ca="1">IFERROR(__xludf.DUMMYFUNCTION("""COMPUTED_VALUE"""),45988.6458333333)</f>
        <v>45988.645833333299</v>
      </c>
      <c r="B1461" s="7">
        <f ca="1">IFERROR(__xludf.DUMMYFUNCTION("""COMPUTED_VALUE"""),1009.5)</f>
        <v>1009.5</v>
      </c>
      <c r="C1461" s="6">
        <f t="shared" ca="1" si="10"/>
        <v>5.5782448451040523E-3</v>
      </c>
      <c r="D1461" s="7">
        <f t="shared" ca="1" si="11"/>
        <v>0.95775136206042599</v>
      </c>
    </row>
    <row r="1462" spans="1:4" ht="12.75" x14ac:dyDescent="0.2">
      <c r="A1462" s="8">
        <f ca="1">IFERROR(__xludf.DUMMYFUNCTION("""COMPUTED_VALUE"""),45989.6458333333)</f>
        <v>45989.645833333299</v>
      </c>
      <c r="B1462" s="7">
        <f ca="1">IFERROR(__xludf.DUMMYFUNCTION("""COMPUTED_VALUE"""),1007.6)</f>
        <v>1007.6</v>
      </c>
      <c r="C1462" s="6">
        <f t="shared" ca="1" si="10"/>
        <v>-1.8821198613174772E-3</v>
      </c>
      <c r="D1462" s="7">
        <f t="shared" ca="1" si="11"/>
        <v>0.95921000396982925</v>
      </c>
    </row>
    <row r="1463" spans="1:4" ht="12.75" x14ac:dyDescent="0.2">
      <c r="A1463" s="8">
        <f ca="1">IFERROR(__xludf.DUMMYFUNCTION("""COMPUTED_VALUE"""),45992.6458333333)</f>
        <v>45992.645833333299</v>
      </c>
      <c r="B1463" s="7">
        <f ca="1">IFERROR(__xludf.DUMMYFUNCTION("""COMPUTED_VALUE"""),1002.1)</f>
        <v>1002.1</v>
      </c>
      <c r="C1463" s="6">
        <f t="shared" ca="1" si="10"/>
        <v>-5.4585152838427797E-3</v>
      </c>
      <c r="D1463" s="7">
        <f t="shared" ca="1" si="11"/>
        <v>0.97485280910088812</v>
      </c>
    </row>
    <row r="1464" spans="1:4" ht="12.75" x14ac:dyDescent="0.2">
      <c r="A1464" s="8">
        <f ca="1">IFERROR(__xludf.DUMMYFUNCTION("""COMPUTED_VALUE"""),45993.6458333333)</f>
        <v>45993.645833333299</v>
      </c>
      <c r="B1464" s="7">
        <f ca="1">IFERROR(__xludf.DUMMYFUNCTION("""COMPUTED_VALUE"""),989.8)</f>
        <v>989.8</v>
      </c>
      <c r="C1464" s="6">
        <f t="shared" ca="1" si="10"/>
        <v>-1.2274224129328437E-2</v>
      </c>
      <c r="D1464" s="7">
        <f t="shared" ca="1" si="11"/>
        <v>0.9768640129319055</v>
      </c>
    </row>
    <row r="1465" spans="1:4" ht="12.75" x14ac:dyDescent="0.2">
      <c r="A1465" s="8">
        <f ca="1">IFERROR(__xludf.DUMMYFUNCTION("""COMPUTED_VALUE"""),45994.6458333333)</f>
        <v>45994.645833333299</v>
      </c>
      <c r="B1465" s="7">
        <f ca="1">IFERROR(__xludf.DUMMYFUNCTION("""COMPUTED_VALUE"""),1000.5)</f>
        <v>1000.5</v>
      </c>
      <c r="C1465" s="6">
        <f t="shared" ca="1" si="10"/>
        <v>1.0810264699939509E-2</v>
      </c>
      <c r="D1465" s="7">
        <f t="shared" ca="1" si="11"/>
        <v>0.96371814092953523</v>
      </c>
    </row>
    <row r="1466" spans="1:4" ht="12.75" x14ac:dyDescent="0.2">
      <c r="A1466" s="8">
        <f ca="1">IFERROR(__xludf.DUMMYFUNCTION("""COMPUTED_VALUE"""),45995.6458333333)</f>
        <v>45995.645833333299</v>
      </c>
      <c r="B1466" s="7">
        <f ca="1">IFERROR(__xludf.DUMMYFUNCTION("""COMPUTED_VALUE"""),997.2)</f>
        <v>997.2</v>
      </c>
      <c r="C1466" s="6">
        <f t="shared" ca="1" si="10"/>
        <v>-3.2983508245876259E-3</v>
      </c>
      <c r="D1466" s="7">
        <f t="shared" ca="1" si="11"/>
        <v>0.95988768551945447</v>
      </c>
    </row>
    <row r="1467" spans="1:4" ht="12.75" x14ac:dyDescent="0.2">
      <c r="A1467" s="8">
        <f ca="1">IFERROR(__xludf.DUMMYFUNCTION("""COMPUTED_VALUE"""),45996.6458333333)</f>
        <v>45996.645833333299</v>
      </c>
      <c r="B1467" s="7">
        <f ca="1">IFERROR(__xludf.DUMMYFUNCTION("""COMPUTED_VALUE"""),1003.3)</f>
        <v>1003.3</v>
      </c>
      <c r="C1467" s="6">
        <f t="shared" ca="1" si="10"/>
        <v>6.1171279582830085E-3</v>
      </c>
      <c r="D1467" s="7">
        <f t="shared" ca="1" si="11"/>
        <v>0.94792185786903216</v>
      </c>
    </row>
    <row r="1468" spans="1:4" ht="12.75" x14ac:dyDescent="0.2">
      <c r="A1468" s="8">
        <f ca="1">IFERROR(__xludf.DUMMYFUNCTION("""COMPUTED_VALUE"""),45999.6458333333)</f>
        <v>45999.645833333299</v>
      </c>
      <c r="B1468" s="7">
        <f ca="1">IFERROR(__xludf.DUMMYFUNCTION("""COMPUTED_VALUE"""),1003.1)</f>
        <v>1003.1</v>
      </c>
      <c r="C1468" s="6">
        <f t="shared" ca="1" si="10"/>
        <v>-1.9934217083616979E-4</v>
      </c>
      <c r="D1468" s="7">
        <f t="shared" ca="1" si="11"/>
        <v>0.94691456484896819</v>
      </c>
    </row>
    <row r="1469" spans="1:4" ht="12.75" x14ac:dyDescent="0.2">
      <c r="A1469" s="8">
        <f ca="1">IFERROR(__xludf.DUMMYFUNCTION("""COMPUTED_VALUE"""),46000.6458333333)</f>
        <v>46000.645833333299</v>
      </c>
      <c r="B1469" s="7">
        <f ca="1">IFERROR(__xludf.DUMMYFUNCTION("""COMPUTED_VALUE"""),997.1)</f>
        <v>997.1</v>
      </c>
      <c r="C1469" s="6">
        <f t="shared" ca="1" si="10"/>
        <v>-5.9814574818064514E-3</v>
      </c>
      <c r="D1469" s="7">
        <f t="shared" ca="1" si="11"/>
        <v>0.94779861598636039</v>
      </c>
    </row>
    <row r="1470" spans="1:4" ht="12.75" x14ac:dyDescent="0.2">
      <c r="A1470" s="8">
        <f ca="1">IFERROR(__xludf.DUMMYFUNCTION("""COMPUTED_VALUE"""),46001.6458333333)</f>
        <v>46001.645833333299</v>
      </c>
      <c r="B1470" s="7">
        <f ca="1">IFERROR(__xludf.DUMMYFUNCTION("""COMPUTED_VALUE"""),989.8)</f>
        <v>989.8</v>
      </c>
      <c r="C1470" s="6">
        <f t="shared" ca="1" si="10"/>
        <v>-7.3212315715576182E-3</v>
      </c>
      <c r="D1470" s="7">
        <f t="shared" ca="1" si="11"/>
        <v>0.9600929480703172</v>
      </c>
    </row>
    <row r="1471" spans="1:4" ht="12.75" x14ac:dyDescent="0.2">
      <c r="A1471" s="8">
        <f ca="1">IFERROR(__xludf.DUMMYFUNCTION("""COMPUTED_VALUE"""),46002.6458333333)</f>
        <v>46002.645833333299</v>
      </c>
      <c r="B1471" s="7">
        <f ca="1">IFERROR(__xludf.DUMMYFUNCTION("""COMPUTED_VALUE"""),1000.3)</f>
        <v>1000.3</v>
      </c>
      <c r="C1471" s="6">
        <f t="shared" ca="1" si="10"/>
        <v>1.0608203677510586E-2</v>
      </c>
      <c r="D1471" s="7">
        <f t="shared" ca="1" si="11"/>
        <v>0.95071478556433076</v>
      </c>
    </row>
    <row r="1472" spans="1:4" ht="12.75" x14ac:dyDescent="0.2">
      <c r="A1472" s="8">
        <f ca="1">IFERROR(__xludf.DUMMYFUNCTION("""COMPUTED_VALUE"""),46003.6458333333)</f>
        <v>46003.645833333299</v>
      </c>
      <c r="B1472" s="7">
        <f ca="1">IFERROR(__xludf.DUMMYFUNCTION("""COMPUTED_VALUE"""),1001.5)</f>
        <v>1001.5</v>
      </c>
      <c r="C1472" s="6">
        <f t="shared" ca="1" si="10"/>
        <v>1.1996401079676922E-3</v>
      </c>
      <c r="D1472" s="7">
        <f t="shared" ca="1" si="11"/>
        <v>0.96380429355966046</v>
      </c>
    </row>
    <row r="1473" spans="1:4" ht="12.75" x14ac:dyDescent="0.2">
      <c r="A1473" s="8">
        <f ca="1">IFERROR(__xludf.DUMMYFUNCTION("""COMPUTED_VALUE"""),46006.6458333333)</f>
        <v>46006.645833333299</v>
      </c>
      <c r="B1473" s="7">
        <f ca="1">IFERROR(__xludf.DUMMYFUNCTION("""COMPUTED_VALUE"""),996.1)</f>
        <v>996.1</v>
      </c>
      <c r="C1473" s="6">
        <f t="shared" ca="1" si="10"/>
        <v>-5.3919121318022345E-3</v>
      </c>
      <c r="D1473" s="7">
        <f t="shared" ca="1" si="11"/>
        <v>0.96892882240738876</v>
      </c>
    </row>
    <row r="1474" spans="1:4" ht="12.75" x14ac:dyDescent="0.2">
      <c r="A1474" s="8">
        <f ca="1">IFERROR(__xludf.DUMMYFUNCTION("""COMPUTED_VALUE"""),46007.6458333333)</f>
        <v>46007.645833333299</v>
      </c>
      <c r="B1474" s="7">
        <f ca="1">IFERROR(__xludf.DUMMYFUNCTION("""COMPUTED_VALUE"""),994.3)</f>
        <v>994.3</v>
      </c>
      <c r="C1474" s="6">
        <f t="shared" ca="1" si="10"/>
        <v>-1.8070474851923368E-3</v>
      </c>
      <c r="D1474" s="7">
        <f t="shared" ca="1" si="11"/>
        <v>0.97903047370009055</v>
      </c>
    </row>
    <row r="1475" spans="1:4" ht="12.75" x14ac:dyDescent="0.2">
      <c r="A1475" s="8">
        <f ca="1">IFERROR(__xludf.DUMMYFUNCTION("""COMPUTED_VALUE"""),46008.6458333333)</f>
        <v>46008.645833333299</v>
      </c>
      <c r="B1475" s="7">
        <f ca="1">IFERROR(__xludf.DUMMYFUNCTION("""COMPUTED_VALUE"""),984)</f>
        <v>984</v>
      </c>
      <c r="C1475" s="6">
        <f t="shared" ca="1" si="10"/>
        <v>-1.0359046565422858E-2</v>
      </c>
      <c r="D1475" s="7">
        <f t="shared" ca="1" si="11"/>
        <v>0.99847560975609762</v>
      </c>
    </row>
    <row r="1476" spans="1:4" ht="12.75" x14ac:dyDescent="0.2">
      <c r="A1476" s="8">
        <f ca="1">IFERROR(__xludf.DUMMYFUNCTION("""COMPUTED_VALUE"""),46009.6458333333)</f>
        <v>46009.645833333299</v>
      </c>
      <c r="B1476" s="7">
        <f ca="1">IFERROR(__xludf.DUMMYFUNCTION("""COMPUTED_VALUE"""),979.7)</f>
        <v>979.7</v>
      </c>
      <c r="C1476" s="6">
        <f t="shared" ca="1" si="10"/>
        <v>-4.3699186991869032E-3</v>
      </c>
      <c r="D1476" s="7">
        <f t="shared" ca="1" si="11"/>
        <v>0.9989792793712361</v>
      </c>
    </row>
    <row r="1477" spans="1:4" ht="12.75" x14ac:dyDescent="0.2">
      <c r="A1477" s="8">
        <f ca="1">IFERROR(__xludf.DUMMYFUNCTION("""COMPUTED_VALUE"""),46010.6458333333)</f>
        <v>46010.645833333299</v>
      </c>
      <c r="B1477" s="7">
        <f ca="1">IFERROR(__xludf.DUMMYFUNCTION("""COMPUTED_VALUE"""),985.5)</f>
        <v>985.5</v>
      </c>
      <c r="C1477" s="6">
        <f t="shared" ca="1" si="10"/>
        <v>5.92017964683067E-3</v>
      </c>
      <c r="D1477" s="7">
        <f t="shared" ca="1" si="11"/>
        <v>0.9914764079147641</v>
      </c>
    </row>
    <row r="1478" spans="1:4" ht="12.75" x14ac:dyDescent="0.2">
      <c r="A1478" s="8">
        <f ca="1">IFERROR(__xludf.DUMMYFUNCTION("""COMPUTED_VALUE"""),46013.6458333333)</f>
        <v>46013.645833333299</v>
      </c>
      <c r="B1478" s="7">
        <f ca="1">IFERROR(__xludf.DUMMYFUNCTION("""COMPUTED_VALUE"""),987.7)</f>
        <v>987.7</v>
      </c>
      <c r="C1478" s="6">
        <f t="shared" ca="1" si="10"/>
        <v>2.2323693556571822E-3</v>
      </c>
      <c r="D1478" s="7">
        <f t="shared" ca="1" si="11"/>
        <v>0.99311531841652312</v>
      </c>
    </row>
    <row r="1479" spans="1:4" ht="12.75" x14ac:dyDescent="0.2">
      <c r="A1479" s="8">
        <f ca="1">IFERROR(__xludf.DUMMYFUNCTION("""COMPUTED_VALUE"""),46014.6458333333)</f>
        <v>46014.645833333299</v>
      </c>
      <c r="B1479" s="7">
        <f ca="1">IFERROR(__xludf.DUMMYFUNCTION("""COMPUTED_VALUE"""),996.6)</f>
        <v>996.6</v>
      </c>
      <c r="C1479" s="6">
        <f t="shared" ca="1" si="10"/>
        <v>9.0108332489622356E-3</v>
      </c>
      <c r="D1479" s="7">
        <f t="shared" ca="1" si="11"/>
        <v>0.98033313265101341</v>
      </c>
    </row>
    <row r="1480" spans="1:4" ht="12.75" x14ac:dyDescent="0.2">
      <c r="A1480" s="8">
        <f ca="1">IFERROR(__xludf.DUMMYFUNCTION("""COMPUTED_VALUE"""),46015.6458333333)</f>
        <v>46015.645833333299</v>
      </c>
      <c r="B1480" s="7">
        <f ca="1">IFERROR(__xludf.DUMMYFUNCTION("""COMPUTED_VALUE"""),997.2)</f>
        <v>997.2</v>
      </c>
      <c r="C1480" s="6">
        <f t="shared" ca="1" si="10"/>
        <v>6.0204695966281641E-4</v>
      </c>
      <c r="D1480" s="7">
        <f t="shared" ca="1" si="11"/>
        <v>0.97989370236662654</v>
      </c>
    </row>
    <row r="1481" spans="1:4" ht="12.75" x14ac:dyDescent="0.2">
      <c r="A1481" s="8">
        <f ca="1">IFERROR(__xludf.DUMMYFUNCTION("""COMPUTED_VALUE"""),46017.6458333333)</f>
        <v>46017.645833333299</v>
      </c>
      <c r="B1481" s="7">
        <f ca="1">IFERROR(__xludf.DUMMYFUNCTION("""COMPUTED_VALUE"""),992.1)</f>
        <v>992.1</v>
      </c>
      <c r="C1481" s="6">
        <f t="shared" ca="1" si="10"/>
        <v>-5.1143200962695534E-3</v>
      </c>
      <c r="D1481" s="7">
        <f t="shared" ca="1" si="11"/>
        <v>0.98603971373853438</v>
      </c>
    </row>
    <row r="1482" spans="1:4" ht="12.75" x14ac:dyDescent="0.2">
      <c r="A1482" s="8">
        <f ca="1">IFERROR(__xludf.DUMMYFUNCTION("""COMPUTED_VALUE"""),46020.6458333333)</f>
        <v>46020.645833333299</v>
      </c>
      <c r="B1482" s="7">
        <f ca="1">IFERROR(__xludf.DUMMYFUNCTION("""COMPUTED_VALUE"""),991.7)</f>
        <v>991.7</v>
      </c>
      <c r="C1482" s="6">
        <f t="shared" ca="1" si="10"/>
        <v>-4.03185162786035E-4</v>
      </c>
      <c r="D1482" s="7">
        <f t="shared" ca="1" si="11"/>
        <v>1.0026721790864173</v>
      </c>
    </row>
    <row r="1483" spans="1:4" ht="12.75" x14ac:dyDescent="0.2">
      <c r="A1483" s="8">
        <f ca="1">IFERROR(__xludf.DUMMYFUNCTION("""COMPUTED_VALUE"""),46021.6458333333)</f>
        <v>46021.645833333299</v>
      </c>
      <c r="B1483" s="7">
        <f ca="1">IFERROR(__xludf.DUMMYFUNCTION("""COMPUTED_VALUE"""),990.9)</f>
        <v>990.9</v>
      </c>
      <c r="C1483" s="6">
        <f t="shared" ca="1" si="10"/>
        <v>-8.0669557325807606E-4</v>
      </c>
      <c r="D1483" s="7">
        <f t="shared" ca="1" si="11"/>
        <v>1.0117569885962256</v>
      </c>
    </row>
    <row r="1484" spans="1:4" ht="12.75" x14ac:dyDescent="0.2">
      <c r="A1484" s="8">
        <f ca="1">IFERROR(__xludf.DUMMYFUNCTION("""COMPUTED_VALUE"""),46022.6458333333)</f>
        <v>46022.645833333299</v>
      </c>
      <c r="B1484" s="7">
        <f ca="1">IFERROR(__xludf.DUMMYFUNCTION("""COMPUTED_VALUE"""),991.2)</f>
        <v>991.2</v>
      </c>
      <c r="C1484" s="6">
        <f t="shared" ca="1" si="10"/>
        <v>3.0275507114740918E-4</v>
      </c>
      <c r="D1484" s="7">
        <f t="shared" ca="1" si="11"/>
        <v>1.0118543179983859</v>
      </c>
    </row>
    <row r="1485" spans="1:4" ht="12.75" x14ac:dyDescent="0.2">
      <c r="C1485" s="6"/>
    </row>
    <row r="1486" spans="1:4" ht="12.75" x14ac:dyDescent="0.2">
      <c r="C1486" s="6"/>
    </row>
    <row r="1487" spans="1:4" ht="12.75" x14ac:dyDescent="0.2">
      <c r="C1487" s="6"/>
    </row>
    <row r="1488" spans="1:4" ht="12.75" x14ac:dyDescent="0.2">
      <c r="C1488" s="6"/>
    </row>
    <row r="1489" spans="3:3" ht="12.75" x14ac:dyDescent="0.2">
      <c r="C1489" s="6"/>
    </row>
    <row r="1490" spans="3:3" ht="12.75" x14ac:dyDescent="0.2">
      <c r="C1490" s="6"/>
    </row>
    <row r="1491" spans="3:3" ht="12.75" x14ac:dyDescent="0.2">
      <c r="C1491" s="6"/>
    </row>
    <row r="1492" spans="3:3" ht="12.75" x14ac:dyDescent="0.2">
      <c r="C1492" s="6"/>
    </row>
    <row r="1493" spans="3:3" ht="12.75" x14ac:dyDescent="0.2">
      <c r="C1493" s="6"/>
    </row>
    <row r="1494" spans="3:3" ht="12.75" x14ac:dyDescent="0.2">
      <c r="C1494" s="6"/>
    </row>
    <row r="1495" spans="3:3" ht="12.75" x14ac:dyDescent="0.2">
      <c r="C1495" s="6"/>
    </row>
    <row r="1496" spans="3:3" ht="12.75" x14ac:dyDescent="0.2">
      <c r="C1496" s="6"/>
    </row>
    <row r="1497" spans="3:3" ht="12.75" x14ac:dyDescent="0.2">
      <c r="C1497" s="6"/>
    </row>
    <row r="1498" spans="3:3" ht="12.75" x14ac:dyDescent="0.2">
      <c r="C1498" s="6"/>
    </row>
    <row r="1499" spans="3:3" ht="12.75" x14ac:dyDescent="0.2">
      <c r="C1499" s="6"/>
    </row>
    <row r="1500" spans="3:3" ht="12.75" x14ac:dyDescent="0.2">
      <c r="C1500" s="6"/>
    </row>
    <row r="1501" spans="3:3" ht="12.75" x14ac:dyDescent="0.2">
      <c r="C1501" s="6"/>
    </row>
    <row r="1502" spans="3:3" ht="12.75" x14ac:dyDescent="0.2">
      <c r="C1502" s="6"/>
    </row>
    <row r="1503" spans="3:3" ht="12.75" x14ac:dyDescent="0.2">
      <c r="C1503" s="6"/>
    </row>
    <row r="1504" spans="3:3" ht="12.75" x14ac:dyDescent="0.2">
      <c r="C1504" s="6"/>
    </row>
    <row r="1505" spans="3:3" ht="12.75" x14ac:dyDescent="0.2">
      <c r="C1505" s="6"/>
    </row>
    <row r="1506" spans="3:3" ht="12.75" x14ac:dyDescent="0.2">
      <c r="C1506" s="6"/>
    </row>
    <row r="1507" spans="3:3" ht="12.75" x14ac:dyDescent="0.2">
      <c r="C1507" s="6"/>
    </row>
    <row r="1508" spans="3:3" ht="12.75" x14ac:dyDescent="0.2">
      <c r="C1508" s="6"/>
    </row>
    <row r="1509" spans="3:3" ht="12.75" x14ac:dyDescent="0.2">
      <c r="C1509" s="6"/>
    </row>
    <row r="1510" spans="3:3" ht="12.75" x14ac:dyDescent="0.2">
      <c r="C1510" s="6"/>
    </row>
    <row r="1511" spans="3:3" ht="12.75" x14ac:dyDescent="0.2">
      <c r="C1511" s="6"/>
    </row>
    <row r="1512" spans="3:3" ht="12.75" x14ac:dyDescent="0.2">
      <c r="C1512" s="6"/>
    </row>
    <row r="1513" spans="3:3" ht="12.75" x14ac:dyDescent="0.2">
      <c r="C1513" s="6"/>
    </row>
    <row r="1514" spans="3:3" ht="12.75" x14ac:dyDescent="0.2">
      <c r="C1514" s="6"/>
    </row>
    <row r="1515" spans="3:3" ht="12.75" x14ac:dyDescent="0.2">
      <c r="C1515" s="6"/>
    </row>
    <row r="1516" spans="3:3" ht="12.75" x14ac:dyDescent="0.2">
      <c r="C1516" s="6"/>
    </row>
    <row r="1517" spans="3:3" ht="12.75" x14ac:dyDescent="0.2">
      <c r="C1517" s="6"/>
    </row>
    <row r="1518" spans="3:3" ht="12.75" x14ac:dyDescent="0.2">
      <c r="C1518" s="6"/>
    </row>
    <row r="1519" spans="3:3" ht="12.75" x14ac:dyDescent="0.2">
      <c r="C1519" s="6"/>
    </row>
    <row r="1520" spans="3:3" ht="12.75" x14ac:dyDescent="0.2">
      <c r="C1520" s="6"/>
    </row>
    <row r="1521" spans="3:3" ht="12.75" x14ac:dyDescent="0.2">
      <c r="C1521" s="6"/>
    </row>
    <row r="1522" spans="3:3" ht="12.75" x14ac:dyDescent="0.2">
      <c r="C1522" s="6"/>
    </row>
    <row r="1523" spans="3:3" ht="12.75" x14ac:dyDescent="0.2">
      <c r="C1523" s="6"/>
    </row>
    <row r="1524" spans="3:3" ht="12.75" x14ac:dyDescent="0.2">
      <c r="C1524" s="6"/>
    </row>
    <row r="1525" spans="3:3" ht="12.75" x14ac:dyDescent="0.2">
      <c r="C1525" s="6"/>
    </row>
    <row r="1526" spans="3:3" ht="12.75" x14ac:dyDescent="0.2">
      <c r="C1526" s="6"/>
    </row>
    <row r="1527" spans="3:3" ht="12.75" x14ac:dyDescent="0.2">
      <c r="C1527" s="6"/>
    </row>
    <row r="1528" spans="3:3" ht="12.75" x14ac:dyDescent="0.2">
      <c r="C1528" s="6"/>
    </row>
    <row r="1529" spans="3:3" ht="12.75" x14ac:dyDescent="0.2">
      <c r="C1529" s="6"/>
    </row>
    <row r="1530" spans="3:3" ht="12.75" x14ac:dyDescent="0.2">
      <c r="C1530" s="6"/>
    </row>
    <row r="1531" spans="3:3" ht="12.75" x14ac:dyDescent="0.2">
      <c r="C1531" s="6"/>
    </row>
    <row r="1532" spans="3:3" ht="12.75" x14ac:dyDescent="0.2">
      <c r="C1532" s="6"/>
    </row>
    <row r="1533" spans="3:3" ht="12.75" x14ac:dyDescent="0.2">
      <c r="C1533" s="6"/>
    </row>
    <row r="1534" spans="3:3" ht="12.75" x14ac:dyDescent="0.2">
      <c r="C1534" s="6"/>
    </row>
    <row r="1535" spans="3:3" ht="12.75" x14ac:dyDescent="0.2">
      <c r="C1535" s="6"/>
    </row>
    <row r="1536" spans="3:3" ht="12.75" x14ac:dyDescent="0.2">
      <c r="C1536" s="6"/>
    </row>
    <row r="1537" spans="3:3" ht="12.75" x14ac:dyDescent="0.2">
      <c r="C1537" s="6"/>
    </row>
    <row r="1538" spans="3:3" ht="12.75" x14ac:dyDescent="0.2">
      <c r="C1538" s="6"/>
    </row>
    <row r="1539" spans="3:3" ht="12.75" x14ac:dyDescent="0.2">
      <c r="C1539" s="6"/>
    </row>
    <row r="1540" spans="3:3" ht="12.75" x14ac:dyDescent="0.2">
      <c r="C1540" s="6"/>
    </row>
    <row r="1541" spans="3:3" ht="12.75" x14ac:dyDescent="0.2">
      <c r="C1541" s="6"/>
    </row>
    <row r="1542" spans="3:3" ht="12.75" x14ac:dyDescent="0.2">
      <c r="C1542" s="6"/>
    </row>
    <row r="1543" spans="3:3" ht="12.75" x14ac:dyDescent="0.2">
      <c r="C1543" s="6"/>
    </row>
    <row r="1544" spans="3:3" ht="12.75" x14ac:dyDescent="0.2">
      <c r="C1544" s="6"/>
    </row>
    <row r="1545" spans="3:3" ht="12.75" x14ac:dyDescent="0.2">
      <c r="C1545" s="6"/>
    </row>
    <row r="1546" spans="3:3" ht="12.75" x14ac:dyDescent="0.2">
      <c r="C1546" s="6"/>
    </row>
    <row r="1547" spans="3:3" ht="12.75" x14ac:dyDescent="0.2">
      <c r="C1547" s="6"/>
    </row>
    <row r="1548" spans="3:3" ht="12.75" x14ac:dyDescent="0.2">
      <c r="C1548" s="6"/>
    </row>
    <row r="1549" spans="3:3" ht="12.75" x14ac:dyDescent="0.2">
      <c r="C1549" s="6"/>
    </row>
    <row r="1550" spans="3:3" ht="12.75" x14ac:dyDescent="0.2">
      <c r="C1550" s="6"/>
    </row>
    <row r="1551" spans="3:3" ht="12.75" x14ac:dyDescent="0.2">
      <c r="C1551" s="6"/>
    </row>
    <row r="1552" spans="3:3" ht="12.75" x14ac:dyDescent="0.2">
      <c r="C1552" s="6"/>
    </row>
    <row r="1553" spans="3:3" ht="12.75" x14ac:dyDescent="0.2">
      <c r="C1553" s="6"/>
    </row>
    <row r="1554" spans="3:3" ht="12.75" x14ac:dyDescent="0.2">
      <c r="C1554" s="6"/>
    </row>
    <row r="1555" spans="3:3" ht="12.75" x14ac:dyDescent="0.2">
      <c r="C1555" s="6"/>
    </row>
    <row r="1556" spans="3:3" ht="12.75" x14ac:dyDescent="0.2">
      <c r="C1556" s="6"/>
    </row>
    <row r="1557" spans="3:3" ht="12.75" x14ac:dyDescent="0.2">
      <c r="C1557" s="6"/>
    </row>
    <row r="1558" spans="3:3" ht="12.75" x14ac:dyDescent="0.2">
      <c r="C1558" s="6"/>
    </row>
    <row r="1559" spans="3:3" ht="12.75" x14ac:dyDescent="0.2">
      <c r="C1559" s="6"/>
    </row>
    <row r="1560" spans="3:3" ht="12.75" x14ac:dyDescent="0.2">
      <c r="C1560" s="6"/>
    </row>
    <row r="1561" spans="3:3" ht="12.75" x14ac:dyDescent="0.2">
      <c r="C1561" s="6"/>
    </row>
    <row r="1562" spans="3:3" ht="12.75" x14ac:dyDescent="0.2">
      <c r="C1562" s="6"/>
    </row>
    <row r="1563" spans="3:3" ht="12.75" x14ac:dyDescent="0.2">
      <c r="C1563" s="6"/>
    </row>
    <row r="1564" spans="3:3" ht="12.75" x14ac:dyDescent="0.2">
      <c r="C1564" s="6"/>
    </row>
    <row r="1565" spans="3:3" ht="12.75" x14ac:dyDescent="0.2">
      <c r="C1565" s="6"/>
    </row>
    <row r="1566" spans="3:3" ht="12.75" x14ac:dyDescent="0.2">
      <c r="C1566" s="6"/>
    </row>
    <row r="1567" spans="3:3" ht="12.75" x14ac:dyDescent="0.2">
      <c r="C1567" s="6"/>
    </row>
    <row r="1568" spans="3:3" ht="12.75" x14ac:dyDescent="0.2">
      <c r="C1568" s="6"/>
    </row>
    <row r="1569" spans="3:3" ht="12.75" x14ac:dyDescent="0.2">
      <c r="C1569" s="6"/>
    </row>
    <row r="1570" spans="3:3" ht="12.75" x14ac:dyDescent="0.2">
      <c r="C1570" s="6"/>
    </row>
    <row r="1571" spans="3:3" ht="12.75" x14ac:dyDescent="0.2">
      <c r="C1571" s="6"/>
    </row>
    <row r="1572" spans="3:3" ht="12.75" x14ac:dyDescent="0.2">
      <c r="C1572" s="6"/>
    </row>
    <row r="1573" spans="3:3" ht="12.75" x14ac:dyDescent="0.2">
      <c r="C1573" s="6"/>
    </row>
    <row r="1574" spans="3:3" ht="12.75" x14ac:dyDescent="0.2">
      <c r="C1574" s="6"/>
    </row>
    <row r="1575" spans="3:3" ht="12.75" x14ac:dyDescent="0.2">
      <c r="C1575" s="6"/>
    </row>
    <row r="1576" spans="3:3" ht="12.75" x14ac:dyDescent="0.2">
      <c r="C1576" s="6"/>
    </row>
    <row r="1577" spans="3:3" ht="12.75" x14ac:dyDescent="0.2">
      <c r="C1577" s="6"/>
    </row>
    <row r="1578" spans="3:3" ht="12.75" x14ac:dyDescent="0.2">
      <c r="C1578" s="6"/>
    </row>
    <row r="1579" spans="3:3" ht="12.75" x14ac:dyDescent="0.2">
      <c r="C1579" s="6"/>
    </row>
    <row r="1580" spans="3:3" ht="12.75" x14ac:dyDescent="0.2">
      <c r="C1580" s="6"/>
    </row>
    <row r="1581" spans="3:3" ht="12.75" x14ac:dyDescent="0.2">
      <c r="C1581" s="6"/>
    </row>
    <row r="1582" spans="3:3" ht="12.75" x14ac:dyDescent="0.2">
      <c r="C1582" s="6"/>
    </row>
    <row r="1583" spans="3:3" ht="12.75" x14ac:dyDescent="0.2">
      <c r="C1583" s="6"/>
    </row>
    <row r="1584" spans="3:3" ht="12.75" x14ac:dyDescent="0.2">
      <c r="C1584" s="6"/>
    </row>
    <row r="1585" spans="3:3" ht="12.75" x14ac:dyDescent="0.2">
      <c r="C1585" s="6"/>
    </row>
    <row r="1586" spans="3:3" ht="12.75" x14ac:dyDescent="0.2">
      <c r="C1586" s="6"/>
    </row>
    <row r="1587" spans="3:3" ht="12.75" x14ac:dyDescent="0.2">
      <c r="C1587" s="6"/>
    </row>
    <row r="1588" spans="3:3" ht="12.75" x14ac:dyDescent="0.2">
      <c r="C1588" s="6"/>
    </row>
    <row r="1589" spans="3:3" ht="12.75" x14ac:dyDescent="0.2">
      <c r="C1589" s="6"/>
    </row>
    <row r="1590" spans="3:3" ht="12.75" x14ac:dyDescent="0.2">
      <c r="C1590" s="6"/>
    </row>
    <row r="1591" spans="3:3" ht="12.75" x14ac:dyDescent="0.2">
      <c r="C1591" s="6"/>
    </row>
    <row r="1592" spans="3:3" ht="12.75" x14ac:dyDescent="0.2">
      <c r="C1592" s="6"/>
    </row>
    <row r="1593" spans="3:3" ht="12.75" x14ac:dyDescent="0.2">
      <c r="C1593" s="6"/>
    </row>
    <row r="1594" spans="3:3" ht="12.75" x14ac:dyDescent="0.2">
      <c r="C1594" s="6"/>
    </row>
    <row r="1595" spans="3:3" ht="12.75" x14ac:dyDescent="0.2">
      <c r="C1595" s="6"/>
    </row>
    <row r="1596" spans="3:3" ht="12.75" x14ac:dyDescent="0.2">
      <c r="C1596" s="6"/>
    </row>
    <row r="1597" spans="3:3" ht="12.75" x14ac:dyDescent="0.2">
      <c r="C1597" s="6"/>
    </row>
    <row r="1598" spans="3:3" ht="12.75" x14ac:dyDescent="0.2">
      <c r="C1598" s="6"/>
    </row>
    <row r="1599" spans="3:3" ht="12.75" x14ac:dyDescent="0.2">
      <c r="C1599" s="6"/>
    </row>
    <row r="1600" spans="3:3" ht="12.75" x14ac:dyDescent="0.2">
      <c r="C1600" s="6"/>
    </row>
    <row r="1601" spans="3:3" ht="12.75" x14ac:dyDescent="0.2">
      <c r="C1601" s="6"/>
    </row>
    <row r="1602" spans="3:3" ht="12.75" x14ac:dyDescent="0.2">
      <c r="C1602" s="6"/>
    </row>
    <row r="1603" spans="3:3" ht="12.75" x14ac:dyDescent="0.2">
      <c r="C1603" s="6"/>
    </row>
    <row r="1604" spans="3:3" ht="12.75" x14ac:dyDescent="0.2">
      <c r="C1604" s="6"/>
    </row>
    <row r="1605" spans="3:3" ht="12.75" x14ac:dyDescent="0.2">
      <c r="C1605" s="6"/>
    </row>
    <row r="1606" spans="3:3" ht="12.75" x14ac:dyDescent="0.2">
      <c r="C1606" s="6"/>
    </row>
    <row r="1607" spans="3:3" ht="12.75" x14ac:dyDescent="0.2">
      <c r="C1607" s="6"/>
    </row>
    <row r="1608" spans="3:3" ht="12.75" x14ac:dyDescent="0.2">
      <c r="C1608" s="6"/>
    </row>
    <row r="1609" spans="3:3" ht="12.75" x14ac:dyDescent="0.2">
      <c r="C1609" s="6"/>
    </row>
    <row r="1610" spans="3:3" ht="12.75" x14ac:dyDescent="0.2">
      <c r="C1610" s="6"/>
    </row>
    <row r="1611" spans="3:3" ht="12.75" x14ac:dyDescent="0.2">
      <c r="C1611" s="6"/>
    </row>
    <row r="1612" spans="3:3" ht="12.75" x14ac:dyDescent="0.2">
      <c r="C1612" s="6"/>
    </row>
    <row r="1613" spans="3:3" ht="12.75" x14ac:dyDescent="0.2">
      <c r="C1613" s="6"/>
    </row>
    <row r="1614" spans="3:3" ht="12.75" x14ac:dyDescent="0.2">
      <c r="C1614" s="6"/>
    </row>
    <row r="1615" spans="3:3" ht="12.75" x14ac:dyDescent="0.2">
      <c r="C1615" s="6"/>
    </row>
    <row r="1616" spans="3:3" ht="12.75" x14ac:dyDescent="0.2">
      <c r="C1616" s="6"/>
    </row>
    <row r="1617" spans="3:3" ht="12.75" x14ac:dyDescent="0.2">
      <c r="C1617" s="6"/>
    </row>
    <row r="1618" spans="3:3" ht="12.75" x14ac:dyDescent="0.2">
      <c r="C1618" s="6"/>
    </row>
    <row r="1619" spans="3:3" ht="12.75" x14ac:dyDescent="0.2">
      <c r="C1619" s="6"/>
    </row>
    <row r="1620" spans="3:3" ht="12.75" x14ac:dyDescent="0.2">
      <c r="C1620" s="6"/>
    </row>
    <row r="1621" spans="3:3" ht="12.75" x14ac:dyDescent="0.2">
      <c r="C1621" s="6"/>
    </row>
    <row r="1622" spans="3:3" ht="12.75" x14ac:dyDescent="0.2">
      <c r="C1622" s="6"/>
    </row>
    <row r="1623" spans="3:3" ht="12.75" x14ac:dyDescent="0.2">
      <c r="C1623" s="6"/>
    </row>
    <row r="1624" spans="3:3" ht="12.75" x14ac:dyDescent="0.2">
      <c r="C1624" s="6"/>
    </row>
    <row r="1625" spans="3:3" ht="12.75" x14ac:dyDescent="0.2">
      <c r="C1625" s="6"/>
    </row>
    <row r="1626" spans="3:3" ht="12.75" x14ac:dyDescent="0.2">
      <c r="C1626" s="6"/>
    </row>
    <row r="1627" spans="3:3" ht="12.75" x14ac:dyDescent="0.2">
      <c r="C1627" s="6"/>
    </row>
    <row r="1628" spans="3:3" ht="12.75" x14ac:dyDescent="0.2">
      <c r="C1628" s="6"/>
    </row>
    <row r="1629" spans="3:3" ht="12.75" x14ac:dyDescent="0.2">
      <c r="C1629" s="6"/>
    </row>
    <row r="1630" spans="3:3" ht="12.75" x14ac:dyDescent="0.2">
      <c r="C1630" s="6"/>
    </row>
    <row r="1631" spans="3:3" ht="12.75" x14ac:dyDescent="0.2">
      <c r="C1631" s="6"/>
    </row>
    <row r="1632" spans="3:3" ht="12.75" x14ac:dyDescent="0.2">
      <c r="C1632" s="6"/>
    </row>
    <row r="1633" spans="3:3" ht="12.75" x14ac:dyDescent="0.2">
      <c r="C1633" s="6"/>
    </row>
    <row r="1634" spans="3:3" ht="12.75" x14ac:dyDescent="0.2">
      <c r="C1634" s="6"/>
    </row>
    <row r="1635" spans="3:3" ht="12.75" x14ac:dyDescent="0.2">
      <c r="C1635" s="6"/>
    </row>
    <row r="1636" spans="3:3" ht="12.75" x14ac:dyDescent="0.2">
      <c r="C1636" s="6"/>
    </row>
    <row r="1637" spans="3:3" ht="12.75" x14ac:dyDescent="0.2">
      <c r="C1637" s="6"/>
    </row>
    <row r="1638" spans="3:3" ht="12.75" x14ac:dyDescent="0.2">
      <c r="C1638" s="6"/>
    </row>
    <row r="1639" spans="3:3" ht="12.75" x14ac:dyDescent="0.2">
      <c r="C1639" s="6"/>
    </row>
    <row r="1640" spans="3:3" ht="12.75" x14ac:dyDescent="0.2">
      <c r="C1640" s="6"/>
    </row>
    <row r="1641" spans="3:3" ht="12.75" x14ac:dyDescent="0.2">
      <c r="C1641" s="6"/>
    </row>
    <row r="1642" spans="3:3" ht="12.75" x14ac:dyDescent="0.2">
      <c r="C1642" s="6"/>
    </row>
    <row r="1643" spans="3:3" ht="12.75" x14ac:dyDescent="0.2">
      <c r="C1643" s="6"/>
    </row>
    <row r="1644" spans="3:3" ht="12.75" x14ac:dyDescent="0.2">
      <c r="C1644" s="6"/>
    </row>
    <row r="1645" spans="3:3" ht="12.75" x14ac:dyDescent="0.2">
      <c r="C1645" s="6"/>
    </row>
    <row r="1646" spans="3:3" ht="12.75" x14ac:dyDescent="0.2">
      <c r="C1646" s="6"/>
    </row>
    <row r="1647" spans="3:3" ht="12.75" x14ac:dyDescent="0.2">
      <c r="C1647" s="6"/>
    </row>
    <row r="1648" spans="3:3" ht="12.75" x14ac:dyDescent="0.2">
      <c r="C1648" s="6"/>
    </row>
    <row r="1649" spans="3:3" ht="12.75" x14ac:dyDescent="0.2">
      <c r="C1649" s="6"/>
    </row>
    <row r="1650" spans="3:3" ht="12.75" x14ac:dyDescent="0.2">
      <c r="C1650" s="6"/>
    </row>
    <row r="1651" spans="3:3" ht="12.75" x14ac:dyDescent="0.2">
      <c r="C1651" s="6"/>
    </row>
    <row r="1652" spans="3:3" ht="12.75" x14ac:dyDescent="0.2">
      <c r="C1652" s="6"/>
    </row>
    <row r="1653" spans="3:3" ht="12.75" x14ac:dyDescent="0.2">
      <c r="C1653" s="6"/>
    </row>
    <row r="1654" spans="3:3" ht="12.75" x14ac:dyDescent="0.2">
      <c r="C1654" s="6"/>
    </row>
    <row r="1655" spans="3:3" ht="12.75" x14ac:dyDescent="0.2">
      <c r="C1655" s="6"/>
    </row>
    <row r="1656" spans="3:3" ht="12.75" x14ac:dyDescent="0.2">
      <c r="C1656" s="6"/>
    </row>
    <row r="1657" spans="3:3" ht="12.75" x14ac:dyDescent="0.2">
      <c r="C1657" s="6"/>
    </row>
    <row r="1658" spans="3:3" ht="12.75" x14ac:dyDescent="0.2">
      <c r="C1658" s="6"/>
    </row>
    <row r="1659" spans="3:3" ht="12.75" x14ac:dyDescent="0.2">
      <c r="C1659" s="6"/>
    </row>
    <row r="1660" spans="3:3" ht="12.75" x14ac:dyDescent="0.2">
      <c r="C1660" s="6"/>
    </row>
    <row r="1661" spans="3:3" ht="12.75" x14ac:dyDescent="0.2">
      <c r="C1661" s="6"/>
    </row>
    <row r="1662" spans="3:3" ht="12.75" x14ac:dyDescent="0.2">
      <c r="C1662" s="6"/>
    </row>
    <row r="1663" spans="3:3" ht="12.75" x14ac:dyDescent="0.2">
      <c r="C1663" s="6"/>
    </row>
    <row r="1664" spans="3:3" ht="12.75" x14ac:dyDescent="0.2">
      <c r="C1664" s="6"/>
    </row>
    <row r="1665" spans="3:3" ht="12.75" x14ac:dyDescent="0.2">
      <c r="C1665" s="6"/>
    </row>
    <row r="1666" spans="3:3" ht="12.75" x14ac:dyDescent="0.2">
      <c r="C1666" s="6"/>
    </row>
    <row r="1667" spans="3:3" ht="12.75" x14ac:dyDescent="0.2">
      <c r="C1667" s="6"/>
    </row>
    <row r="1668" spans="3:3" ht="12.75" x14ac:dyDescent="0.2">
      <c r="C1668" s="6"/>
    </row>
    <row r="1669" spans="3:3" ht="12.75" x14ac:dyDescent="0.2">
      <c r="C1669" s="6"/>
    </row>
    <row r="1670" spans="3:3" ht="12.75" x14ac:dyDescent="0.2">
      <c r="C1670" s="6"/>
    </row>
    <row r="1671" spans="3:3" ht="12.75" x14ac:dyDescent="0.2">
      <c r="C1671" s="6"/>
    </row>
    <row r="1672" spans="3:3" ht="12.75" x14ac:dyDescent="0.2">
      <c r="C1672" s="6"/>
    </row>
    <row r="1673" spans="3:3" ht="12.75" x14ac:dyDescent="0.2">
      <c r="C1673" s="6"/>
    </row>
    <row r="1674" spans="3:3" ht="12.75" x14ac:dyDescent="0.2">
      <c r="C1674" s="6"/>
    </row>
    <row r="1675" spans="3:3" ht="12.75" x14ac:dyDescent="0.2">
      <c r="C1675" s="6"/>
    </row>
    <row r="1676" spans="3:3" ht="12.75" x14ac:dyDescent="0.2">
      <c r="C1676" s="6"/>
    </row>
    <row r="1677" spans="3:3" ht="12.75" x14ac:dyDescent="0.2">
      <c r="C1677" s="6"/>
    </row>
    <row r="1678" spans="3:3" ht="12.75" x14ac:dyDescent="0.2">
      <c r="C1678" s="6"/>
    </row>
    <row r="1679" spans="3:3" ht="12.75" x14ac:dyDescent="0.2">
      <c r="C1679" s="6"/>
    </row>
    <row r="1680" spans="3:3" ht="12.75" x14ac:dyDescent="0.2">
      <c r="C1680" s="6"/>
    </row>
    <row r="1681" spans="3:3" ht="12.75" x14ac:dyDescent="0.2">
      <c r="C1681" s="6"/>
    </row>
    <row r="1682" spans="3:3" ht="12.75" x14ac:dyDescent="0.2">
      <c r="C1682" s="6"/>
    </row>
    <row r="1683" spans="3:3" ht="12.75" x14ac:dyDescent="0.2">
      <c r="C1683" s="6"/>
    </row>
    <row r="1684" spans="3:3" ht="12.75" x14ac:dyDescent="0.2">
      <c r="C1684" s="6"/>
    </row>
    <row r="1685" spans="3:3" ht="12.75" x14ac:dyDescent="0.2">
      <c r="C1685" s="6"/>
    </row>
    <row r="1686" spans="3:3" ht="12.75" x14ac:dyDescent="0.2">
      <c r="C1686" s="6"/>
    </row>
    <row r="1687" spans="3:3" ht="12.75" x14ac:dyDescent="0.2">
      <c r="C1687" s="6"/>
    </row>
    <row r="1688" spans="3:3" ht="12.75" x14ac:dyDescent="0.2">
      <c r="C1688" s="6"/>
    </row>
    <row r="1689" spans="3:3" ht="12.75" x14ac:dyDescent="0.2">
      <c r="C1689" s="6"/>
    </row>
    <row r="1690" spans="3:3" ht="12.75" x14ac:dyDescent="0.2">
      <c r="C1690" s="6"/>
    </row>
    <row r="1691" spans="3:3" ht="12.75" x14ac:dyDescent="0.2">
      <c r="C1691" s="6"/>
    </row>
    <row r="1692" spans="3:3" ht="12.75" x14ac:dyDescent="0.2">
      <c r="C1692" s="6"/>
    </row>
    <row r="1693" spans="3:3" ht="12.75" x14ac:dyDescent="0.2">
      <c r="C1693" s="6"/>
    </row>
    <row r="1694" spans="3:3" ht="12.75" x14ac:dyDescent="0.2">
      <c r="C1694" s="6"/>
    </row>
    <row r="1695" spans="3:3" ht="12.75" x14ac:dyDescent="0.2">
      <c r="C1695" s="6"/>
    </row>
    <row r="1696" spans="3:3" ht="12.75" x14ac:dyDescent="0.2">
      <c r="C1696" s="6"/>
    </row>
    <row r="1697" spans="3:3" ht="12.75" x14ac:dyDescent="0.2">
      <c r="C1697" s="6"/>
    </row>
    <row r="1698" spans="3:3" ht="12.75" x14ac:dyDescent="0.2">
      <c r="C1698" s="6"/>
    </row>
    <row r="1699" spans="3:3" ht="12.75" x14ac:dyDescent="0.2">
      <c r="C1699" s="6"/>
    </row>
    <row r="1700" spans="3:3" ht="12.75" x14ac:dyDescent="0.2">
      <c r="C1700" s="6"/>
    </row>
    <row r="1701" spans="3:3" ht="12.75" x14ac:dyDescent="0.2">
      <c r="C1701" s="6"/>
    </row>
    <row r="1702" spans="3:3" ht="12.75" x14ac:dyDescent="0.2">
      <c r="C1702" s="6"/>
    </row>
    <row r="1703" spans="3:3" ht="12.75" x14ac:dyDescent="0.2">
      <c r="C1703" s="6"/>
    </row>
    <row r="1704" spans="3:3" ht="12.75" x14ac:dyDescent="0.2">
      <c r="C1704" s="6"/>
    </row>
    <row r="1705" spans="3:3" ht="12.75" x14ac:dyDescent="0.2">
      <c r="C1705" s="6"/>
    </row>
    <row r="1706" spans="3:3" ht="12.75" x14ac:dyDescent="0.2">
      <c r="C1706" s="6"/>
    </row>
    <row r="1707" spans="3:3" ht="12.75" x14ac:dyDescent="0.2">
      <c r="C1707" s="6"/>
    </row>
    <row r="1708" spans="3:3" ht="12.75" x14ac:dyDescent="0.2">
      <c r="C1708" s="6"/>
    </row>
    <row r="1709" spans="3:3" ht="12.75" x14ac:dyDescent="0.2">
      <c r="C1709" s="6"/>
    </row>
    <row r="1710" spans="3:3" ht="12.75" x14ac:dyDescent="0.2">
      <c r="C1710" s="6"/>
    </row>
    <row r="1711" spans="3:3" ht="12.75" x14ac:dyDescent="0.2">
      <c r="C1711" s="6"/>
    </row>
    <row r="1712" spans="3:3" ht="12.75" x14ac:dyDescent="0.2">
      <c r="C1712" s="6"/>
    </row>
    <row r="1713" spans="3:3" ht="12.75" x14ac:dyDescent="0.2">
      <c r="C1713" s="6"/>
    </row>
    <row r="1714" spans="3:3" ht="12.75" x14ac:dyDescent="0.2">
      <c r="C1714" s="6"/>
    </row>
    <row r="1715" spans="3:3" ht="12.75" x14ac:dyDescent="0.2">
      <c r="C1715" s="6"/>
    </row>
    <row r="1716" spans="3:3" ht="12.75" x14ac:dyDescent="0.2">
      <c r="C1716" s="6"/>
    </row>
    <row r="1717" spans="3:3" ht="12.75" x14ac:dyDescent="0.2">
      <c r="C1717" s="6"/>
    </row>
    <row r="1718" spans="3:3" ht="12.75" x14ac:dyDescent="0.2">
      <c r="C1718" s="6"/>
    </row>
    <row r="1719" spans="3:3" ht="12.75" x14ac:dyDescent="0.2">
      <c r="C1719" s="6"/>
    </row>
    <row r="1720" spans="3:3" ht="12.75" x14ac:dyDescent="0.2">
      <c r="C1720" s="6"/>
    </row>
    <row r="1721" spans="3:3" ht="12.75" x14ac:dyDescent="0.2">
      <c r="C1721" s="6"/>
    </row>
    <row r="1722" spans="3:3" ht="12.75" x14ac:dyDescent="0.2">
      <c r="C1722" s="6"/>
    </row>
    <row r="1723" spans="3:3" ht="12.75" x14ac:dyDescent="0.2">
      <c r="C1723" s="6"/>
    </row>
    <row r="1724" spans="3:3" ht="12.75" x14ac:dyDescent="0.2">
      <c r="C1724" s="6"/>
    </row>
    <row r="1725" spans="3:3" ht="12.75" x14ac:dyDescent="0.2">
      <c r="C1725" s="6"/>
    </row>
    <row r="1726" spans="3:3" ht="12.75" x14ac:dyDescent="0.2">
      <c r="C1726" s="6"/>
    </row>
    <row r="1727" spans="3:3" ht="12.75" x14ac:dyDescent="0.2">
      <c r="C1727" s="6"/>
    </row>
    <row r="1728" spans="3:3" ht="12.75" x14ac:dyDescent="0.2">
      <c r="C1728" s="6"/>
    </row>
    <row r="1729" spans="3:3" ht="12.75" x14ac:dyDescent="0.2">
      <c r="C1729" s="6"/>
    </row>
    <row r="1730" spans="3:3" ht="12.75" x14ac:dyDescent="0.2">
      <c r="C1730" s="6"/>
    </row>
    <row r="1731" spans="3:3" ht="12.75" x14ac:dyDescent="0.2">
      <c r="C1731" s="6"/>
    </row>
    <row r="1732" spans="3:3" ht="12.75" x14ac:dyDescent="0.2">
      <c r="C1732" s="6"/>
    </row>
    <row r="1733" spans="3:3" ht="12.75" x14ac:dyDescent="0.2">
      <c r="C1733" s="6"/>
    </row>
    <row r="1734" spans="3:3" ht="12.75" x14ac:dyDescent="0.2">
      <c r="C1734" s="6"/>
    </row>
    <row r="1735" spans="3:3" ht="12.75" x14ac:dyDescent="0.2">
      <c r="C1735" s="6"/>
    </row>
    <row r="1736" spans="3:3" ht="12.75" x14ac:dyDescent="0.2">
      <c r="C1736" s="6"/>
    </row>
    <row r="1737" spans="3:3" ht="12.75" x14ac:dyDescent="0.2">
      <c r="C1737" s="6"/>
    </row>
    <row r="1738" spans="3:3" ht="12.75" x14ac:dyDescent="0.2">
      <c r="C1738" s="6"/>
    </row>
    <row r="1739" spans="3:3" ht="12.75" x14ac:dyDescent="0.2">
      <c r="C1739" s="6"/>
    </row>
    <row r="1740" spans="3:3" ht="12.75" x14ac:dyDescent="0.2">
      <c r="C1740" s="6"/>
    </row>
    <row r="1741" spans="3:3" ht="12.75" x14ac:dyDescent="0.2">
      <c r="C1741" s="6"/>
    </row>
    <row r="1742" spans="3:3" ht="12.75" x14ac:dyDescent="0.2">
      <c r="C1742" s="6"/>
    </row>
    <row r="1743" spans="3:3" ht="12.75" x14ac:dyDescent="0.2">
      <c r="C1743" s="6"/>
    </row>
    <row r="1744" spans="3:3" ht="12.75" x14ac:dyDescent="0.2">
      <c r="C1744" s="6"/>
    </row>
    <row r="1745" spans="3:3" ht="12.75" x14ac:dyDescent="0.2">
      <c r="C1745" s="6"/>
    </row>
    <row r="1746" spans="3:3" ht="12.75" x14ac:dyDescent="0.2">
      <c r="C1746" s="6"/>
    </row>
    <row r="1747" spans="3:3" ht="12.75" x14ac:dyDescent="0.2">
      <c r="C1747" s="6"/>
    </row>
    <row r="1748" spans="3:3" ht="12.75" x14ac:dyDescent="0.2">
      <c r="C1748" s="6"/>
    </row>
    <row r="1749" spans="3:3" ht="12.75" x14ac:dyDescent="0.2">
      <c r="C1749" s="6"/>
    </row>
    <row r="1750" spans="3:3" ht="12.75" x14ac:dyDescent="0.2">
      <c r="C1750" s="6"/>
    </row>
    <row r="1751" spans="3:3" ht="12.75" x14ac:dyDescent="0.2">
      <c r="C1751" s="6"/>
    </row>
    <row r="1752" spans="3:3" ht="12.75" x14ac:dyDescent="0.2">
      <c r="C1752" s="6"/>
    </row>
    <row r="1753" spans="3:3" ht="12.75" x14ac:dyDescent="0.2">
      <c r="C1753" s="6"/>
    </row>
    <row r="1754" spans="3:3" ht="12.75" x14ac:dyDescent="0.2">
      <c r="C1754" s="6"/>
    </row>
    <row r="1755" spans="3:3" ht="12.75" x14ac:dyDescent="0.2">
      <c r="C1755" s="6"/>
    </row>
    <row r="1756" spans="3:3" ht="12.75" x14ac:dyDescent="0.2">
      <c r="C1756" s="6"/>
    </row>
    <row r="1757" spans="3:3" ht="12.75" x14ac:dyDescent="0.2">
      <c r="C1757" s="6"/>
    </row>
    <row r="1758" spans="3:3" ht="12.75" x14ac:dyDescent="0.2">
      <c r="C1758" s="6"/>
    </row>
    <row r="1759" spans="3:3" ht="12.75" x14ac:dyDescent="0.2">
      <c r="C1759" s="6"/>
    </row>
    <row r="1760" spans="3:3" ht="12.75" x14ac:dyDescent="0.2">
      <c r="C1760" s="6"/>
    </row>
    <row r="1761" spans="3:3" ht="12.75" x14ac:dyDescent="0.2">
      <c r="C1761" s="6"/>
    </row>
    <row r="1762" spans="3:3" ht="12.75" x14ac:dyDescent="0.2">
      <c r="C1762" s="6"/>
    </row>
    <row r="1763" spans="3:3" ht="12.75" x14ac:dyDescent="0.2">
      <c r="C1763" s="6"/>
    </row>
    <row r="1764" spans="3:3" ht="12.75" x14ac:dyDescent="0.2">
      <c r="C1764" s="6"/>
    </row>
    <row r="1765" spans="3:3" ht="12.75" x14ac:dyDescent="0.2">
      <c r="C1765" s="6"/>
    </row>
    <row r="1766" spans="3:3" ht="12.75" x14ac:dyDescent="0.2">
      <c r="C1766" s="6"/>
    </row>
    <row r="1767" spans="3:3" ht="12.75" x14ac:dyDescent="0.2">
      <c r="C1767" s="6"/>
    </row>
    <row r="1768" spans="3:3" ht="12.75" x14ac:dyDescent="0.2">
      <c r="C1768" s="6"/>
    </row>
    <row r="1769" spans="3:3" ht="12.75" x14ac:dyDescent="0.2">
      <c r="C1769" s="6"/>
    </row>
    <row r="1770" spans="3:3" ht="12.75" x14ac:dyDescent="0.2">
      <c r="C1770" s="6"/>
    </row>
    <row r="1771" spans="3:3" ht="12.75" x14ac:dyDescent="0.2">
      <c r="C1771" s="6"/>
    </row>
    <row r="1772" spans="3:3" ht="12.75" x14ac:dyDescent="0.2">
      <c r="C1772" s="6"/>
    </row>
    <row r="1773" spans="3:3" ht="12.75" x14ac:dyDescent="0.2">
      <c r="C1773" s="6"/>
    </row>
    <row r="1774" spans="3:3" ht="12.75" x14ac:dyDescent="0.2">
      <c r="C1774" s="6"/>
    </row>
    <row r="1775" spans="3:3" ht="12.75" x14ac:dyDescent="0.2">
      <c r="C1775" s="6"/>
    </row>
    <row r="1776" spans="3:3" ht="12.75" x14ac:dyDescent="0.2">
      <c r="C1776" s="6"/>
    </row>
    <row r="1777" spans="3:3" ht="12.75" x14ac:dyDescent="0.2">
      <c r="C1777" s="6"/>
    </row>
    <row r="1778" spans="3:3" ht="12.75" x14ac:dyDescent="0.2">
      <c r="C1778" s="6"/>
    </row>
    <row r="1779" spans="3:3" ht="12.75" x14ac:dyDescent="0.2">
      <c r="C1779" s="6"/>
    </row>
    <row r="1780" spans="3:3" ht="12.75" x14ac:dyDescent="0.2">
      <c r="C1780" s="6"/>
    </row>
    <row r="1781" spans="3:3" ht="12.75" x14ac:dyDescent="0.2">
      <c r="C1781" s="6"/>
    </row>
    <row r="1782" spans="3:3" ht="12.75" x14ac:dyDescent="0.2">
      <c r="C1782" s="6"/>
    </row>
    <row r="1783" spans="3:3" ht="12.75" x14ac:dyDescent="0.2">
      <c r="C1783" s="6"/>
    </row>
    <row r="1784" spans="3:3" ht="12.75" x14ac:dyDescent="0.2">
      <c r="C1784" s="6"/>
    </row>
    <row r="1785" spans="3:3" ht="12.75" x14ac:dyDescent="0.2">
      <c r="C1785" s="6"/>
    </row>
    <row r="1786" spans="3:3" ht="12.75" x14ac:dyDescent="0.2">
      <c r="C1786" s="6"/>
    </row>
    <row r="1787" spans="3:3" ht="12.75" x14ac:dyDescent="0.2">
      <c r="C1787" s="6"/>
    </row>
    <row r="1788" spans="3:3" ht="12.75" x14ac:dyDescent="0.2">
      <c r="C1788" s="6"/>
    </row>
    <row r="1789" spans="3:3" ht="12.75" x14ac:dyDescent="0.2">
      <c r="C1789" s="6"/>
    </row>
    <row r="1790" spans="3:3" ht="12.75" x14ac:dyDescent="0.2">
      <c r="C1790" s="6"/>
    </row>
    <row r="1791" spans="3:3" ht="12.75" x14ac:dyDescent="0.2">
      <c r="C1791" s="6"/>
    </row>
    <row r="1792" spans="3:3" ht="12.75" x14ac:dyDescent="0.2">
      <c r="C1792" s="6"/>
    </row>
    <row r="1793" spans="3:3" ht="12.75" x14ac:dyDescent="0.2">
      <c r="C1793" s="6"/>
    </row>
    <row r="1794" spans="3:3" ht="12.75" x14ac:dyDescent="0.2">
      <c r="C1794" s="6"/>
    </row>
    <row r="1795" spans="3:3" ht="12.75" x14ac:dyDescent="0.2">
      <c r="C1795" s="6"/>
    </row>
    <row r="1796" spans="3:3" ht="12.75" x14ac:dyDescent="0.2">
      <c r="C1796" s="6"/>
    </row>
    <row r="1797" spans="3:3" ht="12.75" x14ac:dyDescent="0.2">
      <c r="C1797" s="6"/>
    </row>
    <row r="1798" spans="3:3" ht="12.75" x14ac:dyDescent="0.2">
      <c r="C1798" s="6"/>
    </row>
    <row r="1799" spans="3:3" ht="12.75" x14ac:dyDescent="0.2">
      <c r="C1799" s="6"/>
    </row>
    <row r="1800" spans="3:3" ht="12.75" x14ac:dyDescent="0.2">
      <c r="C1800" s="6"/>
    </row>
    <row r="1801" spans="3:3" ht="12.75" x14ac:dyDescent="0.2">
      <c r="C1801" s="6"/>
    </row>
    <row r="1802" spans="3:3" ht="12.75" x14ac:dyDescent="0.2">
      <c r="C1802" s="6"/>
    </row>
    <row r="1803" spans="3:3" ht="12.75" x14ac:dyDescent="0.2">
      <c r="C1803" s="6"/>
    </row>
    <row r="1804" spans="3:3" ht="12.75" x14ac:dyDescent="0.2">
      <c r="C1804" s="6"/>
    </row>
    <row r="1805" spans="3:3" ht="12.75" x14ac:dyDescent="0.2">
      <c r="C1805" s="6"/>
    </row>
    <row r="1806" spans="3:3" ht="12.75" x14ac:dyDescent="0.2">
      <c r="C1806" s="6"/>
    </row>
    <row r="1807" spans="3:3" ht="12.75" x14ac:dyDescent="0.2">
      <c r="C1807" s="6"/>
    </row>
    <row r="1808" spans="3:3" ht="12.75" x14ac:dyDescent="0.2">
      <c r="C1808" s="6"/>
    </row>
    <row r="1809" spans="3:3" ht="12.75" x14ac:dyDescent="0.2">
      <c r="C1809" s="6"/>
    </row>
    <row r="1810" spans="3:3" ht="12.75" x14ac:dyDescent="0.2">
      <c r="C1810" s="6"/>
    </row>
    <row r="1811" spans="3:3" ht="12.75" x14ac:dyDescent="0.2">
      <c r="C1811" s="6"/>
    </row>
    <row r="1812" spans="3:3" ht="12.75" x14ac:dyDescent="0.2">
      <c r="C1812" s="6"/>
    </row>
    <row r="1813" spans="3:3" ht="12.75" x14ac:dyDescent="0.2">
      <c r="C1813" s="6"/>
    </row>
    <row r="1814" spans="3:3" ht="12.75" x14ac:dyDescent="0.2">
      <c r="C1814" s="6"/>
    </row>
    <row r="1815" spans="3:3" ht="12.75" x14ac:dyDescent="0.2">
      <c r="C1815" s="6"/>
    </row>
    <row r="1816" spans="3:3" ht="12.75" x14ac:dyDescent="0.2">
      <c r="C1816" s="6"/>
    </row>
    <row r="1817" spans="3:3" ht="12.75" x14ac:dyDescent="0.2">
      <c r="C1817" s="6"/>
    </row>
    <row r="1818" spans="3:3" ht="12.75" x14ac:dyDescent="0.2">
      <c r="C1818" s="6"/>
    </row>
    <row r="1819" spans="3:3" ht="12.75" x14ac:dyDescent="0.2">
      <c r="C1819" s="6"/>
    </row>
    <row r="1820" spans="3:3" ht="12.75" x14ac:dyDescent="0.2">
      <c r="C1820" s="6"/>
    </row>
    <row r="1821" spans="3:3" ht="12.75" x14ac:dyDescent="0.2">
      <c r="C1821" s="6"/>
    </row>
    <row r="1822" spans="3:3" ht="12.75" x14ac:dyDescent="0.2">
      <c r="C1822" s="6"/>
    </row>
    <row r="1823" spans="3:3" ht="12.75" x14ac:dyDescent="0.2">
      <c r="C1823" s="6"/>
    </row>
    <row r="1824" spans="3:3" ht="12.75" x14ac:dyDescent="0.2">
      <c r="C1824" s="6"/>
    </row>
    <row r="1825" spans="3:3" ht="12.75" x14ac:dyDescent="0.2">
      <c r="C1825" s="6"/>
    </row>
    <row r="1826" spans="3:3" ht="12.75" x14ac:dyDescent="0.2">
      <c r="C1826" s="6"/>
    </row>
    <row r="1827" spans="3:3" ht="12.75" x14ac:dyDescent="0.2">
      <c r="C1827" s="6"/>
    </row>
    <row r="1828" spans="3:3" ht="12.75" x14ac:dyDescent="0.2">
      <c r="C1828" s="6"/>
    </row>
    <row r="1829" spans="3:3" ht="12.75" x14ac:dyDescent="0.2">
      <c r="C1829" s="6"/>
    </row>
    <row r="1830" spans="3:3" ht="12.75" x14ac:dyDescent="0.2">
      <c r="C1830" s="6"/>
    </row>
    <row r="1831" spans="3:3" ht="12.75" x14ac:dyDescent="0.2">
      <c r="C1831" s="6"/>
    </row>
    <row r="1832" spans="3:3" ht="12.75" x14ac:dyDescent="0.2">
      <c r="C1832" s="6"/>
    </row>
    <row r="1833" spans="3:3" ht="12.75" x14ac:dyDescent="0.2">
      <c r="C1833" s="6"/>
    </row>
    <row r="1834" spans="3:3" ht="12.75" x14ac:dyDescent="0.2">
      <c r="C1834" s="6"/>
    </row>
    <row r="1835" spans="3:3" ht="12.75" x14ac:dyDescent="0.2">
      <c r="C1835" s="6"/>
    </row>
    <row r="1836" spans="3:3" ht="12.75" x14ac:dyDescent="0.2">
      <c r="C1836" s="6"/>
    </row>
    <row r="1837" spans="3:3" ht="12.75" x14ac:dyDescent="0.2">
      <c r="C1837" s="6"/>
    </row>
    <row r="1838" spans="3:3" ht="12.75" x14ac:dyDescent="0.2">
      <c r="C1838" s="6"/>
    </row>
    <row r="1839" spans="3:3" ht="12.75" x14ac:dyDescent="0.2">
      <c r="C1839" s="6"/>
    </row>
    <row r="1840" spans="3:3" ht="12.75" x14ac:dyDescent="0.2">
      <c r="C1840" s="6"/>
    </row>
    <row r="1841" spans="3:3" ht="12.75" x14ac:dyDescent="0.2">
      <c r="C1841" s="6"/>
    </row>
    <row r="1842" spans="3:3" ht="12.75" x14ac:dyDescent="0.2">
      <c r="C1842" s="6"/>
    </row>
    <row r="1843" spans="3:3" ht="12.75" x14ac:dyDescent="0.2">
      <c r="C1843" s="6"/>
    </row>
    <row r="1844" spans="3:3" ht="12.75" x14ac:dyDescent="0.2">
      <c r="C1844" s="6"/>
    </row>
    <row r="1845" spans="3:3" ht="12.75" x14ac:dyDescent="0.2">
      <c r="C1845" s="6"/>
    </row>
    <row r="1846" spans="3:3" ht="12.75" x14ac:dyDescent="0.2">
      <c r="C1846" s="6"/>
    </row>
    <row r="1847" spans="3:3" ht="12.75" x14ac:dyDescent="0.2">
      <c r="C1847" s="6"/>
    </row>
    <row r="1848" spans="3:3" ht="12.75" x14ac:dyDescent="0.2">
      <c r="C1848" s="6"/>
    </row>
    <row r="1849" spans="3:3" ht="12.75" x14ac:dyDescent="0.2">
      <c r="C1849" s="6"/>
    </row>
    <row r="1850" spans="3:3" ht="12.75" x14ac:dyDescent="0.2">
      <c r="C1850" s="6"/>
    </row>
    <row r="1851" spans="3:3" ht="12.75" x14ac:dyDescent="0.2">
      <c r="C1851" s="6"/>
    </row>
    <row r="1852" spans="3:3" ht="12.75" x14ac:dyDescent="0.2">
      <c r="C1852" s="6"/>
    </row>
    <row r="1853" spans="3:3" ht="12.75" x14ac:dyDescent="0.2">
      <c r="C1853" s="6"/>
    </row>
    <row r="1854" spans="3:3" ht="12.75" x14ac:dyDescent="0.2">
      <c r="C1854" s="6"/>
    </row>
    <row r="1855" spans="3:3" ht="12.75" x14ac:dyDescent="0.2">
      <c r="C1855" s="6"/>
    </row>
    <row r="1856" spans="3:3" ht="12.75" x14ac:dyDescent="0.2">
      <c r="C1856" s="6"/>
    </row>
    <row r="1857" spans="3:3" ht="12.75" x14ac:dyDescent="0.2">
      <c r="C1857" s="6"/>
    </row>
    <row r="1858" spans="3:3" ht="12.75" x14ac:dyDescent="0.2">
      <c r="C1858" s="6"/>
    </row>
    <row r="1859" spans="3:3" ht="12.75" x14ac:dyDescent="0.2">
      <c r="C1859" s="6"/>
    </row>
    <row r="1860" spans="3:3" ht="12.75" x14ac:dyDescent="0.2">
      <c r="C1860" s="6"/>
    </row>
    <row r="1861" spans="3:3" ht="12.75" x14ac:dyDescent="0.2">
      <c r="C1861" s="6"/>
    </row>
    <row r="1862" spans="3:3" ht="12.75" x14ac:dyDescent="0.2">
      <c r="C1862" s="6"/>
    </row>
    <row r="1863" spans="3:3" ht="12.75" x14ac:dyDescent="0.2">
      <c r="C1863" s="6"/>
    </row>
    <row r="1864" spans="3:3" ht="12.75" x14ac:dyDescent="0.2">
      <c r="C1864" s="6"/>
    </row>
    <row r="1865" spans="3:3" ht="12.75" x14ac:dyDescent="0.2">
      <c r="C1865" s="6"/>
    </row>
    <row r="1866" spans="3:3" ht="12.75" x14ac:dyDescent="0.2">
      <c r="C1866" s="6"/>
    </row>
    <row r="1867" spans="3:3" ht="12.75" x14ac:dyDescent="0.2">
      <c r="C1867" s="6"/>
    </row>
    <row r="1868" spans="3:3" ht="12.75" x14ac:dyDescent="0.2">
      <c r="C1868" s="6"/>
    </row>
    <row r="1869" spans="3:3" ht="12.75" x14ac:dyDescent="0.2">
      <c r="C1869" s="6"/>
    </row>
    <row r="1870" spans="3:3" ht="12.75" x14ac:dyDescent="0.2">
      <c r="C1870" s="6"/>
    </row>
    <row r="1871" spans="3:3" ht="12.75" x14ac:dyDescent="0.2">
      <c r="C1871" s="6"/>
    </row>
    <row r="1872" spans="3:3" ht="12.75" x14ac:dyDescent="0.2">
      <c r="C1872" s="6"/>
    </row>
    <row r="1873" spans="3:3" ht="12.75" x14ac:dyDescent="0.2">
      <c r="C1873" s="6"/>
    </row>
    <row r="1874" spans="3:3" ht="12.75" x14ac:dyDescent="0.2">
      <c r="C1874" s="6"/>
    </row>
    <row r="1875" spans="3:3" ht="12.75" x14ac:dyDescent="0.2">
      <c r="C1875" s="6"/>
    </row>
    <row r="1876" spans="3:3" ht="12.75" x14ac:dyDescent="0.2">
      <c r="C1876" s="6"/>
    </row>
    <row r="1877" spans="3:3" ht="12.75" x14ac:dyDescent="0.2">
      <c r="C1877" s="6"/>
    </row>
    <row r="1878" spans="3:3" ht="12.75" x14ac:dyDescent="0.2">
      <c r="C1878" s="6"/>
    </row>
    <row r="1879" spans="3:3" ht="12.75" x14ac:dyDescent="0.2">
      <c r="C1879" s="6"/>
    </row>
    <row r="1880" spans="3:3" ht="12.75" x14ac:dyDescent="0.2">
      <c r="C1880" s="6"/>
    </row>
    <row r="1881" spans="3:3" ht="12.75" x14ac:dyDescent="0.2">
      <c r="C1881" s="6"/>
    </row>
    <row r="1882" spans="3:3" ht="12.75" x14ac:dyDescent="0.2">
      <c r="C1882" s="6"/>
    </row>
    <row r="1883" spans="3:3" ht="12.75" x14ac:dyDescent="0.2">
      <c r="C1883" s="6"/>
    </row>
    <row r="1884" spans="3:3" ht="12.75" x14ac:dyDescent="0.2">
      <c r="C1884" s="6"/>
    </row>
    <row r="1885" spans="3:3" ht="12.75" x14ac:dyDescent="0.2">
      <c r="C1885" s="6"/>
    </row>
    <row r="1886" spans="3:3" ht="12.75" x14ac:dyDescent="0.2">
      <c r="C1886" s="6"/>
    </row>
    <row r="1887" spans="3:3" ht="12.75" x14ac:dyDescent="0.2">
      <c r="C1887" s="6"/>
    </row>
    <row r="1888" spans="3:3" ht="12.75" x14ac:dyDescent="0.2">
      <c r="C1888" s="6"/>
    </row>
    <row r="1889" spans="3:3" ht="12.75" x14ac:dyDescent="0.2">
      <c r="C1889" s="6"/>
    </row>
    <row r="1890" spans="3:3" ht="12.75" x14ac:dyDescent="0.2">
      <c r="C1890" s="6"/>
    </row>
    <row r="1891" spans="3:3" ht="12.75" x14ac:dyDescent="0.2">
      <c r="C1891" s="6"/>
    </row>
    <row r="1892" spans="3:3" ht="12.75" x14ac:dyDescent="0.2">
      <c r="C1892" s="6"/>
    </row>
    <row r="1893" spans="3:3" ht="12.75" x14ac:dyDescent="0.2">
      <c r="C1893" s="6"/>
    </row>
    <row r="1894" spans="3:3" ht="12.75" x14ac:dyDescent="0.2">
      <c r="C1894" s="6"/>
    </row>
    <row r="1895" spans="3:3" ht="12.75" x14ac:dyDescent="0.2">
      <c r="C1895" s="6"/>
    </row>
    <row r="1896" spans="3:3" ht="12.75" x14ac:dyDescent="0.2">
      <c r="C1896" s="6"/>
    </row>
    <row r="1897" spans="3:3" ht="12.75" x14ac:dyDescent="0.2">
      <c r="C1897" s="6"/>
    </row>
    <row r="1898" spans="3:3" ht="12.75" x14ac:dyDescent="0.2">
      <c r="C1898" s="6"/>
    </row>
    <row r="1899" spans="3:3" ht="12.75" x14ac:dyDescent="0.2">
      <c r="C1899" s="6"/>
    </row>
    <row r="1900" spans="3:3" ht="12.75" x14ac:dyDescent="0.2">
      <c r="C1900" s="6"/>
    </row>
    <row r="1901" spans="3:3" ht="12.75" x14ac:dyDescent="0.2">
      <c r="C1901" s="6"/>
    </row>
    <row r="1902" spans="3:3" ht="12.75" x14ac:dyDescent="0.2">
      <c r="C1902" s="6"/>
    </row>
    <row r="1903" spans="3:3" ht="12.75" x14ac:dyDescent="0.2">
      <c r="C1903" s="6"/>
    </row>
    <row r="1904" spans="3:3" ht="12.75" x14ac:dyDescent="0.2">
      <c r="C1904" s="6"/>
    </row>
    <row r="1905" spans="3:3" ht="12.75" x14ac:dyDescent="0.2">
      <c r="C1905" s="6"/>
    </row>
    <row r="1906" spans="3:3" ht="12.75" x14ac:dyDescent="0.2">
      <c r="C1906" s="6"/>
    </row>
    <row r="1907" spans="3:3" ht="12.75" x14ac:dyDescent="0.2">
      <c r="C1907" s="6"/>
    </row>
    <row r="1908" spans="3:3" ht="12.75" x14ac:dyDescent="0.2">
      <c r="C1908" s="6"/>
    </row>
    <row r="1909" spans="3:3" ht="12.75" x14ac:dyDescent="0.2">
      <c r="C1909" s="6"/>
    </row>
    <row r="1910" spans="3:3" ht="12.75" x14ac:dyDescent="0.2">
      <c r="C1910" s="6"/>
    </row>
    <row r="1911" spans="3:3" ht="12.75" x14ac:dyDescent="0.2">
      <c r="C1911" s="6"/>
    </row>
    <row r="1912" spans="3:3" ht="12.75" x14ac:dyDescent="0.2">
      <c r="C1912" s="6"/>
    </row>
    <row r="1913" spans="3:3" ht="12.75" x14ac:dyDescent="0.2">
      <c r="C1913" s="6"/>
    </row>
    <row r="1914" spans="3:3" ht="12.75" x14ac:dyDescent="0.2">
      <c r="C1914" s="6"/>
    </row>
    <row r="1915" spans="3:3" ht="12.75" x14ac:dyDescent="0.2">
      <c r="C1915" s="6"/>
    </row>
    <row r="1916" spans="3:3" ht="12.75" x14ac:dyDescent="0.2">
      <c r="C1916" s="6"/>
    </row>
    <row r="1917" spans="3:3" ht="12.75" x14ac:dyDescent="0.2">
      <c r="C1917" s="6"/>
    </row>
    <row r="1918" spans="3:3" ht="12.75" x14ac:dyDescent="0.2">
      <c r="C1918" s="6"/>
    </row>
    <row r="1919" spans="3:3" ht="12.75" x14ac:dyDescent="0.2">
      <c r="C1919" s="6"/>
    </row>
    <row r="1920" spans="3:3" ht="12.75" x14ac:dyDescent="0.2">
      <c r="C1920" s="6"/>
    </row>
    <row r="1921" spans="3:3" ht="12.75" x14ac:dyDescent="0.2">
      <c r="C1921" s="6"/>
    </row>
    <row r="1922" spans="3:3" ht="12.75" x14ac:dyDescent="0.2">
      <c r="C1922" s="6"/>
    </row>
    <row r="1923" spans="3:3" ht="12.75" x14ac:dyDescent="0.2">
      <c r="C1923" s="6"/>
    </row>
    <row r="1924" spans="3:3" ht="12.75" x14ac:dyDescent="0.2">
      <c r="C1924" s="6"/>
    </row>
    <row r="1925" spans="3:3" ht="12.75" x14ac:dyDescent="0.2">
      <c r="C1925" s="6"/>
    </row>
    <row r="1926" spans="3:3" ht="12.75" x14ac:dyDescent="0.2">
      <c r="C1926" s="6"/>
    </row>
    <row r="1927" spans="3:3" ht="12.75" x14ac:dyDescent="0.2">
      <c r="C1927" s="6"/>
    </row>
    <row r="1928" spans="3:3" ht="12.75" x14ac:dyDescent="0.2">
      <c r="C1928" s="6"/>
    </row>
    <row r="1929" spans="3:3" ht="12.75" x14ac:dyDescent="0.2">
      <c r="C1929" s="6"/>
    </row>
    <row r="1930" spans="3:3" ht="12.75" x14ac:dyDescent="0.2">
      <c r="C1930" s="6"/>
    </row>
    <row r="1931" spans="3:3" ht="12.75" x14ac:dyDescent="0.2">
      <c r="C1931" s="6"/>
    </row>
    <row r="1932" spans="3:3" ht="12.75" x14ac:dyDescent="0.2">
      <c r="C1932" s="6"/>
    </row>
    <row r="1933" spans="3:3" ht="12.75" x14ac:dyDescent="0.2">
      <c r="C1933" s="6"/>
    </row>
    <row r="1934" spans="3:3" ht="12.75" x14ac:dyDescent="0.2">
      <c r="C1934" s="6"/>
    </row>
    <row r="1935" spans="3:3" ht="12.75" x14ac:dyDescent="0.2">
      <c r="C1935" s="6"/>
    </row>
    <row r="1936" spans="3:3" ht="12.75" x14ac:dyDescent="0.2">
      <c r="C1936" s="6"/>
    </row>
    <row r="1937" spans="3:3" ht="12.75" x14ac:dyDescent="0.2">
      <c r="C1937" s="6"/>
    </row>
    <row r="1938" spans="3:3" ht="12.75" x14ac:dyDescent="0.2">
      <c r="C1938" s="6"/>
    </row>
    <row r="1939" spans="3:3" ht="12.75" x14ac:dyDescent="0.2">
      <c r="C1939" s="6"/>
    </row>
    <row r="1940" spans="3:3" ht="12.75" x14ac:dyDescent="0.2">
      <c r="C1940" s="6"/>
    </row>
    <row r="1941" spans="3:3" ht="12.75" x14ac:dyDescent="0.2">
      <c r="C1941" s="6"/>
    </row>
    <row r="1942" spans="3:3" ht="12.75" x14ac:dyDescent="0.2">
      <c r="C1942" s="6"/>
    </row>
    <row r="1943" spans="3:3" ht="12.75" x14ac:dyDescent="0.2">
      <c r="C1943" s="6"/>
    </row>
    <row r="1944" spans="3:3" ht="12.75" x14ac:dyDescent="0.2">
      <c r="C1944" s="6"/>
    </row>
    <row r="1945" spans="3:3" ht="12.75" x14ac:dyDescent="0.2">
      <c r="C1945" s="6"/>
    </row>
    <row r="1946" spans="3:3" ht="12.75" x14ac:dyDescent="0.2">
      <c r="C1946" s="6"/>
    </row>
    <row r="1947" spans="3:3" ht="12.75" x14ac:dyDescent="0.2">
      <c r="C1947" s="6"/>
    </row>
    <row r="1948" spans="3:3" ht="12.75" x14ac:dyDescent="0.2">
      <c r="C1948" s="6"/>
    </row>
    <row r="1949" spans="3:3" ht="12.75" x14ac:dyDescent="0.2">
      <c r="C1949" s="6"/>
    </row>
    <row r="1950" spans="3:3" ht="12.75" x14ac:dyDescent="0.2">
      <c r="C1950" s="6"/>
    </row>
    <row r="1951" spans="3:3" ht="12.75" x14ac:dyDescent="0.2">
      <c r="C1951" s="6"/>
    </row>
    <row r="1952" spans="3:3" ht="12.75" x14ac:dyDescent="0.2">
      <c r="C1952" s="6"/>
    </row>
    <row r="1953" spans="3:3" ht="12.75" x14ac:dyDescent="0.2">
      <c r="C1953" s="6"/>
    </row>
    <row r="1954" spans="3:3" ht="12.75" x14ac:dyDescent="0.2">
      <c r="C1954" s="6"/>
    </row>
    <row r="1955" spans="3:3" ht="12.75" x14ac:dyDescent="0.2">
      <c r="C1955" s="6"/>
    </row>
    <row r="1956" spans="3:3" ht="12.75" x14ac:dyDescent="0.2">
      <c r="C1956" s="6"/>
    </row>
    <row r="1957" spans="3:3" ht="12.75" x14ac:dyDescent="0.2">
      <c r="C1957" s="6"/>
    </row>
    <row r="1958" spans="3:3" ht="12.75" x14ac:dyDescent="0.2">
      <c r="C1958" s="6"/>
    </row>
    <row r="1959" spans="3:3" ht="12.75" x14ac:dyDescent="0.2">
      <c r="C1959" s="6"/>
    </row>
    <row r="1960" spans="3:3" ht="12.75" x14ac:dyDescent="0.2">
      <c r="C1960" s="6"/>
    </row>
    <row r="1961" spans="3:3" ht="12.75" x14ac:dyDescent="0.2">
      <c r="C1961" s="6"/>
    </row>
    <row r="1962" spans="3:3" ht="12.75" x14ac:dyDescent="0.2">
      <c r="C1962" s="6"/>
    </row>
    <row r="1963" spans="3:3" ht="12.75" x14ac:dyDescent="0.2">
      <c r="C1963" s="6"/>
    </row>
    <row r="1964" spans="3:3" ht="12.75" x14ac:dyDescent="0.2">
      <c r="C1964" s="6"/>
    </row>
    <row r="1965" spans="3:3" ht="12.75" x14ac:dyDescent="0.2">
      <c r="C1965" s="6"/>
    </row>
    <row r="1966" spans="3:3" ht="12.75" x14ac:dyDescent="0.2">
      <c r="C1966" s="6"/>
    </row>
    <row r="1967" spans="3:3" ht="12.75" x14ac:dyDescent="0.2">
      <c r="C1967" s="6"/>
    </row>
    <row r="1968" spans="3:3" ht="12.75" x14ac:dyDescent="0.2">
      <c r="C1968" s="6"/>
    </row>
    <row r="1969" spans="3:3" ht="12.75" x14ac:dyDescent="0.2">
      <c r="C1969" s="6"/>
    </row>
    <row r="1970" spans="3:3" ht="12.75" x14ac:dyDescent="0.2">
      <c r="C1970" s="6"/>
    </row>
    <row r="1971" spans="3:3" ht="12.75" x14ac:dyDescent="0.2">
      <c r="C1971" s="6"/>
    </row>
    <row r="1972" spans="3:3" ht="12.75" x14ac:dyDescent="0.2">
      <c r="C1972" s="6"/>
    </row>
    <row r="1973" spans="3:3" ht="12.75" x14ac:dyDescent="0.2">
      <c r="C1973" s="6"/>
    </row>
    <row r="1974" spans="3:3" ht="12.75" x14ac:dyDescent="0.2">
      <c r="C1974" s="6"/>
    </row>
    <row r="1975" spans="3:3" ht="12.75" x14ac:dyDescent="0.2">
      <c r="C1975" s="6"/>
    </row>
    <row r="1976" spans="3:3" ht="12.75" x14ac:dyDescent="0.2">
      <c r="C1976" s="6"/>
    </row>
    <row r="1977" spans="3:3" ht="12.75" x14ac:dyDescent="0.2">
      <c r="C1977" s="6"/>
    </row>
    <row r="1978" spans="3:3" ht="12.75" x14ac:dyDescent="0.2">
      <c r="C1978" s="6"/>
    </row>
    <row r="1979" spans="3:3" ht="12.75" x14ac:dyDescent="0.2">
      <c r="C1979" s="6"/>
    </row>
    <row r="1980" spans="3:3" ht="12.75" x14ac:dyDescent="0.2">
      <c r="C1980" s="6"/>
    </row>
    <row r="1981" spans="3:3" ht="12.75" x14ac:dyDescent="0.2">
      <c r="C1981" s="6"/>
    </row>
    <row r="1982" spans="3:3" ht="12.75" x14ac:dyDescent="0.2">
      <c r="C1982" s="6"/>
    </row>
    <row r="1983" spans="3:3" ht="12.75" x14ac:dyDescent="0.2">
      <c r="C1983" s="6"/>
    </row>
    <row r="1984" spans="3:3" ht="12.75" x14ac:dyDescent="0.2">
      <c r="C198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"/>
  <sheetViews>
    <sheetView showGridLines="0" tabSelected="1" workbookViewId="0">
      <selection activeCell="E3" sqref="E3"/>
    </sheetView>
  </sheetViews>
  <sheetFormatPr defaultColWidth="12.5703125" defaultRowHeight="15.75" customHeight="1" x14ac:dyDescent="0.2"/>
  <cols>
    <col min="1" max="1" width="10.28515625" bestFit="1" customWidth="1"/>
    <col min="2" max="2" width="22.85546875" bestFit="1" customWidth="1"/>
    <col min="3" max="3" width="15.42578125" bestFit="1" customWidth="1"/>
    <col min="4" max="4" width="15.5703125" bestFit="1" customWidth="1"/>
  </cols>
  <sheetData>
    <row r="1" spans="1:4" x14ac:dyDescent="0.25">
      <c r="A1" s="9" t="s">
        <v>10</v>
      </c>
      <c r="B1" s="9" t="s">
        <v>11</v>
      </c>
      <c r="C1" s="9" t="s">
        <v>12</v>
      </c>
      <c r="D1" s="9" t="s">
        <v>13</v>
      </c>
    </row>
    <row r="2" spans="1:4" ht="15.75" customHeight="1" x14ac:dyDescent="0.2">
      <c r="A2" s="7" t="s">
        <v>14</v>
      </c>
      <c r="B2" s="4">
        <v>6.9999999999999999E-4</v>
      </c>
      <c r="C2" s="6">
        <v>1.7899999999999999E-2</v>
      </c>
      <c r="D2" s="10">
        <f t="shared" ref="D2:D4" si="0">(B2/C2)</f>
        <v>3.9106145251396648E-2</v>
      </c>
    </row>
    <row r="3" spans="1:4" ht="15.75" customHeight="1" x14ac:dyDescent="0.2">
      <c r="A3" s="7" t="s">
        <v>15</v>
      </c>
      <c r="B3" s="6">
        <v>4.0000000000000002E-4</v>
      </c>
      <c r="C3" s="6">
        <v>1.5100000000000001E-2</v>
      </c>
      <c r="D3" s="10">
        <f t="shared" si="0"/>
        <v>2.6490066225165563E-2</v>
      </c>
    </row>
    <row r="4" spans="1:4" ht="15.75" customHeight="1" x14ac:dyDescent="0.2">
      <c r="A4" s="7" t="s">
        <v>16</v>
      </c>
      <c r="B4" s="6">
        <v>4.0000000000000002E-4</v>
      </c>
      <c r="C4" s="6">
        <v>1.6199999999999999E-2</v>
      </c>
      <c r="D4" s="10">
        <f t="shared" si="0"/>
        <v>2.469135802469136E-2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Reliance Stock Analysis</vt:lpstr>
      <vt:lpstr>TCS Stock Analysis</vt:lpstr>
      <vt:lpstr>HDFC Stock Analysis</vt:lpstr>
      <vt:lpstr>RISK VS RETURN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Chandekar</dc:creator>
  <cp:lastModifiedBy>Jayesh Chandekar</cp:lastModifiedBy>
  <dcterms:created xsi:type="dcterms:W3CDTF">2026-02-27T14:53:16Z</dcterms:created>
  <dcterms:modified xsi:type="dcterms:W3CDTF">2026-02-27T14:53:51Z</dcterms:modified>
</cp:coreProperties>
</file>